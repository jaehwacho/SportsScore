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여고부개인통합" sheetId="1" r:id="rId5"/>
    <sheet state="visible" name="3월 단양 개인별 STAT" sheetId="2" r:id="rId6"/>
    <sheet state="visible" name="4월 삼척 개인별 STAT" sheetId="3" r:id="rId7"/>
    <sheet state="visible" name="팀 통합 STAT" sheetId="4" r:id="rId8"/>
    <sheet state="visible" name="3월 단양 팀STAT" sheetId="5" r:id="rId9"/>
    <sheet state="visible" name="4월 삼척 팀STAT" sheetId="6" r:id="rId10"/>
    <sheet state="visible" name="3월 단양대회" sheetId="7" r:id="rId11"/>
  </sheets>
  <definedNames/>
  <calcPr/>
</workbook>
</file>

<file path=xl/sharedStrings.xml><?xml version="1.0" encoding="utf-8"?>
<sst xmlns="http://schemas.openxmlformats.org/spreadsheetml/2006/main" count="2129" uniqueCount="284">
  <si>
    <t>2026 한국중고배구연맹 여고부 개인 선수별 데이터</t>
  </si>
  <si>
    <t>2026년 3월 춘계 (단양) + 4월 연맹 (삼척)</t>
  </si>
  <si>
    <t>개인별 평가 지수</t>
  </si>
  <si>
    <t>No</t>
  </si>
  <si>
    <t>Team</t>
  </si>
  <si>
    <t>Name</t>
  </si>
  <si>
    <t>Grade
학년</t>
  </si>
  <si>
    <t>Position 1
포지션1</t>
  </si>
  <si>
    <t>Position 2
포지션2</t>
  </si>
  <si>
    <t>Height
(cm)</t>
  </si>
  <si>
    <t>Weight
(kg)</t>
  </si>
  <si>
    <t># Jersey
등번호</t>
  </si>
  <si>
    <t>Match Played
경기 수</t>
  </si>
  <si>
    <t>Set Played
경기 Set수</t>
  </si>
  <si>
    <t>Kills ①
공격 성공</t>
  </si>
  <si>
    <t>Kills Assist ②
어시스트</t>
  </si>
  <si>
    <t>Attack ③
공 격</t>
  </si>
  <si>
    <t>Attack Errors 
공격실패 ④</t>
  </si>
  <si>
    <t>Total Attack
①+③+④
공격 합계</t>
  </si>
  <si>
    <t>Hit %
(①-④) / TA
공격 효율</t>
  </si>
  <si>
    <t>Blocks ⑤
블로킹 성공</t>
  </si>
  <si>
    <t>Block Errors
블로킹 실패 ⑥</t>
  </si>
  <si>
    <t>Block Assist
블로킹 도움 ⑦</t>
  </si>
  <si>
    <t>Serve ⑧
서 브</t>
  </si>
  <si>
    <t xml:space="preserve">Serve Aces
서브 에이스 ⑨ </t>
  </si>
  <si>
    <t xml:space="preserve">Serve Errors
서브 실패 ⑩ </t>
  </si>
  <si>
    <t>Total Serve
⑧+⑨+⑩
서브 합계</t>
  </si>
  <si>
    <t>Ball Handling 
Errors ⑪
볼처리 실패</t>
  </si>
  <si>
    <t>Total Points
①+⑤+⑨
득점 합계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</si>
  <si>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</si>
  <si>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t>Receive Att. 
리시브 합계 
⑫+⑬</t>
  </si>
  <si>
    <t>Receive 
Successes ⑫
리시브 성공</t>
  </si>
  <si>
    <t>Receive 
Failures  ⑬
리시브 실패</t>
  </si>
  <si>
    <t>Rcv Suc 
Rate (%)</t>
  </si>
  <si>
    <t>Digs ⑭
디그</t>
  </si>
  <si>
    <t>Digs / Set  
디그수/세트</t>
  </si>
  <si>
    <t>Kills / Set
공격득점</t>
  </si>
  <si>
    <t>Total Attack
/ Set
공격횟수/세트</t>
  </si>
  <si>
    <t>Hit %
공격성공율</t>
  </si>
  <si>
    <t>Blocks / Set
블로킹득점/세트</t>
  </si>
  <si>
    <t>Serve 
Aces  / Set</t>
  </si>
  <si>
    <t>Total Points
/ Set</t>
  </si>
  <si>
    <r>
      <rPr>
        <rFont val="Google Sans Text"/>
        <color rgb="FF000000"/>
        <sz val="9.0"/>
      </rPr>
      <t xml:space="preserve">Player Score 
</t>
    </r>
    <r>
      <rPr>
        <rFont val="Google Sans Text"/>
        <color rgb="FF000000"/>
        <sz val="8.0"/>
      </rPr>
      <t xml:space="preserve">/ Set
</t>
    </r>
    <r>
      <rPr>
        <rFont val="Google Sans Text"/>
        <color rgb="FF000000"/>
        <sz val="9.0"/>
      </rPr>
      <t>공격지수</t>
    </r>
  </si>
  <si>
    <t>리시브 실패
/세트</t>
  </si>
  <si>
    <t>Dig / Set</t>
  </si>
  <si>
    <t>선명여고</t>
  </si>
  <si>
    <t>곽도연</t>
  </si>
  <si>
    <t>MB</t>
  </si>
  <si>
    <t>-</t>
  </si>
  <si>
    <t>나민지</t>
  </si>
  <si>
    <t>Li</t>
  </si>
  <si>
    <t>오해솔</t>
  </si>
  <si>
    <t>OH</t>
  </si>
  <si>
    <t>최윤겸</t>
  </si>
  <si>
    <t>S</t>
  </si>
  <si>
    <t>김예은</t>
  </si>
  <si>
    <t>김예서</t>
  </si>
  <si>
    <t>OP</t>
  </si>
  <si>
    <t>유정인</t>
  </si>
  <si>
    <t>이서인</t>
  </si>
  <si>
    <t>박은빈</t>
  </si>
  <si>
    <t>김태경</t>
  </si>
  <si>
    <t>정세희</t>
  </si>
  <si>
    <t>손서연</t>
  </si>
  <si>
    <t>`</t>
  </si>
  <si>
    <t>이서윤</t>
  </si>
  <si>
    <t>문은영</t>
  </si>
  <si>
    <t>중앙여고</t>
  </si>
  <si>
    <t>오세인</t>
  </si>
  <si>
    <t>김수민</t>
  </si>
  <si>
    <t>이하율</t>
  </si>
  <si>
    <t>이다연</t>
  </si>
  <si>
    <t>이지안</t>
  </si>
  <si>
    <t>오채연</t>
  </si>
  <si>
    <t>김현아</t>
  </si>
  <si>
    <t>김혜림</t>
  </si>
  <si>
    <t>박강빈</t>
  </si>
  <si>
    <t>김해연</t>
  </si>
  <si>
    <t>박서윤</t>
  </si>
  <si>
    <t>정다운</t>
  </si>
  <si>
    <t>유이랑</t>
  </si>
  <si>
    <t>조리빈</t>
  </si>
  <si>
    <t>김미주</t>
  </si>
  <si>
    <t>광주체고</t>
  </si>
  <si>
    <t>심민지</t>
  </si>
  <si>
    <t>김시연</t>
  </si>
  <si>
    <t>곽보미</t>
  </si>
  <si>
    <t>김민선</t>
  </si>
  <si>
    <t>유가연</t>
  </si>
  <si>
    <t>황유주</t>
  </si>
  <si>
    <t>홍다연</t>
  </si>
  <si>
    <t>강수인</t>
  </si>
  <si>
    <t>양시후</t>
  </si>
  <si>
    <t>김수빈</t>
  </si>
  <si>
    <t>서선영</t>
  </si>
  <si>
    <t>김은수</t>
  </si>
  <si>
    <t>김진아</t>
  </si>
  <si>
    <t>이유진</t>
  </si>
  <si>
    <t>서지민</t>
  </si>
  <si>
    <t>박하랑</t>
  </si>
  <si>
    <t>천안청수</t>
  </si>
  <si>
    <t>김아중</t>
  </si>
  <si>
    <t>김주원</t>
  </si>
  <si>
    <t>유채은</t>
  </si>
  <si>
    <t>박믿음</t>
  </si>
  <si>
    <t>김주솔</t>
  </si>
  <si>
    <t>김정윤</t>
  </si>
  <si>
    <t>송민지</t>
  </si>
  <si>
    <t>이은재</t>
  </si>
  <si>
    <t>이효담</t>
  </si>
  <si>
    <t>박예영</t>
  </si>
  <si>
    <t>여원</t>
  </si>
  <si>
    <t>김규연</t>
  </si>
  <si>
    <t>이윤서</t>
  </si>
  <si>
    <t>일신여상</t>
  </si>
  <si>
    <t>정가영</t>
  </si>
  <si>
    <t>홍시율</t>
  </si>
  <si>
    <t>고윤지</t>
  </si>
  <si>
    <t>김성겸</t>
  </si>
  <si>
    <t>이주하</t>
  </si>
  <si>
    <t>모민주</t>
  </si>
  <si>
    <t>이은아</t>
  </si>
  <si>
    <t>김아은</t>
  </si>
  <si>
    <t>정태빈</t>
  </si>
  <si>
    <t>황정임</t>
  </si>
  <si>
    <t>박다빈</t>
  </si>
  <si>
    <t>이서정</t>
  </si>
  <si>
    <t>강릉여고</t>
  </si>
  <si>
    <t>전수연</t>
  </si>
  <si>
    <t>이은경</t>
  </si>
  <si>
    <t>전하진</t>
  </si>
  <si>
    <t>안예서</t>
  </si>
  <si>
    <t>홍다은</t>
  </si>
  <si>
    <t>최혜은</t>
  </si>
  <si>
    <t>정세경</t>
  </si>
  <si>
    <t>김민서</t>
  </si>
  <si>
    <t>홍예나</t>
  </si>
  <si>
    <t>김보람</t>
  </si>
  <si>
    <t>전주근영</t>
  </si>
  <si>
    <t>하은결</t>
  </si>
  <si>
    <t>하은솔</t>
  </si>
  <si>
    <t>장서현</t>
  </si>
  <si>
    <t>이주희</t>
  </si>
  <si>
    <t>이다은</t>
  </si>
  <si>
    <t>이지후</t>
  </si>
  <si>
    <t>이정은</t>
  </si>
  <si>
    <t>이다온</t>
  </si>
  <si>
    <t>진수민</t>
  </si>
  <si>
    <t>유다은</t>
  </si>
  <si>
    <t>강소민</t>
  </si>
  <si>
    <t>조하진</t>
  </si>
  <si>
    <t>세화여고</t>
  </si>
  <si>
    <t>오수연</t>
  </si>
  <si>
    <t>최다윤</t>
  </si>
  <si>
    <t>김현수</t>
  </si>
  <si>
    <t>노윤아</t>
  </si>
  <si>
    <t>홍수화</t>
  </si>
  <si>
    <t>김도연</t>
  </si>
  <si>
    <t>김보늬</t>
  </si>
  <si>
    <t>홍지윤</t>
  </si>
  <si>
    <t>김태희</t>
  </si>
  <si>
    <t>홍단희</t>
  </si>
  <si>
    <t>제천여고</t>
  </si>
  <si>
    <t>조연주</t>
  </si>
  <si>
    <t>윤가을</t>
  </si>
  <si>
    <t>봉하영</t>
  </si>
  <si>
    <t>백지민</t>
  </si>
  <si>
    <t>조희주</t>
  </si>
  <si>
    <t>김문정</t>
  </si>
  <si>
    <t>이지우</t>
  </si>
  <si>
    <t>김아란</t>
  </si>
  <si>
    <t>이가영</t>
  </si>
  <si>
    <t>박소진</t>
  </si>
  <si>
    <t>한봄고</t>
  </si>
  <si>
    <t>강혜원</t>
  </si>
  <si>
    <t>나은영</t>
  </si>
  <si>
    <t>이봄</t>
  </si>
  <si>
    <t>최혜원</t>
  </si>
  <si>
    <t>정윤지</t>
  </si>
  <si>
    <t>강민주</t>
  </si>
  <si>
    <t>신은안</t>
  </si>
  <si>
    <t>김수진</t>
  </si>
  <si>
    <t>어민서</t>
  </si>
  <si>
    <t>이해윤</t>
  </si>
  <si>
    <t>김민서2</t>
  </si>
  <si>
    <t>강민지</t>
  </si>
  <si>
    <t>피성현</t>
  </si>
  <si>
    <t>곽진서</t>
  </si>
  <si>
    <t>경남여고</t>
  </si>
  <si>
    <t>최하은</t>
  </si>
  <si>
    <t>최소은</t>
  </si>
  <si>
    <t>이미주</t>
  </si>
  <si>
    <t>서채연</t>
  </si>
  <si>
    <t>장수인</t>
  </si>
  <si>
    <t>김신비</t>
  </si>
  <si>
    <t>배서빈</t>
  </si>
  <si>
    <t>조혜진</t>
  </si>
  <si>
    <t>윤은별</t>
  </si>
  <si>
    <t>문티아라</t>
  </si>
  <si>
    <t>윤호정</t>
  </si>
  <si>
    <t>손은서</t>
  </si>
  <si>
    <t>경일고</t>
  </si>
  <si>
    <t>임혜윤</t>
  </si>
  <si>
    <t>신의정</t>
  </si>
  <si>
    <t>문성윤</t>
  </si>
  <si>
    <t>김채아</t>
  </si>
  <si>
    <t>박소민</t>
  </si>
  <si>
    <t>서예림</t>
  </si>
  <si>
    <t>소 계</t>
  </si>
  <si>
    <t>2026 한국중고배구 춘계연맹전 단양대회 여고부 개인별 데이터</t>
  </si>
  <si>
    <t>2026년 3월 단양 대회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</si>
  <si>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</si>
  <si>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rgb="FF000000"/>
        <sz val="9.0"/>
      </rPr>
      <t xml:space="preserve">Player Score 
</t>
    </r>
    <r>
      <rPr>
        <rFont val="Google Sans Text"/>
        <color rgb="FF000000"/>
        <sz val="8.0"/>
      </rPr>
      <t xml:space="preserve">/ Set
</t>
    </r>
    <r>
      <rPr>
        <rFont val="Google Sans Text"/>
        <color rgb="FF000000"/>
        <sz val="9.0"/>
      </rPr>
      <t>공격지수</t>
    </r>
  </si>
  <si>
    <t>2026 한국중고배구연맹전 삼척대회 여고부 개인별 데이터</t>
  </si>
  <si>
    <t>2026년 4월 삼척 대회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</si>
  <si>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</si>
  <si>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rgb="FF000000"/>
        <sz val="9.0"/>
      </rPr>
      <t xml:space="preserve">Player Score 
</t>
    </r>
    <r>
      <rPr>
        <rFont val="Google Sans Text"/>
        <color rgb="FF000000"/>
        <sz val="8.0"/>
      </rPr>
      <t xml:space="preserve">/ Set
</t>
    </r>
    <r>
      <rPr>
        <rFont val="Google Sans Text"/>
        <color rgb="FF000000"/>
        <sz val="9.0"/>
      </rPr>
      <t>공격지수</t>
    </r>
  </si>
  <si>
    <t>팀별선수수</t>
  </si>
  <si>
    <t>소계</t>
  </si>
  <si>
    <t>2026 한국중고배구연맹 여고부 팀별 경기 결과</t>
  </si>
  <si>
    <t>1. 팀별 경기 결과</t>
  </si>
  <si>
    <t>경기수</t>
  </si>
  <si>
    <t>경 기</t>
  </si>
  <si>
    <t>세 트</t>
  </si>
  <si>
    <t>대회 종합</t>
  </si>
  <si>
    <t>경기당</t>
  </si>
  <si>
    <t>세트당</t>
  </si>
  <si>
    <t>승</t>
  </si>
  <si>
    <t>패</t>
  </si>
  <si>
    <t>득 점</t>
  </si>
  <si>
    <t>실 점</t>
  </si>
  <si>
    <t>득점</t>
  </si>
  <si>
    <t>실점</t>
  </si>
  <si>
    <t>비 고</t>
  </si>
  <si>
    <t>4월 삼척(우승)</t>
  </si>
  <si>
    <t>3월 단양(우승)</t>
  </si>
  <si>
    <t>합 계</t>
  </si>
  <si>
    <t>2. 팀별 STAT</t>
  </si>
  <si>
    <t># of Match</t>
  </si>
  <si>
    <r>
      <rPr>
        <rFont val="Google Sans Text"/>
        <color theme="1"/>
        <sz val="9.0"/>
      </rPr>
      <t xml:space="preserve">Team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</si>
  <si>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rgb="FF000000"/>
        <sz val="9.0"/>
      </rPr>
      <t xml:space="preserve">Team Score 
</t>
    </r>
    <r>
      <rPr>
        <rFont val="Google Sans Text"/>
        <color rgb="FF000000"/>
        <sz val="8.0"/>
      </rPr>
      <t xml:space="preserve">/ Set
</t>
    </r>
    <r>
      <rPr>
        <rFont val="Google Sans Text"/>
        <color rgb="FF000000"/>
        <sz val="9.0"/>
      </rPr>
      <t>공격지수</t>
    </r>
  </si>
  <si>
    <t>2026 춘계중고배구연맹전 단양대회 여고부 경기일정 및 결과</t>
  </si>
  <si>
    <t xml:space="preserve"> 우승</t>
  </si>
  <si>
    <t xml:space="preserve"> 준우숭</t>
  </si>
  <si>
    <t xml:space="preserve"> 4강</t>
  </si>
  <si>
    <t>2. 경기별 결과</t>
  </si>
  <si>
    <t>Match#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</si>
  <si>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</si>
  <si>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t>260301</t>
  </si>
  <si>
    <t>260302</t>
  </si>
  <si>
    <t>3. 팀별 결과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</si>
  <si>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</si>
  <si>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t>2026 한국중고배구연맹전 삼척대회 여고부 경기일정 및 결과</t>
  </si>
  <si>
    <t>우승</t>
  </si>
  <si>
    <t>준우승</t>
  </si>
  <si>
    <t>Hit %
(①+④) / TA
공격 성공율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</si>
  <si>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</si>
  <si>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t>260401</t>
  </si>
  <si>
    <t>260402</t>
  </si>
  <si>
    <t>260403</t>
  </si>
  <si>
    <t>260404</t>
  </si>
  <si>
    <t>260405</t>
  </si>
  <si>
    <t>260406</t>
  </si>
  <si>
    <t>260407</t>
  </si>
  <si>
    <t>260408</t>
  </si>
  <si>
    <t>260409</t>
  </si>
  <si>
    <t>260410</t>
  </si>
  <si>
    <t>260411</t>
  </si>
  <si>
    <t>260412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</si>
  <si>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</si>
  <si>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</si>
  <si>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</si>
  <si>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</si>
  <si>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rgb="FF000000"/>
        <sz val="9.0"/>
      </rPr>
      <t xml:space="preserve">Player Score 
</t>
    </r>
    <r>
      <rPr>
        <rFont val="Google Sans Text"/>
        <color rgb="FF000000"/>
        <sz val="8.0"/>
      </rPr>
      <t xml:space="preserve">/ Set
</t>
    </r>
    <r>
      <rPr>
        <rFont val="Google Sans Text"/>
        <color rgb="FF000000"/>
        <sz val="9.0"/>
      </rPr>
      <t>공격지수</t>
    </r>
  </si>
  <si>
    <t>공격부문/경기</t>
  </si>
  <si>
    <t>공격부문/세트</t>
  </si>
  <si>
    <t>수비부문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</si>
  <si>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</si>
  <si>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rgb="FF000000"/>
        <sz val="9.0"/>
      </rPr>
      <t xml:space="preserve">Player Score 
</t>
    </r>
    <r>
      <rPr>
        <rFont val="Google Sans Text"/>
        <color rgb="FF000000"/>
        <sz val="8.0"/>
      </rPr>
      <t xml:space="preserve">/ Set
</t>
    </r>
    <r>
      <rPr>
        <rFont val="Google Sans Text"/>
        <color rgb="FF000000"/>
        <sz val="9.0"/>
      </rPr>
      <t>공격지수</t>
    </r>
  </si>
  <si>
    <t>공격부문 / 경기</t>
  </si>
  <si>
    <t>공격부문 / 세트</t>
  </si>
  <si>
    <r>
      <rPr>
        <rFont val="Google Sans Text"/>
        <color theme="1"/>
        <sz val="9.0"/>
      </rPr>
      <t xml:space="preserve">Player Score 
</t>
    </r>
    <r>
      <rPr>
        <rFont val="Google Sans Text"/>
        <color theme="1"/>
        <sz val="7.0"/>
      </rPr>
      <t xml:space="preserve">①+⑤+⑨+⑦x75%
</t>
    </r>
    <r>
      <rPr>
        <rFont val="Google Sans Text"/>
        <color theme="1"/>
        <sz val="9.0"/>
      </rPr>
      <t>공격 지수</t>
    </r>
  </si>
  <si>
    <r>
      <rPr>
        <rFont val="Google Sans Text"/>
        <color rgb="FF000000"/>
        <sz val="9.0"/>
      </rPr>
      <t xml:space="preserve">Player Score 
</t>
    </r>
    <r>
      <rPr>
        <rFont val="Google Sans Text"/>
        <color rgb="FF000000"/>
        <sz val="8.0"/>
      </rPr>
      <t xml:space="preserve">/ Set
</t>
    </r>
    <r>
      <rPr>
        <rFont val="Google Sans Text"/>
        <color rgb="FF000000"/>
        <sz val="9.0"/>
      </rPr>
      <t>공격지수</t>
    </r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</si>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</sst>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;-#,##0;&quot;-&quot;"/>
    <numFmt numFmtId="165" formatCode="[=0]&quot;-&quot;;[&gt;=1]General;General"/>
    <numFmt numFmtId="166" formatCode="#,##0.0"/>
    <numFmt numFmtId="167" formatCode="0.0%"/>
    <numFmt numFmtId="168" formatCode="0.0"/>
    <numFmt numFmtId="169" formatCode="#,##0;[RED]-#,##0;&quot;-&quot;"/>
    <numFmt numFmtId="170" formatCode="#,##0.0;[RED]-#,##0.0;&quot;-&quot;"/>
    <numFmt numFmtId="171" formatCode="#,##0.00;[RED]-#,##0.00;&quot;-&quot;"/>
    <numFmt numFmtId="172" formatCode="yyyy년 m월"/>
  </numFmts>
  <fonts count="32">
    <font>
      <sz val="10.0"/>
      <color rgb="FF000000"/>
      <name val="Arial"/>
      <scheme val="minor"/>
    </font>
    <font>
      <b/>
      <sz val="20.0"/>
      <color theme="1"/>
      <name val="Google Sans Text"/>
    </font>
    <font>
      <color theme="1"/>
      <name val="Arial"/>
      <scheme val="minor"/>
    </font>
    <font>
      <b/>
      <sz val="12.0"/>
      <color theme="1"/>
      <name val="Google Sans Text"/>
    </font>
    <font>
      <color theme="1"/>
      <name val="Google Sans Text"/>
    </font>
    <font>
      <color rgb="FF1F1F1F"/>
      <name val="&quot;Google Sans Text&quot;"/>
    </font>
    <font/>
    <font>
      <sz val="9.0"/>
      <color rgb="FF000000"/>
      <name val="Google Sans Text"/>
    </font>
    <font>
      <sz val="9.0"/>
      <color theme="1"/>
      <name val="Google Sans Text"/>
    </font>
    <font>
      <sz val="11.0"/>
      <color rgb="FF000000"/>
      <name val="Google Sans Text"/>
    </font>
    <font>
      <b/>
      <color rgb="FF1F1F1F"/>
      <name val="&quot;Google Sans Text&quot;"/>
    </font>
    <font>
      <sz val="8.0"/>
      <color rgb="FF000000"/>
      <name val="Google Sans Text"/>
    </font>
    <font>
      <sz val="11.0"/>
      <color rgb="FF1F1F1F"/>
      <name val="&quot;Google Sans Text&quot;"/>
    </font>
    <font>
      <b/>
      <sz val="11.0"/>
      <color theme="1"/>
      <name val="Pretendard"/>
    </font>
    <font>
      <sz val="11.0"/>
      <color rgb="FF000000"/>
      <name val="Pretendard"/>
    </font>
    <font>
      <sz val="10.0"/>
      <color rgb="FFFFFFFF"/>
      <name val="Pretendard"/>
    </font>
    <font>
      <sz val="10.0"/>
      <color rgb="FFFFFFFF"/>
      <name val="Arial"/>
    </font>
    <font>
      <sz val="11.0"/>
      <color rgb="FFFFFFFF"/>
      <name val="Pretendard"/>
    </font>
    <font>
      <sz val="11.0"/>
      <color theme="1"/>
      <name val="Pretendard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</font>
    <font>
      <sz val="10.0"/>
      <color rgb="FF000000"/>
      <name val="Google Sans Text"/>
    </font>
    <font>
      <sz val="10.0"/>
      <color rgb="FF1F1F1F"/>
      <name val="&quot;Google Sans Text&quot;"/>
    </font>
    <font>
      <b/>
      <color theme="1"/>
      <name val="Arial"/>
      <scheme val="minor"/>
    </font>
    <font>
      <sz val="11.0"/>
      <color rgb="FFFFFFFF"/>
      <name val="Arial"/>
    </font>
    <font>
      <b/>
      <sz val="10.0"/>
      <color rgb="FFFFFFFF"/>
      <name val="Pretendard"/>
    </font>
    <font>
      <b/>
      <sz val="10.0"/>
      <color rgb="FFFFFFFF"/>
      <name val="Arial"/>
    </font>
    <font>
      <b/>
      <sz val="11.0"/>
      <color rgb="FFFFFFFF"/>
      <name val="Pretendard"/>
    </font>
    <font>
      <b/>
      <sz val="9.0"/>
      <color theme="1"/>
      <name val="Arial"/>
      <scheme val="minor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404040"/>
        <bgColor rgb="FF404040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center" readingOrder="0"/>
    </xf>
    <xf borderId="2" fillId="0" fontId="6" numFmtId="0" xfId="0" applyBorder="1" applyFont="1"/>
    <xf borderId="3" fillId="2" fontId="5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left" readingOrder="0" shrinkToFit="0" textRotation="90" vertical="bottom" wrapText="0"/>
    </xf>
    <xf borderId="3" fillId="0" fontId="8" numFmtId="0" xfId="0" applyAlignment="1" applyBorder="1" applyFont="1">
      <alignment textRotation="90" vertical="bottom"/>
    </xf>
    <xf borderId="3" fillId="3" fontId="8" numFmtId="0" xfId="0" applyAlignment="1" applyBorder="1" applyFill="1" applyFont="1">
      <alignment textRotation="90" vertical="bottom"/>
    </xf>
    <xf borderId="3" fillId="3" fontId="8" numFmtId="2" xfId="0" applyAlignment="1" applyBorder="1" applyFont="1" applyNumberFormat="1">
      <alignment readingOrder="0" textRotation="90" vertical="bottom"/>
    </xf>
    <xf borderId="3" fillId="3" fontId="8" numFmtId="2" xfId="0" applyAlignment="1" applyBorder="1" applyFont="1" applyNumberFormat="1">
      <alignment textRotation="90" vertical="bottom"/>
    </xf>
    <xf borderId="0" fillId="0" fontId="9" numFmtId="2" xfId="0" applyAlignment="1" applyFont="1" applyNumberFormat="1">
      <alignment horizontal="center" readingOrder="0" shrinkToFit="0" vertical="center" wrapText="0"/>
    </xf>
    <xf borderId="3" fillId="3" fontId="7" numFmtId="0" xfId="0" applyAlignment="1" applyBorder="1" applyFont="1">
      <alignment horizontal="left" readingOrder="0" shrinkToFit="0" textRotation="90" vertical="bottom" wrapText="0"/>
    </xf>
    <xf borderId="3" fillId="3" fontId="7" numFmtId="2" xfId="0" applyAlignment="1" applyBorder="1" applyFont="1" applyNumberFormat="1">
      <alignment horizontal="left" readingOrder="0" shrinkToFit="0" textRotation="90" vertical="bottom" wrapText="0"/>
    </xf>
    <xf borderId="3" fillId="0" fontId="10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3" fillId="0" fontId="9" numFmtId="164" xfId="0" applyAlignment="1" applyBorder="1" applyFont="1" applyNumberFormat="1">
      <alignment horizontal="center" shrinkToFit="0" vertical="center" wrapText="0"/>
    </xf>
    <xf borderId="4" fillId="0" fontId="9" numFmtId="164" xfId="0" applyAlignment="1" applyBorder="1" applyFont="1" applyNumberFormat="1">
      <alignment horizontal="center" readingOrder="0" shrinkToFit="0" vertical="center" wrapText="0"/>
    </xf>
    <xf borderId="4" fillId="0" fontId="9" numFmtId="2" xfId="0" applyAlignment="1" applyBorder="1" applyFont="1" applyNumberFormat="1">
      <alignment horizontal="center" readingOrder="0" shrinkToFit="0" vertical="center" wrapText="0"/>
    </xf>
    <xf borderId="3" fillId="0" fontId="9" numFmtId="165" xfId="0" applyAlignment="1" applyBorder="1" applyFont="1" applyNumberFormat="1">
      <alignment horizontal="center" readingOrder="0" shrinkToFit="0" vertical="center" wrapText="0"/>
    </xf>
    <xf borderId="4" fillId="0" fontId="9" numFmtId="3" xfId="0" applyAlignment="1" applyBorder="1" applyFont="1" applyNumberFormat="1">
      <alignment horizontal="center" readingOrder="0" shrinkToFit="0" vertical="center" wrapText="0"/>
    </xf>
    <xf borderId="0" fillId="0" fontId="11" numFmtId="2" xfId="0" applyAlignment="1" applyFont="1" applyNumberFormat="1">
      <alignment horizontal="center" readingOrder="0" shrinkToFit="0" vertical="center" wrapText="0"/>
    </xf>
    <xf borderId="0" fillId="0" fontId="9" numFmtId="2" xfId="0" applyAlignment="1" applyFont="1" applyNumberFormat="1">
      <alignment horizontal="center" readingOrder="0" shrinkToFit="0" vertical="center" wrapText="0"/>
    </xf>
    <xf borderId="3" fillId="0" fontId="12" numFmtId="166" xfId="0" applyAlignment="1" applyBorder="1" applyFont="1" applyNumberFormat="1">
      <alignment horizontal="center" readingOrder="0"/>
    </xf>
    <xf borderId="3" fillId="0" fontId="12" numFmtId="167" xfId="0" applyAlignment="1" applyBorder="1" applyFont="1" applyNumberFormat="1">
      <alignment horizontal="center" readingOrder="0"/>
    </xf>
    <xf borderId="3" fillId="0" fontId="4" numFmtId="166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/>
    </xf>
    <xf borderId="3" fillId="0" fontId="9" numFmtId="164" xfId="0" applyAlignment="1" applyBorder="1" applyFont="1" applyNumberFormat="1">
      <alignment horizontal="center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9" numFmtId="2" xfId="0" applyAlignment="1" applyBorder="1" applyFont="1" applyNumberFormat="1">
      <alignment horizontal="center" readingOrder="0" shrinkToFit="0" vertical="center" wrapText="0"/>
    </xf>
    <xf borderId="4" fillId="0" fontId="9" numFmtId="164" xfId="0" applyAlignment="1" applyBorder="1" applyFont="1" applyNumberFormat="1">
      <alignment horizontal="center" readingOrder="0" shrinkToFit="0" vertical="center" wrapText="0"/>
    </xf>
    <xf borderId="4" fillId="0" fontId="9" numFmtId="3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/>
    </xf>
    <xf borderId="3" fillId="0" fontId="9" numFmtId="164" xfId="0" applyAlignment="1" applyBorder="1" applyFont="1" applyNumberFormat="1">
      <alignment horizontal="center" readingOrder="0" shrinkToFit="0" vertical="center" wrapText="0"/>
    </xf>
    <xf borderId="2" fillId="0" fontId="9" numFmtId="164" xfId="0" applyAlignment="1" applyBorder="1" applyFont="1" applyNumberFormat="1">
      <alignment horizontal="center" readingOrder="0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5" fillId="0" fontId="9" numFmtId="164" xfId="0" applyAlignment="1" applyBorder="1" applyFont="1" applyNumberFormat="1">
      <alignment horizontal="center" shrinkToFit="0" vertical="center" wrapText="0"/>
    </xf>
    <xf borderId="2" fillId="0" fontId="9" numFmtId="164" xfId="0" applyAlignment="1" applyBorder="1" applyFont="1" applyNumberFormat="1">
      <alignment horizontal="center" shrinkToFit="0" vertical="center" wrapText="0"/>
    </xf>
    <xf borderId="1" fillId="0" fontId="9" numFmtId="164" xfId="0" applyAlignment="1" applyBorder="1" applyFont="1" applyNumberFormat="1">
      <alignment horizontal="center" shrinkToFit="0" vertical="center" wrapText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0" fillId="0" fontId="2" numFmtId="0" xfId="0" applyFont="1"/>
    <xf borderId="0" fillId="0" fontId="13" numFmtId="0" xfId="0" applyAlignment="1" applyFont="1">
      <alignment horizontal="left" readingOrder="0" shrinkToFit="0" wrapText="0"/>
    </xf>
    <xf borderId="0" fillId="0" fontId="14" numFmtId="0" xfId="0" applyAlignment="1" applyFont="1">
      <alignment horizontal="center" shrinkToFit="0" wrapText="0"/>
    </xf>
    <xf borderId="6" fillId="4" fontId="15" numFmtId="0" xfId="0" applyAlignment="1" applyBorder="1" applyFill="1" applyFont="1">
      <alignment horizontal="center"/>
    </xf>
    <xf borderId="7" fillId="4" fontId="16" numFmtId="0" xfId="0" applyAlignment="1" applyBorder="1" applyFont="1">
      <alignment horizontal="center"/>
    </xf>
    <xf borderId="8" fillId="0" fontId="6" numFmtId="0" xfId="0" applyBorder="1" applyFont="1"/>
    <xf borderId="6" fillId="4" fontId="16" numFmtId="0" xfId="0" applyAlignment="1" applyBorder="1" applyFont="1">
      <alignment horizontal="center"/>
    </xf>
    <xf borderId="0" fillId="4" fontId="16" numFmtId="0" xfId="0" applyAlignment="1" applyFont="1">
      <alignment horizontal="center"/>
    </xf>
    <xf borderId="0" fillId="4" fontId="17" numFmtId="0" xfId="0" applyAlignment="1" applyFont="1">
      <alignment horizontal="center" readingOrder="0" shrinkToFit="0" wrapText="0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3" fillId="4" fontId="15" numFmtId="0" xfId="0" applyAlignment="1" applyBorder="1" applyFont="1">
      <alignment horizontal="center"/>
    </xf>
    <xf borderId="3" fillId="4" fontId="16" numFmtId="0" xfId="0" applyAlignment="1" applyBorder="1" applyFont="1">
      <alignment horizontal="center"/>
    </xf>
    <xf borderId="1" fillId="4" fontId="17" numFmtId="0" xfId="0" applyAlignment="1" applyBorder="1" applyFont="1">
      <alignment horizontal="center" readingOrder="0" shrinkToFit="0" wrapText="0"/>
    </xf>
    <xf borderId="5" fillId="0" fontId="6" numFmtId="0" xfId="0" applyBorder="1" applyFont="1"/>
    <xf borderId="3" fillId="0" fontId="18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center" readingOrder="0" shrinkToFit="0" wrapText="0"/>
    </xf>
    <xf borderId="3" fillId="0" fontId="14" numFmtId="0" xfId="0" applyAlignment="1" applyBorder="1" applyFont="1">
      <alignment horizontal="center" shrinkToFit="0" wrapText="0"/>
    </xf>
    <xf borderId="3" fillId="0" fontId="14" numFmtId="168" xfId="0" applyAlignment="1" applyBorder="1" applyFont="1" applyNumberFormat="1">
      <alignment horizontal="center" readingOrder="0" shrinkToFit="0" wrapText="0"/>
    </xf>
    <xf borderId="3" fillId="0" fontId="20" numFmtId="168" xfId="0" applyAlignment="1" applyBorder="1" applyFont="1" applyNumberFormat="1">
      <alignment horizontal="center" vertical="bottom"/>
    </xf>
    <xf borderId="5" fillId="0" fontId="19" numFmtId="0" xfId="0" applyAlignment="1" applyBorder="1" applyFont="1">
      <alignment horizontal="left" readingOrder="0" shrinkToFit="0" wrapText="0"/>
    </xf>
    <xf borderId="1" fillId="0" fontId="14" numFmtId="0" xfId="0" applyAlignment="1" applyBorder="1" applyFont="1">
      <alignment horizontal="center" shrinkToFit="0" wrapText="0"/>
    </xf>
    <xf borderId="5" fillId="0" fontId="14" numFmtId="0" xfId="0" applyAlignment="1" applyBorder="1" applyFont="1">
      <alignment horizontal="left" readingOrder="0" shrinkToFit="0" wrapText="0"/>
    </xf>
    <xf borderId="3" fillId="0" fontId="14" numFmtId="0" xfId="0" applyAlignment="1" applyBorder="1" applyFont="1">
      <alignment horizontal="center" shrinkToFit="0" wrapText="0"/>
    </xf>
    <xf borderId="3" fillId="0" fontId="14" numFmtId="3" xfId="0" applyAlignment="1" applyBorder="1" applyFont="1" applyNumberFormat="1">
      <alignment horizontal="center" shrinkToFit="0" wrapText="0"/>
    </xf>
    <xf borderId="3" fillId="0" fontId="14" numFmtId="0" xfId="0" applyAlignment="1" applyBorder="1" applyFont="1">
      <alignment horizontal="center" readingOrder="0" shrinkToFit="0" wrapText="0"/>
    </xf>
    <xf borderId="2" fillId="0" fontId="14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left" shrinkToFit="0" wrapText="0"/>
    </xf>
    <xf borderId="1" fillId="0" fontId="14" numFmtId="0" xfId="0" applyAlignment="1" applyBorder="1" applyFont="1">
      <alignment horizontal="center" readingOrder="0" shrinkToFit="0" wrapText="0"/>
    </xf>
    <xf borderId="3" fillId="0" fontId="14" numFmtId="3" xfId="0" applyAlignment="1" applyBorder="1" applyFont="1" applyNumberFormat="1">
      <alignment horizontal="center" readingOrder="0" shrinkToFit="0" wrapText="0"/>
    </xf>
    <xf borderId="0" fillId="0" fontId="21" numFmtId="0" xfId="0" applyFont="1"/>
    <xf borderId="0" fillId="0" fontId="22" numFmtId="0" xfId="0" applyAlignment="1" applyFont="1">
      <alignment horizontal="left" readingOrder="0" shrinkToFit="0" wrapText="0"/>
    </xf>
    <xf borderId="3" fillId="0" fontId="9" numFmtId="0" xfId="0" applyAlignment="1" applyBorder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6" fillId="0" fontId="23" numFmtId="0" xfId="0" applyAlignment="1" applyBorder="1" applyFont="1">
      <alignment horizontal="left" readingOrder="0" shrinkToFit="0" textRotation="90" vertical="bottom" wrapText="0"/>
    </xf>
    <xf borderId="3" fillId="3" fontId="8" numFmtId="0" xfId="0" applyAlignment="1" applyBorder="1" applyFont="1">
      <alignment readingOrder="0" textRotation="90" vertical="bottom"/>
    </xf>
    <xf borderId="3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/>
    </xf>
    <xf borderId="3" fillId="5" fontId="9" numFmtId="0" xfId="0" applyAlignment="1" applyBorder="1" applyFill="1" applyFont="1">
      <alignment horizontal="center" readingOrder="0" shrinkToFit="0" vertical="center" wrapText="0"/>
    </xf>
    <xf borderId="3" fillId="5" fontId="9" numFmtId="2" xfId="0" applyAlignment="1" applyBorder="1" applyFont="1" applyNumberFormat="1">
      <alignment horizontal="center" readingOrder="0" shrinkToFit="0" vertical="center" wrapText="0"/>
    </xf>
    <xf borderId="3" fillId="6" fontId="9" numFmtId="0" xfId="0" applyAlignment="1" applyBorder="1" applyFill="1" applyFont="1">
      <alignment horizontal="center" readingOrder="0" shrinkToFit="0" vertical="center" wrapText="0"/>
    </xf>
    <xf borderId="3" fillId="6" fontId="21" numFmtId="169" xfId="0" applyAlignment="1" applyBorder="1" applyFont="1" applyNumberFormat="1">
      <alignment horizontal="center"/>
    </xf>
    <xf borderId="3" fillId="6" fontId="21" numFmtId="170" xfId="0" applyAlignment="1" applyBorder="1" applyFont="1" applyNumberFormat="1">
      <alignment horizontal="center"/>
    </xf>
    <xf borderId="3" fillId="6" fontId="9" numFmtId="167" xfId="0" applyAlignment="1" applyBorder="1" applyFont="1" applyNumberFormat="1">
      <alignment horizontal="center" readingOrder="0" shrinkToFit="0" vertical="center" wrapText="0"/>
    </xf>
    <xf borderId="3" fillId="6" fontId="9" numFmtId="2" xfId="0" applyAlignment="1" applyBorder="1" applyFont="1" applyNumberFormat="1">
      <alignment horizontal="center" readingOrder="0" shrinkToFit="0" vertical="center" wrapText="0"/>
    </xf>
    <xf borderId="3" fillId="0" fontId="24" numFmtId="167" xfId="0" applyAlignment="1" applyBorder="1" applyFont="1" applyNumberFormat="1">
      <alignment horizontal="center" readingOrder="0"/>
    </xf>
    <xf borderId="3" fillId="5" fontId="21" numFmtId="169" xfId="0" applyAlignment="1" applyBorder="1" applyFont="1" applyNumberFormat="1">
      <alignment horizontal="center"/>
    </xf>
    <xf borderId="3" fillId="5" fontId="21" numFmtId="171" xfId="0" applyAlignment="1" applyBorder="1" applyFont="1" applyNumberFormat="1">
      <alignment horizontal="center"/>
    </xf>
    <xf borderId="0" fillId="6" fontId="9" numFmtId="2" xfId="0" applyAlignment="1" applyFont="1" applyNumberForma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/>
    </xf>
    <xf borderId="3" fillId="5" fontId="21" numFmtId="169" xfId="0" applyAlignment="1" applyBorder="1" applyFont="1" applyNumberFormat="1">
      <alignment horizontal="center"/>
    </xf>
    <xf borderId="3" fillId="5" fontId="21" numFmtId="171" xfId="0" applyAlignment="1" applyBorder="1" applyFont="1" applyNumberFormat="1">
      <alignment horizontal="center"/>
    </xf>
    <xf borderId="3" fillId="6" fontId="9" numFmtId="0" xfId="0" applyAlignment="1" applyBorder="1" applyFont="1">
      <alignment horizontal="center" readingOrder="0" shrinkToFit="0" vertical="center" wrapText="0"/>
    </xf>
    <xf borderId="3" fillId="6" fontId="21" numFmtId="169" xfId="0" applyAlignment="1" applyBorder="1" applyFont="1" applyNumberFormat="1">
      <alignment horizontal="center"/>
    </xf>
    <xf borderId="3" fillId="6" fontId="21" numFmtId="170" xfId="0" applyAlignment="1" applyBorder="1" applyFont="1" applyNumberFormat="1">
      <alignment horizontal="center"/>
    </xf>
    <xf borderId="3" fillId="6" fontId="9" numFmtId="2" xfId="0" applyAlignment="1" applyBorder="1" applyFont="1" applyNumberFormat="1">
      <alignment horizontal="center" readingOrder="0" shrinkToFit="0" vertical="center" wrapText="0"/>
    </xf>
    <xf borderId="0" fillId="6" fontId="9" numFmtId="2" xfId="0" applyAlignment="1" applyFont="1" applyNumberFormat="1">
      <alignment horizontal="center" readingOrder="0" shrinkToFit="0" vertical="center" wrapText="0"/>
    </xf>
    <xf borderId="3" fillId="0" fontId="21" numFmtId="169" xfId="0" applyAlignment="1" applyBorder="1" applyFont="1" applyNumberFormat="1">
      <alignment horizontal="center"/>
    </xf>
    <xf borderId="3" fillId="6" fontId="9" numFmtId="3" xfId="0" applyAlignment="1" applyBorder="1" applyFont="1" applyNumberFormat="1">
      <alignment horizontal="center" readingOrder="0" shrinkToFit="0" vertical="center" wrapText="0"/>
    </xf>
    <xf borderId="3" fillId="2" fontId="9" numFmtId="2" xfId="0" applyAlignment="1" applyBorder="1" applyFont="1" applyNumberFormat="1">
      <alignment horizontal="center" readingOrder="0" shrinkToFit="0" vertical="center" wrapText="0"/>
    </xf>
    <xf borderId="0" fillId="0" fontId="25" numFmtId="172" xfId="0" applyAlignment="1" applyFont="1" applyNumberFormat="1">
      <alignment horizontal="right" readingOrder="0"/>
    </xf>
    <xf borderId="6" fillId="4" fontId="17" numFmtId="0" xfId="0" applyAlignment="1" applyBorder="1" applyFont="1">
      <alignment horizontal="center" readingOrder="0" vertical="center"/>
    </xf>
    <xf borderId="7" fillId="4" fontId="26" numFmtId="0" xfId="0" applyAlignment="1" applyBorder="1" applyFont="1">
      <alignment horizontal="center" readingOrder="0" vertical="center"/>
    </xf>
    <xf borderId="6" fillId="4" fontId="16" numFmtId="0" xfId="0" applyAlignment="1" applyBorder="1" applyFont="1">
      <alignment horizontal="center" readingOrder="0" vertical="center"/>
    </xf>
    <xf borderId="0" fillId="4" fontId="16" numFmtId="0" xfId="0" applyAlignment="1" applyFont="1">
      <alignment horizontal="center" readingOrder="0" vertical="center"/>
    </xf>
    <xf borderId="0" fillId="4" fontId="26" numFmtId="0" xfId="0" applyAlignment="1" applyFont="1">
      <alignment horizontal="center" readingOrder="0" shrinkToFit="0" vertical="center" wrapText="0"/>
    </xf>
    <xf borderId="7" fillId="4" fontId="17" numFmtId="0" xfId="0" applyAlignment="1" applyBorder="1" applyFont="1">
      <alignment horizontal="center" readingOrder="0" shrinkToFit="0" vertical="center" wrapText="0"/>
    </xf>
    <xf borderId="12" fillId="0" fontId="6" numFmtId="0" xfId="0" applyBorder="1" applyFont="1"/>
    <xf borderId="3" fillId="4" fontId="15" numFmtId="0" xfId="0" applyAlignment="1" applyBorder="1" applyFont="1">
      <alignment horizontal="center" readingOrder="0" vertical="center"/>
    </xf>
    <xf borderId="3" fillId="4" fontId="16" numFmtId="0" xfId="0" applyAlignment="1" applyBorder="1" applyFont="1">
      <alignment horizontal="center" readingOrder="0" vertical="center"/>
    </xf>
    <xf borderId="13" fillId="0" fontId="6" numFmtId="0" xfId="0" applyBorder="1" applyFont="1"/>
    <xf borderId="3" fillId="0" fontId="19" numFmtId="168" xfId="0" applyAlignment="1" applyBorder="1" applyFont="1" applyNumberFormat="1">
      <alignment horizontal="center" readingOrder="0" shrinkToFit="0" wrapText="0"/>
    </xf>
    <xf borderId="2" fillId="0" fontId="19" numFmtId="0" xfId="0" applyAlignment="1" applyBorder="1" applyFont="1">
      <alignment horizontal="left" readingOrder="0" shrinkToFit="0" wrapText="0"/>
    </xf>
    <xf borderId="3" fillId="0" fontId="14" numFmtId="0" xfId="0" applyAlignment="1" applyBorder="1" applyFont="1">
      <alignment horizontal="left" readingOrder="0" shrinkToFit="0" wrapText="0"/>
    </xf>
    <xf borderId="3" fillId="0" fontId="23" numFmtId="0" xfId="0" applyAlignment="1" applyBorder="1" applyFont="1">
      <alignment horizontal="left" readingOrder="0" shrinkToFit="0" textRotation="90" vertical="bottom" wrapText="0"/>
    </xf>
    <xf borderId="6" fillId="0" fontId="21" numFmtId="0" xfId="0" applyAlignment="1" applyBorder="1" applyFont="1">
      <alignment horizontal="center" readingOrder="0" vertical="center"/>
    </xf>
    <xf borderId="14" fillId="0" fontId="21" numFmtId="49" xfId="0" applyAlignment="1" applyBorder="1" applyFont="1" applyNumberFormat="1">
      <alignment horizontal="center"/>
    </xf>
    <xf borderId="14" fillId="0" fontId="21" numFmtId="0" xfId="0" applyAlignment="1" applyBorder="1" applyFont="1">
      <alignment horizontal="center"/>
    </xf>
    <xf borderId="14" fillId="0" fontId="21" numFmtId="169" xfId="0" applyBorder="1" applyFont="1" applyNumberFormat="1"/>
    <xf borderId="14" fillId="0" fontId="21" numFmtId="169" xfId="0" applyAlignment="1" applyBorder="1" applyFont="1" applyNumberFormat="1">
      <alignment horizontal="center"/>
    </xf>
    <xf borderId="14" fillId="5" fontId="9" numFmtId="169" xfId="0" applyAlignment="1" applyBorder="1" applyFont="1" applyNumberFormat="1">
      <alignment horizontal="center" readingOrder="0" shrinkToFit="0" vertical="center" wrapText="0"/>
    </xf>
    <xf borderId="14" fillId="5" fontId="9" numFmtId="2" xfId="0" applyAlignment="1" applyBorder="1" applyFont="1" applyNumberFormat="1">
      <alignment horizontal="center" readingOrder="0" shrinkToFit="0" vertical="center" wrapText="0"/>
    </xf>
    <xf borderId="14" fillId="6" fontId="9" numFmtId="169" xfId="0" applyAlignment="1" applyBorder="1" applyFont="1" applyNumberFormat="1">
      <alignment horizontal="center" readingOrder="0" shrinkToFit="0" vertical="center" wrapText="0"/>
    </xf>
    <xf borderId="14" fillId="6" fontId="21" numFmtId="169" xfId="0" applyAlignment="1" applyBorder="1" applyFont="1" applyNumberFormat="1">
      <alignment horizontal="center"/>
    </xf>
    <xf borderId="14" fillId="6" fontId="21" numFmtId="170" xfId="0" applyAlignment="1" applyBorder="1" applyFont="1" applyNumberFormat="1">
      <alignment horizontal="center"/>
    </xf>
    <xf borderId="14" fillId="6" fontId="9" numFmtId="3" xfId="0" applyAlignment="1" applyBorder="1" applyFont="1" applyNumberFormat="1">
      <alignment horizontal="center" readingOrder="0" shrinkToFit="0" vertical="center" wrapText="0"/>
    </xf>
    <xf borderId="14" fillId="6" fontId="9" numFmtId="2" xfId="0" applyAlignment="1" applyBorder="1" applyFont="1" applyNumberFormat="1">
      <alignment horizontal="center" readingOrder="0" shrinkToFit="0" vertical="center" wrapText="0"/>
    </xf>
    <xf borderId="15" fillId="0" fontId="21" numFmtId="49" xfId="0" applyAlignment="1" applyBorder="1" applyFont="1" applyNumberFormat="1">
      <alignment horizontal="center"/>
    </xf>
    <xf borderId="15" fillId="0" fontId="21" numFmtId="0" xfId="0" applyAlignment="1" applyBorder="1" applyFont="1">
      <alignment horizontal="center"/>
    </xf>
    <xf borderId="15" fillId="0" fontId="21" numFmtId="169" xfId="0" applyBorder="1" applyFont="1" applyNumberFormat="1"/>
    <xf borderId="15" fillId="0" fontId="21" numFmtId="169" xfId="0" applyAlignment="1" applyBorder="1" applyFont="1" applyNumberFormat="1">
      <alignment horizontal="center"/>
    </xf>
    <xf borderId="15" fillId="5" fontId="21" numFmtId="169" xfId="0" applyAlignment="1" applyBorder="1" applyFont="1" applyNumberFormat="1">
      <alignment horizontal="center"/>
    </xf>
    <xf borderId="15" fillId="5" fontId="21" numFmtId="171" xfId="0" applyAlignment="1" applyBorder="1" applyFont="1" applyNumberFormat="1">
      <alignment horizontal="center"/>
    </xf>
    <xf borderId="15" fillId="6" fontId="9" numFmtId="169" xfId="0" applyAlignment="1" applyBorder="1" applyFont="1" applyNumberFormat="1">
      <alignment horizontal="center" readingOrder="0" shrinkToFit="0" vertical="center" wrapText="0"/>
    </xf>
    <xf borderId="15" fillId="6" fontId="21" numFmtId="169" xfId="0" applyAlignment="1" applyBorder="1" applyFont="1" applyNumberFormat="1">
      <alignment horizontal="center"/>
    </xf>
    <xf borderId="15" fillId="6" fontId="21" numFmtId="170" xfId="0" applyAlignment="1" applyBorder="1" applyFont="1" applyNumberFormat="1">
      <alignment horizontal="center"/>
    </xf>
    <xf borderId="15" fillId="6" fontId="9" numFmtId="3" xfId="0" applyAlignment="1" applyBorder="1" applyFont="1" applyNumberFormat="1">
      <alignment horizontal="center" readingOrder="0" shrinkToFit="0" vertical="center" wrapText="0"/>
    </xf>
    <xf borderId="15" fillId="6" fontId="9" numFmtId="2" xfId="0" applyAlignment="1" applyBorder="1" applyFont="1" applyNumberFormat="1">
      <alignment horizontal="center" readingOrder="0" shrinkToFit="0" vertical="center" wrapText="0"/>
    </xf>
    <xf borderId="6" fillId="0" fontId="9" numFmtId="0" xfId="0" applyAlignment="1" applyBorder="1" applyFont="1">
      <alignment horizontal="left" readingOrder="0" shrinkToFit="0" textRotation="90" vertical="bottom" wrapText="0"/>
    </xf>
    <xf borderId="3" fillId="2" fontId="21" numFmtId="0" xfId="0" applyAlignment="1" applyBorder="1" applyFont="1">
      <alignment horizontal="center" readingOrder="0" vertical="center"/>
    </xf>
    <xf borderId="1" fillId="2" fontId="21" numFmtId="0" xfId="0" applyAlignment="1" applyBorder="1" applyFont="1">
      <alignment horizontal="center"/>
    </xf>
    <xf borderId="2" fillId="2" fontId="6" numFmtId="0" xfId="0" applyBorder="1" applyFont="1"/>
    <xf borderId="3" fillId="2" fontId="21" numFmtId="169" xfId="0" applyAlignment="1" applyBorder="1" applyFont="1" applyNumberFormat="1">
      <alignment horizontal="center"/>
    </xf>
    <xf borderId="3" fillId="2" fontId="9" numFmtId="169" xfId="0" applyAlignment="1" applyBorder="1" applyFont="1" applyNumberFormat="1">
      <alignment horizontal="center" readingOrder="0" shrinkToFit="0" vertical="center" wrapText="0"/>
    </xf>
    <xf borderId="3" fillId="2" fontId="21" numFmtId="170" xfId="0" applyAlignment="1" applyBorder="1" applyFont="1" applyNumberFormat="1">
      <alignment horizontal="center"/>
    </xf>
    <xf borderId="3" fillId="2" fontId="9" numFmtId="3" xfId="0" applyAlignment="1" applyBorder="1" applyFont="1" applyNumberFormat="1">
      <alignment horizontal="center" readingOrder="0" shrinkToFit="0" vertical="center" wrapText="0"/>
    </xf>
    <xf borderId="3" fillId="6" fontId="21" numFmtId="0" xfId="0" applyAlignment="1" applyBorder="1" applyFont="1">
      <alignment horizontal="center" readingOrder="0" vertical="center"/>
    </xf>
    <xf borderId="1" fillId="6" fontId="21" numFmtId="0" xfId="0" applyAlignment="1" applyBorder="1" applyFont="1">
      <alignment horizontal="center"/>
    </xf>
    <xf borderId="2" fillId="6" fontId="6" numFmtId="0" xfId="0" applyBorder="1" applyFont="1"/>
    <xf borderId="3" fillId="6" fontId="9" numFmtId="169" xfId="0" applyAlignment="1" applyBorder="1" applyFont="1" applyNumberFormat="1">
      <alignment horizontal="center" readingOrder="0" shrinkToFit="0" vertical="center" wrapText="0"/>
    </xf>
    <xf borderId="3" fillId="6" fontId="9" numFmtId="3" xfId="0" applyAlignment="1" applyBorder="1" applyFont="1" applyNumberFormat="1">
      <alignment horizontal="center" readingOrder="0" shrinkToFit="0" vertical="center" wrapText="0"/>
    </xf>
    <xf borderId="6" fillId="4" fontId="27" numFmtId="0" xfId="0" applyAlignment="1" applyBorder="1" applyFont="1">
      <alignment horizontal="center" vertical="center"/>
    </xf>
    <xf borderId="7" fillId="4" fontId="28" numFmtId="0" xfId="0" applyAlignment="1" applyBorder="1" applyFont="1">
      <alignment horizontal="center" vertical="center"/>
    </xf>
    <xf borderId="6" fillId="4" fontId="28" numFmtId="0" xfId="0" applyAlignment="1" applyBorder="1" applyFont="1">
      <alignment horizontal="center" vertical="center"/>
    </xf>
    <xf borderId="0" fillId="4" fontId="28" numFmtId="0" xfId="0" applyAlignment="1" applyFont="1">
      <alignment horizontal="center" vertical="center"/>
    </xf>
    <xf borderId="0" fillId="4" fontId="29" numFmtId="0" xfId="0" applyAlignment="1" applyFont="1">
      <alignment horizontal="center" readingOrder="0" shrinkToFit="0" vertical="center" wrapText="0"/>
    </xf>
    <xf borderId="3" fillId="4" fontId="27" numFmtId="0" xfId="0" applyAlignment="1" applyBorder="1" applyFont="1">
      <alignment horizontal="center" vertical="center"/>
    </xf>
    <xf borderId="3" fillId="4" fontId="28" numFmtId="0" xfId="0" applyAlignment="1" applyBorder="1" applyFont="1">
      <alignment horizontal="center" vertical="center"/>
    </xf>
    <xf borderId="1" fillId="4" fontId="29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horizontal="left" readingOrder="0" shrinkToFit="0" textRotation="90" vertical="bottom" wrapText="0"/>
    </xf>
    <xf borderId="3" fillId="6" fontId="21" numFmtId="171" xfId="0" applyAlignment="1" applyBorder="1" applyFont="1" applyNumberFormat="1">
      <alignment horizontal="center"/>
    </xf>
    <xf borderId="3" fillId="2" fontId="21" numFmtId="171" xfId="0" applyAlignment="1" applyBorder="1" applyFont="1" applyNumberFormat="1">
      <alignment horizontal="center"/>
    </xf>
    <xf borderId="0" fillId="3" fontId="8" numFmtId="2" xfId="0" applyAlignment="1" applyFont="1" applyNumberFormat="1">
      <alignment textRotation="90" vertical="bottom"/>
    </xf>
    <xf borderId="0" fillId="2" fontId="9" numFmtId="2" xfId="0" applyAlignment="1" applyFont="1" applyNumberFormat="1">
      <alignment horizontal="center" readingOrder="0" shrinkToFit="0" vertical="center" wrapText="0"/>
    </xf>
    <xf borderId="3" fillId="5" fontId="9" numFmtId="2" xfId="0" applyAlignment="1" applyBorder="1" applyFont="1" applyNumberFormat="1">
      <alignment horizontal="center" readingOrder="0" shrinkToFit="0" vertical="center" wrapText="0"/>
    </xf>
    <xf borderId="0" fillId="0" fontId="2" numFmtId="169" xfId="0" applyFont="1" applyNumberFormat="1"/>
    <xf borderId="0" fillId="0" fontId="2" numFmtId="2" xfId="0" applyFont="1" applyNumberFormat="1"/>
    <xf borderId="0" fillId="6" fontId="30" numFmtId="0" xfId="0" applyAlignment="1" applyFont="1">
      <alignment readingOrder="0"/>
    </xf>
    <xf borderId="0" fillId="6" fontId="31" numFmtId="0" xfId="0" applyFont="1"/>
    <xf borderId="0" fillId="7" fontId="30" numFmtId="0" xfId="0" applyAlignment="1" applyFill="1" applyFont="1">
      <alignment readingOrder="0"/>
    </xf>
    <xf borderId="0" fillId="7" fontId="31" numFmtId="0" xfId="0" applyFont="1"/>
    <xf borderId="0" fillId="7" fontId="25" numFmtId="0" xfId="0" applyFont="1"/>
    <xf borderId="0" fillId="8" fontId="25" numFmtId="0" xfId="0" applyAlignment="1" applyFill="1" applyFont="1">
      <alignment readingOrder="0"/>
    </xf>
    <xf borderId="0" fillId="8" fontId="2" numFmtId="0" xfId="0" applyFont="1"/>
    <xf borderId="3" fillId="6" fontId="8" numFmtId="0" xfId="0" applyAlignment="1" applyBorder="1" applyFont="1">
      <alignment textRotation="90" vertical="bottom"/>
    </xf>
    <xf borderId="3" fillId="6" fontId="8" numFmtId="2" xfId="0" applyAlignment="1" applyBorder="1" applyFont="1" applyNumberFormat="1">
      <alignment readingOrder="0" textRotation="90" vertical="bottom"/>
    </xf>
    <xf borderId="3" fillId="6" fontId="7" numFmtId="2" xfId="0" applyAlignment="1" applyBorder="1" applyFont="1" applyNumberFormat="1">
      <alignment horizontal="left" readingOrder="0" shrinkToFit="0" textRotation="90" vertical="bottom" wrapText="0"/>
    </xf>
    <xf borderId="3" fillId="7" fontId="7" numFmtId="0" xfId="0" applyAlignment="1" applyBorder="1" applyFont="1">
      <alignment horizontal="left" readingOrder="0" shrinkToFit="0" textRotation="90" vertical="bottom" wrapText="0"/>
    </xf>
    <xf borderId="3" fillId="8" fontId="8" numFmtId="0" xfId="0" applyAlignment="1" applyBorder="1" applyFont="1">
      <alignment textRotation="90" vertical="bottom"/>
    </xf>
    <xf borderId="3" fillId="8" fontId="7" numFmtId="0" xfId="0" applyAlignment="1" applyBorder="1" applyFont="1">
      <alignment horizontal="left" readingOrder="0" shrinkToFit="0" textRotation="90" vertical="bottom" wrapText="0"/>
    </xf>
    <xf borderId="3" fillId="8" fontId="8" numFmtId="2" xfId="0" applyAlignment="1" applyBorder="1" applyFont="1" applyNumberFormat="1">
      <alignment textRotation="90" vertical="bottom"/>
    </xf>
    <xf borderId="3" fillId="0" fontId="21" numFmtId="169" xfId="0" applyAlignment="1" applyBorder="1" applyFont="1" applyNumberFormat="1">
      <alignment horizontal="center"/>
    </xf>
    <xf borderId="3" fillId="2" fontId="21" numFmtId="169" xfId="0" applyAlignment="1" applyBorder="1" applyFont="1" applyNumberFormat="1">
      <alignment horizontal="center" readingOrder="0"/>
    </xf>
    <xf borderId="3" fillId="2" fontId="9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26">
    <tableStyle count="2" pivot="0" name="여고부개인통합-style">
      <tableStyleElement dxfId="1" type="firstRowStripe"/>
      <tableStyleElement dxfId="2" type="secondRowStripe"/>
    </tableStyle>
    <tableStyle count="2" pivot="0" name="여고부개인통합-style 2">
      <tableStyleElement dxfId="1" type="firstRowStripe"/>
      <tableStyleElement dxfId="2" type="secondRowStripe"/>
    </tableStyle>
    <tableStyle count="2" pivot="0" name="여고부개인통합-style 3">
      <tableStyleElement dxfId="1" type="firstRowStripe"/>
      <tableStyleElement dxfId="2" type="secondRowStripe"/>
    </tableStyle>
    <tableStyle count="2" pivot="0" name="여고부개인통합-style 4">
      <tableStyleElement dxfId="1" type="firstRowStripe"/>
      <tableStyleElement dxfId="2" type="secondRowStripe"/>
    </tableStyle>
    <tableStyle count="2" pivot="0" name="여고부개인통합-style 5">
      <tableStyleElement dxfId="1" type="firstRowStripe"/>
      <tableStyleElement dxfId="2" type="secondRowStripe"/>
    </tableStyle>
    <tableStyle count="2" pivot="0" name="여고부개인통합-style 6">
      <tableStyleElement dxfId="1" type="firstRowStripe"/>
      <tableStyleElement dxfId="2" type="secondRowStripe"/>
    </tableStyle>
    <tableStyle count="2" pivot="0" name="3월 단양 개인별 STAT-style">
      <tableStyleElement dxfId="1" type="firstRowStripe"/>
      <tableStyleElement dxfId="2" type="secondRowStripe"/>
    </tableStyle>
    <tableStyle count="2" pivot="0" name="3월 단양 개인별 STAT-style 2">
      <tableStyleElement dxfId="1" type="firstRowStripe"/>
      <tableStyleElement dxfId="2" type="secondRowStripe"/>
    </tableStyle>
    <tableStyle count="2" pivot="0" name="3월 단양 개인별 STAT-style 3">
      <tableStyleElement dxfId="1" type="firstRowStripe"/>
      <tableStyleElement dxfId="2" type="secondRowStripe"/>
    </tableStyle>
    <tableStyle count="2" pivot="0" name="3월 단양 개인별 STAT-style 4">
      <tableStyleElement dxfId="1" type="firstRowStripe"/>
      <tableStyleElement dxfId="2" type="secondRowStripe"/>
    </tableStyle>
    <tableStyle count="2" pivot="0" name="3월 단양 개인별 STAT-style 5">
      <tableStyleElement dxfId="1" type="firstRowStripe"/>
      <tableStyleElement dxfId="2" type="secondRowStripe"/>
    </tableStyle>
    <tableStyle count="2" pivot="0" name="3월 단양 개인별 STAT-style 6">
      <tableStyleElement dxfId="1" type="firstRowStripe"/>
      <tableStyleElement dxfId="2" type="secondRowStripe"/>
    </tableStyle>
    <tableStyle count="2" pivot="0" name="3월 단양 개인별 STAT-style 7">
      <tableStyleElement dxfId="1" type="firstRowStripe"/>
      <tableStyleElement dxfId="2" type="secondRowStripe"/>
    </tableStyle>
    <tableStyle count="2" pivot="0" name="3월 단양 개인별 STAT-style 8">
      <tableStyleElement dxfId="1" type="firstRowStripe"/>
      <tableStyleElement dxfId="2" type="secondRowStripe"/>
    </tableStyle>
    <tableStyle count="2" pivot="0" name="3월 단양 개인별 STAT-style 9">
      <tableStyleElement dxfId="1" type="firstRowStripe"/>
      <tableStyleElement dxfId="2" type="secondRowStripe"/>
    </tableStyle>
    <tableStyle count="2" pivot="0" name="3월 단양 개인별 STAT-style 10">
      <tableStyleElement dxfId="1" type="firstRowStripe"/>
      <tableStyleElement dxfId="2" type="secondRowStripe"/>
    </tableStyle>
    <tableStyle count="2" pivot="0" name="3월 단양 개인별 STAT-style 11">
      <tableStyleElement dxfId="1" type="firstRowStripe"/>
      <tableStyleElement dxfId="2" type="secondRowStripe"/>
    </tableStyle>
    <tableStyle count="2" pivot="0" name="3월 단양 개인별 STAT-style 12">
      <tableStyleElement dxfId="1" type="firstRowStripe"/>
      <tableStyleElement dxfId="2" type="secondRowStripe"/>
    </tableStyle>
    <tableStyle count="2" pivot="0" name="3월 단양 개인별 STAT-style 13">
      <tableStyleElement dxfId="1" type="firstRowStripe"/>
      <tableStyleElement dxfId="2" type="secondRowStripe"/>
    </tableStyle>
    <tableStyle count="2" pivot="0" name="3월 단양 개인별 STAT-style 14">
      <tableStyleElement dxfId="1" type="firstRowStripe"/>
      <tableStyleElement dxfId="2" type="secondRowStripe"/>
    </tableStyle>
    <tableStyle count="2" pivot="0" name="3월 단양 개인별 STAT-style 15">
      <tableStyleElement dxfId="1" type="firstRowStripe"/>
      <tableStyleElement dxfId="2" type="secondRowStripe"/>
    </tableStyle>
    <tableStyle count="2" pivot="0" name="4월 삼척 개인별 STAT-style">
      <tableStyleElement dxfId="1" type="firstRowStripe"/>
      <tableStyleElement dxfId="2" type="secondRowStripe"/>
    </tableStyle>
    <tableStyle count="2" pivot="0" name="4월 삼척 개인별 STAT-style 2">
      <tableStyleElement dxfId="1" type="firstRowStripe"/>
      <tableStyleElement dxfId="2" type="secondRowStripe"/>
    </tableStyle>
    <tableStyle count="2" pivot="0" name="4월 삼척 개인별 STAT-style 3">
      <tableStyleElement dxfId="1" type="firstRowStripe"/>
      <tableStyleElement dxfId="2" type="secondRowStripe"/>
    </tableStyle>
    <tableStyle count="2" pivot="0" name="4월 삼척 개인별 STAT-style 4">
      <tableStyleElement dxfId="1" type="firstRowStripe"/>
      <tableStyleElement dxfId="2" type="secondRowStripe"/>
    </tableStyle>
    <tableStyle count="2" pivot="0" name="4월 삼척 개인별 STAT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Y94:Y103" displayName="Table_1" name="Table_1" id="1">
  <tableColumns count="1">
    <tableColumn name="Column1" id="1"/>
  </tableColumns>
  <tableStyleInfo name="여고부개인통합-style" showColumnStripes="0" showFirstColumn="1" showLastColumn="1" showRowStripes="1"/>
</table>
</file>

<file path=xl/tables/table2.xml><?xml version="1.0" encoding="utf-8"?>
<table xmlns="http://schemas.openxmlformats.org/spreadsheetml/2006/main" headerRowCount="0" ref="AE94:AE103" displayName="Table_2" name="Table_2" id="2">
  <tableColumns count="1">
    <tableColumn name="Column1" id="1"/>
  </tableColumns>
  <tableStyleInfo name="여고부개인통합-style 2" showColumnStripes="0" showFirstColumn="1" showLastColumn="1" showRowStripes="1"/>
</table>
</file>

<file path=xl/tables/table3.xml><?xml version="1.0" encoding="utf-8"?>
<table xmlns="http://schemas.openxmlformats.org/spreadsheetml/2006/main" headerRowCount="0" ref="L104:Q114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여고부개인통합-style 3" showColumnStripes="0" showFirstColumn="1" showLastColumn="1" showRowStripes="1"/>
</table>
</file>

<file path=xl/tables/table4.xml><?xml version="1.0" encoding="utf-8"?>
<table xmlns="http://schemas.openxmlformats.org/spreadsheetml/2006/main" headerRowCount="0" ref="X104:X114" displayName="Table_4" name="Table_4" id="4">
  <tableColumns count="1">
    <tableColumn name="Column1" id="1"/>
  </tableColumns>
  <tableStyleInfo name="여고부개인통합-style 4" showColumnStripes="0" showFirstColumn="1" showLastColumn="1" showRowStripes="1"/>
</table>
</file>

<file path=xl/tables/table5.xml><?xml version="1.0" encoding="utf-8"?>
<table xmlns="http://schemas.openxmlformats.org/spreadsheetml/2006/main" headerRowCount="0" ref="AF104:AF114" displayName="Table_5" name="Table_5" id="5">
  <tableColumns count="1">
    <tableColumn name="Column1" id="1"/>
  </tableColumns>
  <tableStyleInfo name="여고부개인통합-style 5" showColumnStripes="0" showFirstColumn="1" showLastColumn="1" showRowStripes="1"/>
</table>
</file>

<file path=xl/tables/table6.xml><?xml version="1.0" encoding="utf-8"?>
<table xmlns="http://schemas.openxmlformats.org/spreadsheetml/2006/main" headerRowCount="0" ref="AH113" displayName="Table_6" name="Table_6" id="6">
  <tableColumns count="1">
    <tableColumn name="Column1" id="1"/>
  </tableColumns>
  <tableStyleInfo name="여고부개인통합-style 6" showColumnStripes="0" showFirstColumn="1" showLastColumn="1" showRowStripes="1"/>
</table>
</file>

<file path=xl/tables/table7.xml><?xml version="1.0" encoding="utf-8"?>
<table xmlns="http://schemas.openxmlformats.org/spreadsheetml/2006/main" headerRowCount="0" ref="V94:V103" displayName="Table_7" name="Table_7" id="7">
  <tableColumns count="1">
    <tableColumn name="Column1" id="1"/>
  </tableColumns>
  <tableStyleInfo name="3월 단양 개인별 STAT-style" showColumnStripes="0" showFirstColumn="1" showLastColumn="1" showRowStripes="1"/>
</table>
</file>

<file path=xl/tables/table8.xml><?xml version="1.0" encoding="utf-8"?>
<table xmlns="http://schemas.openxmlformats.org/spreadsheetml/2006/main" headerRowCount="0" ref="W94:W103" displayName="Table_8" name="Table_8" id="8">
  <tableColumns count="1">
    <tableColumn name="Column1" id="1"/>
  </tableColumns>
  <tableStyleInfo name="3월 단양 개인별 STAT-style 2" showColumnStripes="0" showFirstColumn="1" showLastColumn="1" showRowStripes="1"/>
</table>
</file>

<file path=xl/tables/table9.xml><?xml version="1.0" encoding="utf-8"?>
<table xmlns="http://schemas.openxmlformats.org/spreadsheetml/2006/main" headerRowCount="0" ref="X94:X103" displayName="Table_9" name="Table_9" id="9">
  <tableColumns count="1">
    <tableColumn name="Column1" id="1"/>
  </tableColumns>
  <tableStyleInfo name="3월 단양 개인별 STAT-style 3" showColumnStripes="0" showFirstColumn="1" showLastColumn="1" showRowStripes="1"/>
</table>
</file>

<file path=xl/tables/table10.xml><?xml version="1.0" encoding="utf-8"?>
<table xmlns="http://schemas.openxmlformats.org/spreadsheetml/2006/main" headerRowCount="0" ref="Y94:Y103" displayName="Table_10" name="Table_10" id="10">
  <tableColumns count="1">
    <tableColumn name="Column1" id="1"/>
  </tableColumns>
  <tableStyleInfo name="3월 단양 개인별 STAT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A94:AA103" displayName="Table_11" name="Table_11" id="11">
  <tableColumns count="1">
    <tableColumn name="Column1" id="1"/>
  </tableColumns>
  <tableStyleInfo name="3월 단양 개인별 STAT-style 5" showColumnStripes="0" showFirstColumn="1" showLastColumn="1" showRowStripes="1"/>
</table>
</file>

<file path=xl/tables/table12.xml><?xml version="1.0" encoding="utf-8"?>
<table xmlns="http://schemas.openxmlformats.org/spreadsheetml/2006/main" headerRowCount="0" ref="AE94:AE103" displayName="Table_12" name="Table_12" id="12">
  <tableColumns count="1">
    <tableColumn name="Column1" id="1"/>
  </tableColumns>
  <tableStyleInfo name="3월 단양 개인별 STAT-style 6" showColumnStripes="0" showFirstColumn="1" showLastColumn="1" showRowStripes="1"/>
</table>
</file>

<file path=xl/tables/table13.xml><?xml version="1.0" encoding="utf-8"?>
<table xmlns="http://schemas.openxmlformats.org/spreadsheetml/2006/main" headerRowCount="0" ref="AF94:AF103" displayName="Table_13" name="Table_13" id="13">
  <tableColumns count="1">
    <tableColumn name="Column1" id="1"/>
  </tableColumns>
  <tableStyleInfo name="3월 단양 개인별 STAT-style 7" showColumnStripes="0" showFirstColumn="1" showLastColumn="1" showRowStripes="1"/>
</table>
</file>

<file path=xl/tables/table14.xml><?xml version="1.0" encoding="utf-8"?>
<table xmlns="http://schemas.openxmlformats.org/spreadsheetml/2006/main" headerRowCount="0" ref="L104:Q113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월 단양 개인별 STAT-style 8" showColumnStripes="0" showFirstColumn="1" showLastColumn="1" showRowStripes="1"/>
</table>
</file>

<file path=xl/tables/table15.xml><?xml version="1.0" encoding="utf-8"?>
<table xmlns="http://schemas.openxmlformats.org/spreadsheetml/2006/main" headerRowCount="0" ref="T104:T113" displayName="Table_15" name="Table_15" id="15">
  <tableColumns count="1">
    <tableColumn name="Column1" id="1"/>
  </tableColumns>
  <tableStyleInfo name="3월 단양 개인별 STAT-style 9" showColumnStripes="0" showFirstColumn="1" showLastColumn="1" showRowStripes="1"/>
</table>
</file>

<file path=xl/tables/table16.xml><?xml version="1.0" encoding="utf-8"?>
<table xmlns="http://schemas.openxmlformats.org/spreadsheetml/2006/main" headerRowCount="0" ref="U104:U113" displayName="Table_16" name="Table_16" id="16">
  <tableColumns count="1">
    <tableColumn name="Column1" id="1"/>
  </tableColumns>
  <tableStyleInfo name="3월 단양 개인별 STAT-style 10" showColumnStripes="0" showFirstColumn="1" showLastColumn="1" showRowStripes="1"/>
</table>
</file>

<file path=xl/tables/table17.xml><?xml version="1.0" encoding="utf-8"?>
<table xmlns="http://schemas.openxmlformats.org/spreadsheetml/2006/main" headerRowCount="0" ref="W104:W113" displayName="Table_17" name="Table_17" id="17">
  <tableColumns count="1">
    <tableColumn name="Column1" id="1"/>
  </tableColumns>
  <tableStyleInfo name="3월 단양 개인별 STAT-style 11" showColumnStripes="0" showFirstColumn="1" showLastColumn="1" showRowStripes="1"/>
</table>
</file>

<file path=xl/tables/table18.xml><?xml version="1.0" encoding="utf-8"?>
<table xmlns="http://schemas.openxmlformats.org/spreadsheetml/2006/main" headerRowCount="0" ref="X104:X113" displayName="Table_18" name="Table_18" id="18">
  <tableColumns count="1">
    <tableColumn name="Column1" id="1"/>
  </tableColumns>
  <tableStyleInfo name="3월 단양 개인별 STAT-style 12" showColumnStripes="0" showFirstColumn="1" showLastColumn="1" showRowStripes="1"/>
</table>
</file>

<file path=xl/tables/table19.xml><?xml version="1.0" encoding="utf-8"?>
<table xmlns="http://schemas.openxmlformats.org/spreadsheetml/2006/main" headerRowCount="0" ref="AA104:AA113" displayName="Table_19" name="Table_19" id="19">
  <tableColumns count="1">
    <tableColumn name="Column1" id="1"/>
  </tableColumns>
  <tableStyleInfo name="3월 단양 개인별 STAT-style 13" showColumnStripes="0" showFirstColumn="1" showLastColumn="1" showRowStripes="1"/>
</table>
</file>

<file path=xl/tables/table20.xml><?xml version="1.0" encoding="utf-8"?>
<table xmlns="http://schemas.openxmlformats.org/spreadsheetml/2006/main" headerRowCount="0" ref="AE104:AE113" displayName="Table_20" name="Table_20" id="20">
  <tableColumns count="1">
    <tableColumn name="Column1" id="1"/>
  </tableColumns>
  <tableStyleInfo name="3월 단양 개인별 STAT-style 14" showColumnStripes="0" showFirstColumn="1" showLastColumn="1" showRowStripes="1"/>
</table>
</file>

<file path=xl/tables/table21.xml><?xml version="1.0" encoding="utf-8"?>
<table xmlns="http://schemas.openxmlformats.org/spreadsheetml/2006/main" headerRowCount="0" ref="AF104:AF113" displayName="Table_21" name="Table_21" id="21">
  <tableColumns count="1">
    <tableColumn name="Column1" id="1"/>
  </tableColumns>
  <tableStyleInfo name="3월 단양 개인별 STAT-style 15" showColumnStripes="0" showFirstColumn="1" showLastColumn="1" showRowStripes="1"/>
</table>
</file>

<file path=xl/tables/table22.xml><?xml version="1.0" encoding="utf-8"?>
<table xmlns="http://schemas.openxmlformats.org/spreadsheetml/2006/main" headerRowCount="0" ref="E4:Q84" displayName="Table_22" name="Table_22" id="2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4월 삼척 개인별 STAT-style" showColumnStripes="0" showFirstColumn="1" showLastColumn="1" showRowStripes="1"/>
</table>
</file>

<file path=xl/tables/table23.xml><?xml version="1.0" encoding="utf-8"?>
<table xmlns="http://schemas.openxmlformats.org/spreadsheetml/2006/main" headerRowCount="0" ref="T4:Y84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4월 삼척 개인별 STAT-style 2" showColumnStripes="0" showFirstColumn="1" showLastColumn="1" showRowStripes="1"/>
</table>
</file>

<file path=xl/tables/table24.xml><?xml version="1.0" encoding="utf-8"?>
<table xmlns="http://schemas.openxmlformats.org/spreadsheetml/2006/main" headerRowCount="0" ref="AA4:AA84" displayName="Table_24" name="Table_24" id="24">
  <tableColumns count="1">
    <tableColumn name="Column1" id="1"/>
  </tableColumns>
  <tableStyleInfo name="4월 삼척 개인별 STAT-style 3" showColumnStripes="0" showFirstColumn="1" showLastColumn="1" showRowStripes="1"/>
</table>
</file>

<file path=xl/tables/table25.xml><?xml version="1.0" encoding="utf-8"?>
<table xmlns="http://schemas.openxmlformats.org/spreadsheetml/2006/main" headerRowCount="0" ref="AE4:AF84" displayName="Table_25" name="Table_25" id="25">
  <tableColumns count="2">
    <tableColumn name="Column1" id="1"/>
    <tableColumn name="Column2" id="2"/>
  </tableColumns>
  <tableStyleInfo name="4월 삼척 개인별 STAT-style 4" showColumnStripes="0" showFirstColumn="1" showLastColumn="1" showRowStripes="1"/>
</table>
</file>

<file path=xl/tables/table26.xml><?xml version="1.0" encoding="utf-8"?>
<table xmlns="http://schemas.openxmlformats.org/spreadsheetml/2006/main" headerRowCount="0" ref="AH4:AH84" displayName="Table_26" name="Table_26" id="26">
  <tableColumns count="1">
    <tableColumn name="Column1" id="1"/>
  </tableColumns>
  <tableStyleInfo name="4월 삼척 개인별 STAT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.xml"/><Relationship Id="rId31" Type="http://schemas.openxmlformats.org/officeDocument/2006/relationships/table" Target="../tables/table21.xml"/><Relationship Id="rId30" Type="http://schemas.openxmlformats.org/officeDocument/2006/relationships/table" Target="../tables/table20.xml"/><Relationship Id="rId22" Type="http://schemas.openxmlformats.org/officeDocument/2006/relationships/table" Target="../tables/table12.xml"/><Relationship Id="rId21" Type="http://schemas.openxmlformats.org/officeDocument/2006/relationships/table" Target="../tables/table11.xml"/><Relationship Id="rId24" Type="http://schemas.openxmlformats.org/officeDocument/2006/relationships/table" Target="../tables/table14.xml"/><Relationship Id="rId23" Type="http://schemas.openxmlformats.org/officeDocument/2006/relationships/table" Target="../tables/table13.xml"/><Relationship Id="rId1" Type="http://schemas.openxmlformats.org/officeDocument/2006/relationships/drawing" Target="../drawings/drawing2.xml"/><Relationship Id="rId26" Type="http://schemas.openxmlformats.org/officeDocument/2006/relationships/table" Target="../tables/table16.xml"/><Relationship Id="rId25" Type="http://schemas.openxmlformats.org/officeDocument/2006/relationships/table" Target="../tables/table15.xml"/><Relationship Id="rId17" Type="http://schemas.openxmlformats.org/officeDocument/2006/relationships/table" Target="../tables/table7.xml"/><Relationship Id="rId28" Type="http://schemas.openxmlformats.org/officeDocument/2006/relationships/table" Target="../tables/table18.xml"/><Relationship Id="rId27" Type="http://schemas.openxmlformats.org/officeDocument/2006/relationships/table" Target="../tables/table17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Relationship Id="rId29" Type="http://schemas.openxmlformats.org/officeDocument/2006/relationships/table" Target="../tables/table19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6.xml"/><Relationship Id="rId10" Type="http://schemas.openxmlformats.org/officeDocument/2006/relationships/table" Target="../tables/table25.xml"/><Relationship Id="rId1" Type="http://schemas.openxmlformats.org/officeDocument/2006/relationships/drawing" Target="../drawings/drawing3.xml"/><Relationship Id="rId9" Type="http://schemas.openxmlformats.org/officeDocument/2006/relationships/table" Target="../tables/table24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0.5"/>
    <col customWidth="1" min="2" max="2" width="4.13"/>
    <col customWidth="1" min="3" max="3" width="4.38"/>
    <col customWidth="1" min="4" max="4" width="10.25"/>
    <col customWidth="1" min="5" max="5" width="8.13"/>
    <col customWidth="1" min="6" max="9" width="5.88"/>
    <col customWidth="1" min="10" max="14" width="6.38"/>
    <col customWidth="1" min="15" max="17" width="6.13"/>
    <col customWidth="1" min="18" max="18" width="6.88"/>
    <col customWidth="1" min="19" max="19" width="7.38"/>
    <col customWidth="1" min="20" max="27" width="6.13"/>
    <col customWidth="1" min="28" max="28" width="7.25"/>
    <col customWidth="1" min="29" max="29" width="6.88"/>
    <col customWidth="1" min="30" max="32" width="6.13"/>
    <col customWidth="1" min="33" max="33" width="6.63"/>
    <col customWidth="1" min="34" max="35" width="6.13"/>
    <col customWidth="1" min="36" max="37" width="4.25"/>
    <col customWidth="1" min="38" max="50" width="6.13"/>
  </cols>
  <sheetData>
    <row r="1">
      <c r="A1" s="1"/>
      <c r="B1" s="1" t="s">
        <v>0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C2" s="2" t="s">
        <v>1</v>
      </c>
      <c r="AL2" s="3" t="s">
        <v>2</v>
      </c>
      <c r="AM2" s="4"/>
      <c r="AN2" s="4"/>
      <c r="AO2" s="4"/>
      <c r="AP2" s="4"/>
      <c r="AQ2" s="5"/>
      <c r="AR2" s="5"/>
      <c r="AS2" s="5"/>
      <c r="AT2" s="5"/>
    </row>
    <row r="3" ht="70.5" customHeight="1">
      <c r="B3" s="6" t="s">
        <v>3</v>
      </c>
      <c r="C3" s="7"/>
      <c r="D3" s="8" t="s">
        <v>4</v>
      </c>
      <c r="E3" s="8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1" t="s">
        <v>18</v>
      </c>
      <c r="S3" s="12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1" t="s">
        <v>26</v>
      </c>
      <c r="AA3" s="10" t="s">
        <v>27</v>
      </c>
      <c r="AB3" s="11" t="s">
        <v>28</v>
      </c>
      <c r="AC3" s="11" t="s">
        <v>29</v>
      </c>
      <c r="AD3" s="11" t="s">
        <v>30</v>
      </c>
      <c r="AE3" s="10" t="s">
        <v>31</v>
      </c>
      <c r="AF3" s="10" t="s">
        <v>32</v>
      </c>
      <c r="AG3" s="11" t="s">
        <v>33</v>
      </c>
      <c r="AH3" s="10" t="s">
        <v>34</v>
      </c>
      <c r="AI3" s="13" t="s">
        <v>35</v>
      </c>
      <c r="AJ3" s="14"/>
      <c r="AK3" s="14"/>
      <c r="AL3" s="9" t="s">
        <v>36</v>
      </c>
      <c r="AM3" s="15" t="s">
        <v>37</v>
      </c>
      <c r="AN3" s="16" t="s">
        <v>38</v>
      </c>
      <c r="AO3" s="9" t="s">
        <v>39</v>
      </c>
      <c r="AP3" s="9" t="s">
        <v>40</v>
      </c>
      <c r="AQ3" s="15" t="s">
        <v>41</v>
      </c>
      <c r="AR3" s="15" t="s">
        <v>42</v>
      </c>
      <c r="AS3" s="9" t="s">
        <v>43</v>
      </c>
      <c r="AT3" s="9" t="s">
        <v>44</v>
      </c>
      <c r="AU3" s="14"/>
      <c r="AV3" s="14"/>
      <c r="AW3" s="14"/>
      <c r="AX3" s="14"/>
    </row>
    <row r="4">
      <c r="B4" s="17">
        <v>1.0</v>
      </c>
      <c r="C4" s="18">
        <f t="shared" ref="C4:C151" si="2">if(D4=D3,C3+1,1)</f>
        <v>1</v>
      </c>
      <c r="D4" s="19" t="s">
        <v>45</v>
      </c>
      <c r="E4" s="19" t="s">
        <v>46</v>
      </c>
      <c r="F4" s="19">
        <v>3.0</v>
      </c>
      <c r="G4" s="19" t="s">
        <v>47</v>
      </c>
      <c r="H4" s="19" t="s">
        <v>48</v>
      </c>
      <c r="I4" s="19">
        <v>182.0</v>
      </c>
      <c r="J4" s="19">
        <v>65.0</v>
      </c>
      <c r="K4" s="20">
        <v>1.0</v>
      </c>
      <c r="L4" s="20">
        <f>SUMIFS('3월 단양 개인별 STAT'!L:L, '3월 단양 개인별 STAT'!$D:$D, $D4, '3월 단양 개인별 STAT'!$E:$E, $E4) + SUMIFS('4월 삼척 개인별 STAT'!L:L, '4월 삼척 개인별 STAT'!$D:$D, $D4, '4월 삼척 개인별 STAT'!$E:$E, $E4)</f>
        <v>2</v>
      </c>
      <c r="M4" s="20">
        <f>SUMIFS('3월 단양 개인별 STAT'!M:M, '3월 단양 개인별 STAT'!$D:$D, $D4, '3월 단양 개인별 STAT'!$E:$E, $E4) + SUMIFS('4월 삼척 개인별 STAT'!M:M, '4월 삼척 개인별 STAT'!$D:$D, $D4, '4월 삼척 개인별 STAT'!$E:$E, $E4)</f>
        <v>7</v>
      </c>
      <c r="N4" s="20">
        <f>SUMIFS('3월 단양 개인별 STAT'!N:N, '3월 단양 개인별 STAT'!$D:$D, $D4, '3월 단양 개인별 STAT'!$E:$E, $E4) + SUMIFS('4월 삼척 개인별 STAT'!N:N, '4월 삼척 개인별 STAT'!$D:$D, $D4, '4월 삼척 개인별 STAT'!$E:$E, $E4)</f>
        <v>5</v>
      </c>
      <c r="O4" s="20">
        <f>SUMIFS('3월 단양 개인별 STAT'!O:O, '3월 단양 개인별 STAT'!$D:$D, $D4, '3월 단양 개인별 STAT'!$E:$E, $E4) + SUMIFS('4월 삼척 개인별 STAT'!O:O, '4월 삼척 개인별 STAT'!$D:$D, $D4, '4월 삼척 개인별 STAT'!$E:$E, $E4)</f>
        <v>0</v>
      </c>
      <c r="P4" s="20">
        <f>SUMIFS('3월 단양 개인별 STAT'!P:P, '3월 단양 개인별 STAT'!$D:$D, $D4, '3월 단양 개인별 STAT'!$E:$E, $E4) + SUMIFS('4월 삼척 개인별 STAT'!P:P, '4월 삼척 개인별 STAT'!$D:$D, $D4, '4월 삼척 개인별 STAT'!$E:$E, $E4)</f>
        <v>5</v>
      </c>
      <c r="Q4" s="20">
        <f>SUMIFS('3월 단양 개인별 STAT'!Q:Q, '3월 단양 개인별 STAT'!$D:$D, $D4, '3월 단양 개인별 STAT'!$E:$E, $E4) + SUMIFS('4월 삼척 개인별 STAT'!Q:Q, '4월 삼척 개인별 STAT'!$D:$D, $D4, '4월 삼척 개인별 STAT'!$E:$E, $E4)</f>
        <v>4</v>
      </c>
      <c r="R4" s="21">
        <f t="shared" ref="R4:R152" si="3">if(Q4+P4+N4=0,"-",Q4+P4+N4)</f>
        <v>14</v>
      </c>
      <c r="S4" s="22">
        <f t="shared" ref="S4:S152" si="4">if(iferror((N4-Q4)/R4,0)=0,"-",round((N4-Q4)/R4,2))</f>
        <v>0.07</v>
      </c>
      <c r="T4" s="20">
        <f>SUMIFS('3월 단양 개인별 STAT'!T:T, '3월 단양 개인별 STAT'!$D:$D, $D4, '3월 단양 개인별 STAT'!$E:$E, $E4) + SUMIFS('4월 삼척 개인별 STAT'!T:T, '4월 삼척 개인별 STAT'!$D:$D, $D4, '4월 삼척 개인별 STAT'!$E:$E, $E4)</f>
        <v>3</v>
      </c>
      <c r="U4" s="20">
        <f>SUMIFS('3월 단양 개인별 STAT'!U:U, '3월 단양 개인별 STAT'!$D:$D, $D4, '3월 단양 개인별 STAT'!$E:$E, $E4) + SUMIFS('4월 삼척 개인별 STAT'!U:U, '4월 삼척 개인별 STAT'!$D:$D, $D4, '4월 삼척 개인별 STAT'!$E:$E, $E4)</f>
        <v>0</v>
      </c>
      <c r="V4" s="20">
        <f>SUMIFS('3월 단양 개인별 STAT'!V:V, '3월 단양 개인별 STAT'!$D:$D, $D4, '3월 단양 개인별 STAT'!$E:$E, $E4) + SUMIFS('4월 삼척 개인별 STAT'!V:V, '4월 삼척 개인별 STAT'!$D:$D, $D4, '4월 삼척 개인별 STAT'!$E:$E, $E4)</f>
        <v>0</v>
      </c>
      <c r="W4" s="20">
        <f>SUMIFS('3월 단양 개인별 STAT'!W:W, '3월 단양 개인별 STAT'!$D:$D, $D4, '3월 단양 개인별 STAT'!$E:$E, $E4) + SUMIFS('4월 삼척 개인별 STAT'!W:W, '4월 삼척 개인별 STAT'!$D:$D, $D4, '4월 삼척 개인별 STAT'!$E:$E, $E4)</f>
        <v>30</v>
      </c>
      <c r="X4" s="20">
        <f>SUMIFS('3월 단양 개인별 STAT'!X:X, '3월 단양 개인별 STAT'!$D:$D, $D4, '3월 단양 개인별 STAT'!$E:$E, $E4) + SUMIFS('4월 삼척 개인별 STAT'!X:X, '4월 삼척 개인별 STAT'!$D:$D, $D4, '4월 삼척 개인별 STAT'!$E:$E, $E4)</f>
        <v>1</v>
      </c>
      <c r="Y4" s="20">
        <f>SUMIFS('3월 단양 개인별 STAT'!Y:Y, '3월 단양 개인별 STAT'!$D:$D, $D4, '3월 단양 개인별 STAT'!$E:$E, $E4) + SUMIFS('4월 삼척 개인별 STAT'!Y:Y, '4월 삼척 개인별 STAT'!$D:$D, $D4, '4월 삼척 개인별 STAT'!$E:$E, $E4)</f>
        <v>0</v>
      </c>
      <c r="Z4" s="21">
        <f t="shared" ref="Z4:Z152" si="5">IF(Y4+X4+W4=0,"-",Y4+X4+W4)</f>
        <v>31</v>
      </c>
      <c r="AA4" s="20">
        <f>SUMIFS('3월 단양 개인별 STAT'!AA:AA, '3월 단양 개인별 STAT'!$D:$D, $D4, '3월 단양 개인별 STAT'!$E:$E, $E4) + SUMIFS('4월 삼척 개인별 STAT'!AA:AA, '4월 삼척 개인별 STAT'!$D:$D, $D4, '4월 삼척 개인별 STAT'!$E:$E, $E4)</f>
        <v>0</v>
      </c>
      <c r="AB4" s="21">
        <f t="shared" ref="AB4:AB152" si="6">if((T4+X4+N4)=0, "-",T4+X4+N4)</f>
        <v>9</v>
      </c>
      <c r="AC4" s="23">
        <f t="shared" ref="AC4:AC152" si="7">N4+T4+X4+(V4*0.75)</f>
        <v>9</v>
      </c>
      <c r="AD4" s="21">
        <f t="shared" ref="AD4:AD152" si="8">IF(AE4+AF4=0,"-",AE4+AF4)</f>
        <v>2</v>
      </c>
      <c r="AE4" s="20">
        <f>SUMIFS('3월 단양 개인별 STAT'!AE:AE, '3월 단양 개인별 STAT'!$D:$D, $D4, '3월 단양 개인별 STAT'!$E:$E, $E4) + SUMIFS('4월 삼척 개인별 STAT'!AE:AE, '4월 삼척 개인별 STAT'!$D:$D, $D4, '4월 삼척 개인별 STAT'!$E:$E, $E4)</f>
        <v>2</v>
      </c>
      <c r="AF4" s="20">
        <f>SUMIFS('3월 단양 개인별 STAT'!AF:AF, '3월 단양 개인별 STAT'!$D:$D, $D4, '3월 단양 개인별 STAT'!$E:$E, $E4) + SUMIFS('4월 삼척 개인별 STAT'!AF:AF, '4월 삼척 개인별 STAT'!$D:$D, $D4, '4월 삼척 개인별 STAT'!$E:$E, $E4)</f>
        <v>0</v>
      </c>
      <c r="AG4" s="24">
        <f t="shared" ref="AG4:AG152" si="9">iferror((AE4/AD4)*100,"-")</f>
        <v>100</v>
      </c>
      <c r="AH4" s="20">
        <f>SUMIFS('3월 단양 개인별 STAT'!AH:AH, '3월 단양 개인별 STAT'!$D:$D, $D4, '3월 단양 개인별 STAT'!$E:$E, $E4) + SUMIFS('4월 삼척 개인별 STAT'!AH:AH, '4월 삼척 개인별 STAT'!$D:$D, $D4, '4월 삼척 개인별 STAT'!$E:$E, $E4)</f>
        <v>3</v>
      </c>
      <c r="AI4" s="22" t="str">
        <f t="shared" ref="AI4:AI152" si="10">IFERROR(IF(MOD(AH4/M4, 1)=0, TEXT(AH4/M4, "0"), TEXT(AH4/M4, "0.00")), "-")</f>
        <v>0.43</v>
      </c>
      <c r="AJ4" s="25"/>
      <c r="AK4" s="26"/>
      <c r="AL4" s="27">
        <f t="shared" ref="AL4:AL152" si="11">iferror(N4/$M4,"-")</f>
        <v>0.7142857143</v>
      </c>
      <c r="AM4" s="27">
        <f t="shared" ref="AM4:AM14" si="12">iferror(R4/$M4,"-")</f>
        <v>2</v>
      </c>
      <c r="AN4" s="28">
        <f t="shared" ref="AN4:AN152" si="13">iferror(N4/R4,"-")</f>
        <v>0.3571428571</v>
      </c>
      <c r="AO4" s="27">
        <f t="shared" ref="AO4:AO152" si="14">iferror(T4/$M4,"-")</f>
        <v>0.4285714286</v>
      </c>
      <c r="AP4" s="27">
        <f t="shared" ref="AP4:AP152" si="15">iferror(X4/$M4,"-")</f>
        <v>0.1428571429</v>
      </c>
      <c r="AQ4" s="27">
        <f t="shared" ref="AQ4:AR4" si="1">iferror(AB4/$M4,"-")</f>
        <v>1.285714286</v>
      </c>
      <c r="AR4" s="27">
        <f t="shared" si="1"/>
        <v>1.285714286</v>
      </c>
      <c r="AS4" s="29">
        <f t="shared" ref="AS4:AS152" si="17">iferror(AF4/M4,"-")</f>
        <v>0</v>
      </c>
      <c r="AT4" s="29" t="str">
        <f t="shared" ref="AT4:AT152" si="18">AI4</f>
        <v>0.43</v>
      </c>
      <c r="AU4" s="26"/>
      <c r="AV4" s="26"/>
      <c r="AW4" s="26"/>
      <c r="AX4" s="26"/>
    </row>
    <row r="5">
      <c r="B5" s="17">
        <v>2.0</v>
      </c>
      <c r="C5" s="18">
        <f t="shared" si="2"/>
        <v>2</v>
      </c>
      <c r="D5" s="19" t="s">
        <v>45</v>
      </c>
      <c r="E5" s="19" t="s">
        <v>49</v>
      </c>
      <c r="F5" s="19">
        <v>3.0</v>
      </c>
      <c r="G5" s="19" t="s">
        <v>50</v>
      </c>
      <c r="H5" s="19" t="s">
        <v>48</v>
      </c>
      <c r="I5" s="19">
        <v>161.0</v>
      </c>
      <c r="J5" s="19">
        <v>59.0</v>
      </c>
      <c r="K5" s="20">
        <v>3.0</v>
      </c>
      <c r="L5" s="20">
        <f>SUMIFS('3월 단양 개인별 STAT'!L:L, '3월 단양 개인별 STAT'!$D:$D, $D5, '3월 단양 개인별 STAT'!$E:$E, $E5) + SUMIFS('4월 삼척 개인별 STAT'!L:L, '4월 삼척 개인별 STAT'!$D:$D, $D5, '4월 삼척 개인별 STAT'!$E:$E, $E5)</f>
        <v>2</v>
      </c>
      <c r="M5" s="20">
        <f>SUMIFS('3월 단양 개인별 STAT'!M:M, '3월 단양 개인별 STAT'!$D:$D, $D5, '3월 단양 개인별 STAT'!$E:$E, $E5) + SUMIFS('4월 삼척 개인별 STAT'!M:M, '4월 삼척 개인별 STAT'!$D:$D, $D5, '4월 삼척 개인별 STAT'!$E:$E, $E5)</f>
        <v>7</v>
      </c>
      <c r="N5" s="20">
        <f>SUMIFS('3월 단양 개인별 STAT'!N:N, '3월 단양 개인별 STAT'!$D:$D, $D5, '3월 단양 개인별 STAT'!$E:$E, $E5) + SUMIFS('4월 삼척 개인별 STAT'!N:N, '4월 삼척 개인별 STAT'!$D:$D, $D5, '4월 삼척 개인별 STAT'!$E:$E, $E5)</f>
        <v>0</v>
      </c>
      <c r="O5" s="20">
        <f>SUMIFS('3월 단양 개인별 STAT'!O:O, '3월 단양 개인별 STAT'!$D:$D, $D5, '3월 단양 개인별 STAT'!$E:$E, $E5) + SUMIFS('4월 삼척 개인별 STAT'!O:O, '4월 삼척 개인별 STAT'!$D:$D, $D5, '4월 삼척 개인별 STAT'!$E:$E, $E5)</f>
        <v>4</v>
      </c>
      <c r="P5" s="20">
        <f>SUMIFS('3월 단양 개인별 STAT'!P:P, '3월 단양 개인별 STAT'!$D:$D, $D5, '3월 단양 개인별 STAT'!$E:$E, $E5) + SUMIFS('4월 삼척 개인별 STAT'!P:P, '4월 삼척 개인별 STAT'!$D:$D, $D5, '4월 삼척 개인별 STAT'!$E:$E, $E5)</f>
        <v>0</v>
      </c>
      <c r="Q5" s="20">
        <f>SUMIFS('3월 단양 개인별 STAT'!Q:Q, '3월 단양 개인별 STAT'!$D:$D, $D5, '3월 단양 개인별 STAT'!$E:$E, $E5) + SUMIFS('4월 삼척 개인별 STAT'!Q:Q, '4월 삼척 개인별 STAT'!$D:$D, $D5, '4월 삼척 개인별 STAT'!$E:$E, $E5)</f>
        <v>0</v>
      </c>
      <c r="R5" s="30" t="str">
        <f t="shared" si="3"/>
        <v>-</v>
      </c>
      <c r="S5" s="22" t="str">
        <f t="shared" si="4"/>
        <v>-</v>
      </c>
      <c r="T5" s="20">
        <f>SUMIFS('3월 단양 개인별 STAT'!T:T, '3월 단양 개인별 STAT'!$D:$D, $D5, '3월 단양 개인별 STAT'!$E:$E, $E5) + SUMIFS('4월 삼척 개인별 STAT'!T:T, '4월 삼척 개인별 STAT'!$D:$D, $D5, '4월 삼척 개인별 STAT'!$E:$E, $E5)</f>
        <v>0</v>
      </c>
      <c r="U5" s="20">
        <f>SUMIFS('3월 단양 개인별 STAT'!U:U, '3월 단양 개인별 STAT'!$D:$D, $D5, '3월 단양 개인별 STAT'!$E:$E, $E5) + SUMIFS('4월 삼척 개인별 STAT'!U:U, '4월 삼척 개인별 STAT'!$D:$D, $D5, '4월 삼척 개인별 STAT'!$E:$E, $E5)</f>
        <v>0</v>
      </c>
      <c r="V5" s="20">
        <f>SUMIFS('3월 단양 개인별 STAT'!V:V, '3월 단양 개인별 STAT'!$D:$D, $D5, '3월 단양 개인별 STAT'!$E:$E, $E5) + SUMIFS('4월 삼척 개인별 STAT'!V:V, '4월 삼척 개인별 STAT'!$D:$D, $D5, '4월 삼척 개인별 STAT'!$E:$E, $E5)</f>
        <v>0</v>
      </c>
      <c r="W5" s="20">
        <f>SUMIFS('3월 단양 개인별 STAT'!W:W, '3월 단양 개인별 STAT'!$D:$D, $D5, '3월 단양 개인별 STAT'!$E:$E, $E5) + SUMIFS('4월 삼척 개인별 STAT'!W:W, '4월 삼척 개인별 STAT'!$D:$D, $D5, '4월 삼척 개인별 STAT'!$E:$E, $E5)</f>
        <v>0</v>
      </c>
      <c r="X5" s="20">
        <f>SUMIFS('3월 단양 개인별 STAT'!X:X, '3월 단양 개인별 STAT'!$D:$D, $D5, '3월 단양 개인별 STAT'!$E:$E, $E5) + SUMIFS('4월 삼척 개인별 STAT'!X:X, '4월 삼척 개인별 STAT'!$D:$D, $D5, '4월 삼척 개인별 STAT'!$E:$E, $E5)</f>
        <v>0</v>
      </c>
      <c r="Y5" s="20">
        <f>SUMIFS('3월 단양 개인별 STAT'!Y:Y, '3월 단양 개인별 STAT'!$D:$D, $D5, '3월 단양 개인별 STAT'!$E:$E, $E5) + SUMIFS('4월 삼척 개인별 STAT'!Y:Y, '4월 삼척 개인별 STAT'!$D:$D, $D5, '4월 삼척 개인별 STAT'!$E:$E, $E5)</f>
        <v>0</v>
      </c>
      <c r="Z5" s="30" t="str">
        <f t="shared" si="5"/>
        <v>-</v>
      </c>
      <c r="AA5" s="20">
        <f>SUMIFS('3월 단양 개인별 STAT'!AA:AA, '3월 단양 개인별 STAT'!$D:$D, $D5, '3월 단양 개인별 STAT'!$E:$E, $E5) + SUMIFS('4월 삼척 개인별 STAT'!AA:AA, '4월 삼척 개인별 STAT'!$D:$D, $D5, '4월 삼척 개인별 STAT'!$E:$E, $E5)</f>
        <v>0</v>
      </c>
      <c r="AB5" s="30" t="str">
        <f t="shared" si="6"/>
        <v>-</v>
      </c>
      <c r="AC5" s="23">
        <f t="shared" si="7"/>
        <v>0</v>
      </c>
      <c r="AD5" s="21">
        <f t="shared" si="8"/>
        <v>42</v>
      </c>
      <c r="AE5" s="20">
        <f>SUMIFS('3월 단양 개인별 STAT'!AE:AE, '3월 단양 개인별 STAT'!$D:$D, $D5, '3월 단양 개인별 STAT'!$E:$E, $E5) + SUMIFS('4월 삼척 개인별 STAT'!AE:AE, '4월 삼척 개인별 STAT'!$D:$D, $D5, '4월 삼척 개인별 STAT'!$E:$E, $E5)</f>
        <v>39</v>
      </c>
      <c r="AF5" s="20">
        <f>SUMIFS('3월 단양 개인별 STAT'!AF:AF, '3월 단양 개인별 STAT'!$D:$D, $D5, '3월 단양 개인별 STAT'!$E:$E, $E5) + SUMIFS('4월 삼척 개인별 STAT'!AF:AF, '4월 삼척 개인별 STAT'!$D:$D, $D5, '4월 삼척 개인별 STAT'!$E:$E, $E5)</f>
        <v>3</v>
      </c>
      <c r="AG5" s="24">
        <f t="shared" si="9"/>
        <v>92.85714286</v>
      </c>
      <c r="AH5" s="20">
        <f>SUMIFS('3월 단양 개인별 STAT'!AH:AH, '3월 단양 개인별 STAT'!$D:$D, $D5, '3월 단양 개인별 STAT'!$E:$E, $E5) + SUMIFS('4월 삼척 개인별 STAT'!AH:AH, '4월 삼척 개인별 STAT'!$D:$D, $D5, '4월 삼척 개인별 STAT'!$E:$E, $E5)</f>
        <v>18</v>
      </c>
      <c r="AI5" s="22" t="str">
        <f t="shared" si="10"/>
        <v>2.57</v>
      </c>
      <c r="AJ5" s="25"/>
      <c r="AK5" s="26"/>
      <c r="AL5" s="27">
        <f t="shared" si="11"/>
        <v>0</v>
      </c>
      <c r="AM5" s="27" t="str">
        <f t="shared" si="12"/>
        <v>-</v>
      </c>
      <c r="AN5" s="28" t="str">
        <f t="shared" si="13"/>
        <v>-</v>
      </c>
      <c r="AO5" s="27">
        <f t="shared" si="14"/>
        <v>0</v>
      </c>
      <c r="AP5" s="27">
        <f t="shared" si="15"/>
        <v>0</v>
      </c>
      <c r="AQ5" s="27" t="str">
        <f t="shared" ref="AQ5:AR5" si="16">iferror(AB5/$M5,"-")</f>
        <v>-</v>
      </c>
      <c r="AR5" s="27">
        <f t="shared" si="16"/>
        <v>0</v>
      </c>
      <c r="AS5" s="29">
        <f t="shared" si="17"/>
        <v>0.4285714286</v>
      </c>
      <c r="AT5" s="29" t="str">
        <f t="shared" si="18"/>
        <v>2.57</v>
      </c>
      <c r="AU5" s="26"/>
      <c r="AV5" s="26"/>
      <c r="AW5" s="26"/>
      <c r="AX5" s="26"/>
    </row>
    <row r="6">
      <c r="B6" s="17">
        <v>3.0</v>
      </c>
      <c r="C6" s="18">
        <f t="shared" si="2"/>
        <v>3</v>
      </c>
      <c r="D6" s="19" t="s">
        <v>45</v>
      </c>
      <c r="E6" s="19" t="s">
        <v>51</v>
      </c>
      <c r="F6" s="19">
        <v>3.0</v>
      </c>
      <c r="G6" s="19" t="s">
        <v>52</v>
      </c>
      <c r="H6" s="19" t="s">
        <v>48</v>
      </c>
      <c r="I6" s="19">
        <v>183.0</v>
      </c>
      <c r="J6" s="19">
        <v>66.0</v>
      </c>
      <c r="K6" s="20">
        <v>5.0</v>
      </c>
      <c r="L6" s="20">
        <f>SUMIFS('3월 단양 개인별 STAT'!L:L, '3월 단양 개인별 STAT'!$D:$D, $D6, '3월 단양 개인별 STAT'!$E:$E, $E6) + SUMIFS('4월 삼척 개인별 STAT'!L:L, '4월 삼척 개인별 STAT'!$D:$D, $D6, '4월 삼척 개인별 STAT'!$E:$E, $E6)</f>
        <v>1</v>
      </c>
      <c r="M6" s="20">
        <f>SUMIFS('3월 단양 개인별 STAT'!M:M, '3월 단양 개인별 STAT'!$D:$D, $D6, '3월 단양 개인별 STAT'!$E:$E, $E6) + SUMIFS('4월 삼척 개인별 STAT'!M:M, '4월 삼척 개인별 STAT'!$D:$D, $D6, '4월 삼척 개인별 STAT'!$E:$E, $E6)</f>
        <v>1</v>
      </c>
      <c r="N6" s="20">
        <f>SUMIFS('3월 단양 개인별 STAT'!N:N, '3월 단양 개인별 STAT'!$D:$D, $D6, '3월 단양 개인별 STAT'!$E:$E, $E6) + SUMIFS('4월 삼척 개인별 STAT'!N:N, '4월 삼척 개인별 STAT'!$D:$D, $D6, '4월 삼척 개인별 STAT'!$E:$E, $E6)</f>
        <v>0</v>
      </c>
      <c r="O6" s="20">
        <f>SUMIFS('3월 단양 개인별 STAT'!O:O, '3월 단양 개인별 STAT'!$D:$D, $D6, '3월 단양 개인별 STAT'!$E:$E, $E6) + SUMIFS('4월 삼척 개인별 STAT'!O:O, '4월 삼척 개인별 STAT'!$D:$D, $D6, '4월 삼척 개인별 STAT'!$E:$E, $E6)</f>
        <v>0</v>
      </c>
      <c r="P6" s="20">
        <f>SUMIFS('3월 단양 개인별 STAT'!P:P, '3월 단양 개인별 STAT'!$D:$D, $D6, '3월 단양 개인별 STAT'!$E:$E, $E6) + SUMIFS('4월 삼척 개인별 STAT'!P:P, '4월 삼척 개인별 STAT'!$D:$D, $D6, '4월 삼척 개인별 STAT'!$E:$E, $E6)</f>
        <v>0</v>
      </c>
      <c r="Q6" s="20">
        <f>SUMIFS('3월 단양 개인별 STAT'!Q:Q, '3월 단양 개인별 STAT'!$D:$D, $D6, '3월 단양 개인별 STAT'!$E:$E, $E6) + SUMIFS('4월 삼척 개인별 STAT'!Q:Q, '4월 삼척 개인별 STAT'!$D:$D, $D6, '4월 삼척 개인별 STAT'!$E:$E, $E6)</f>
        <v>0</v>
      </c>
      <c r="R6" s="30" t="str">
        <f t="shared" si="3"/>
        <v>-</v>
      </c>
      <c r="S6" s="22" t="str">
        <f t="shared" si="4"/>
        <v>-</v>
      </c>
      <c r="T6" s="20">
        <f>SUMIFS('3월 단양 개인별 STAT'!T:T, '3월 단양 개인별 STAT'!$D:$D, $D6, '3월 단양 개인별 STAT'!$E:$E, $E6) + SUMIFS('4월 삼척 개인별 STAT'!T:T, '4월 삼척 개인별 STAT'!$D:$D, $D6, '4월 삼척 개인별 STAT'!$E:$E, $E6)</f>
        <v>0</v>
      </c>
      <c r="U6" s="20">
        <f>SUMIFS('3월 단양 개인별 STAT'!U:U, '3월 단양 개인별 STAT'!$D:$D, $D6, '3월 단양 개인별 STAT'!$E:$E, $E6) + SUMIFS('4월 삼척 개인별 STAT'!U:U, '4월 삼척 개인별 STAT'!$D:$D, $D6, '4월 삼척 개인별 STAT'!$E:$E, $E6)</f>
        <v>0</v>
      </c>
      <c r="V6" s="20">
        <f>SUMIFS('3월 단양 개인별 STAT'!V:V, '3월 단양 개인별 STAT'!$D:$D, $D6, '3월 단양 개인별 STAT'!$E:$E, $E6) + SUMIFS('4월 삼척 개인별 STAT'!V:V, '4월 삼척 개인별 STAT'!$D:$D, $D6, '4월 삼척 개인별 STAT'!$E:$E, $E6)</f>
        <v>0</v>
      </c>
      <c r="W6" s="20">
        <f>SUMIFS('3월 단양 개인별 STAT'!W:W, '3월 단양 개인별 STAT'!$D:$D, $D6, '3월 단양 개인별 STAT'!$E:$E, $E6) + SUMIFS('4월 삼척 개인별 STAT'!W:W, '4월 삼척 개인별 STAT'!$D:$D, $D6, '4월 삼척 개인별 STAT'!$E:$E, $E6)</f>
        <v>2</v>
      </c>
      <c r="X6" s="20">
        <f>SUMIFS('3월 단양 개인별 STAT'!X:X, '3월 단양 개인별 STAT'!$D:$D, $D6, '3월 단양 개인별 STAT'!$E:$E, $E6) + SUMIFS('4월 삼척 개인별 STAT'!X:X, '4월 삼척 개인별 STAT'!$D:$D, $D6, '4월 삼척 개인별 STAT'!$E:$E, $E6)</f>
        <v>0</v>
      </c>
      <c r="Y6" s="20">
        <f>SUMIFS('3월 단양 개인별 STAT'!Y:Y, '3월 단양 개인별 STAT'!$D:$D, $D6, '3월 단양 개인별 STAT'!$E:$E, $E6) + SUMIFS('4월 삼척 개인별 STAT'!Y:Y, '4월 삼척 개인별 STAT'!$D:$D, $D6, '4월 삼척 개인별 STAT'!$E:$E, $E6)</f>
        <v>0</v>
      </c>
      <c r="Z6" s="21">
        <f t="shared" si="5"/>
        <v>2</v>
      </c>
      <c r="AA6" s="20">
        <f>SUMIFS('3월 단양 개인별 STAT'!AA:AA, '3월 단양 개인별 STAT'!$D:$D, $D6, '3월 단양 개인별 STAT'!$E:$E, $E6) + SUMIFS('4월 삼척 개인별 STAT'!AA:AA, '4월 삼척 개인별 STAT'!$D:$D, $D6, '4월 삼척 개인별 STAT'!$E:$E, $E6)</f>
        <v>0</v>
      </c>
      <c r="AB6" s="30" t="str">
        <f t="shared" si="6"/>
        <v>-</v>
      </c>
      <c r="AC6" s="23">
        <f t="shared" si="7"/>
        <v>0</v>
      </c>
      <c r="AD6" s="21">
        <f t="shared" si="8"/>
        <v>2</v>
      </c>
      <c r="AE6" s="20">
        <f>SUMIFS('3월 단양 개인별 STAT'!AE:AE, '3월 단양 개인별 STAT'!$D:$D, $D6, '3월 단양 개인별 STAT'!$E:$E, $E6) + SUMIFS('4월 삼척 개인별 STAT'!AE:AE, '4월 삼척 개인별 STAT'!$D:$D, $D6, '4월 삼척 개인별 STAT'!$E:$E, $E6)</f>
        <v>2</v>
      </c>
      <c r="AF6" s="20">
        <f>SUMIFS('3월 단양 개인별 STAT'!AF:AF, '3월 단양 개인별 STAT'!$D:$D, $D6, '3월 단양 개인별 STAT'!$E:$E, $E6) + SUMIFS('4월 삼척 개인별 STAT'!AF:AF, '4월 삼척 개인별 STAT'!$D:$D, $D6, '4월 삼척 개인별 STAT'!$E:$E, $E6)</f>
        <v>0</v>
      </c>
      <c r="AG6" s="24">
        <f t="shared" si="9"/>
        <v>100</v>
      </c>
      <c r="AH6" s="20">
        <f>SUMIFS('3월 단양 개인별 STAT'!AH:AH, '3월 단양 개인별 STAT'!$D:$D, $D6, '3월 단양 개인별 STAT'!$E:$E, $E6) + SUMIFS('4월 삼척 개인별 STAT'!AH:AH, '4월 삼척 개인별 STAT'!$D:$D, $D6, '4월 삼척 개인별 STAT'!$E:$E, $E6)</f>
        <v>0</v>
      </c>
      <c r="AI6" s="22" t="str">
        <f t="shared" si="10"/>
        <v>0</v>
      </c>
      <c r="AJ6" s="25"/>
      <c r="AK6" s="26"/>
      <c r="AL6" s="27">
        <f t="shared" si="11"/>
        <v>0</v>
      </c>
      <c r="AM6" s="27" t="str">
        <f t="shared" si="12"/>
        <v>-</v>
      </c>
      <c r="AN6" s="28" t="str">
        <f t="shared" si="13"/>
        <v>-</v>
      </c>
      <c r="AO6" s="27">
        <f t="shared" si="14"/>
        <v>0</v>
      </c>
      <c r="AP6" s="27">
        <f t="shared" si="15"/>
        <v>0</v>
      </c>
      <c r="AQ6" s="27" t="str">
        <f t="shared" ref="AQ6:AR6" si="19">iferror(AB6/$M6,"-")</f>
        <v>-</v>
      </c>
      <c r="AR6" s="27">
        <f t="shared" si="19"/>
        <v>0</v>
      </c>
      <c r="AS6" s="29">
        <f t="shared" si="17"/>
        <v>0</v>
      </c>
      <c r="AT6" s="29" t="str">
        <f t="shared" si="18"/>
        <v>0</v>
      </c>
      <c r="AU6" s="26"/>
      <c r="AV6" s="26"/>
      <c r="AW6" s="26"/>
      <c r="AX6" s="26"/>
    </row>
    <row r="7">
      <c r="B7" s="17">
        <v>4.0</v>
      </c>
      <c r="C7" s="18">
        <f t="shared" si="2"/>
        <v>4</v>
      </c>
      <c r="D7" s="19" t="s">
        <v>45</v>
      </c>
      <c r="E7" s="19" t="s">
        <v>53</v>
      </c>
      <c r="F7" s="19">
        <v>2.0</v>
      </c>
      <c r="G7" s="19" t="s">
        <v>54</v>
      </c>
      <c r="H7" s="19" t="s">
        <v>48</v>
      </c>
      <c r="I7" s="19">
        <v>167.0</v>
      </c>
      <c r="J7" s="19">
        <v>60.0</v>
      </c>
      <c r="K7" s="20">
        <v>7.0</v>
      </c>
      <c r="L7" s="20">
        <f>SUMIFS('3월 단양 개인별 STAT'!L:L, '3월 단양 개인별 STAT'!$D:$D, $D7, '3월 단양 개인별 STAT'!$E:$E, $E7) + SUMIFS('4월 삼척 개인별 STAT'!L:L, '4월 삼척 개인별 STAT'!$D:$D, $D7, '4월 삼척 개인별 STAT'!$E:$E, $E7)</f>
        <v>2</v>
      </c>
      <c r="M7" s="20">
        <f>SUMIFS('3월 단양 개인별 STAT'!M:M, '3월 단양 개인별 STAT'!$D:$D, $D7, '3월 단양 개인별 STAT'!$E:$E, $E7) + SUMIFS('4월 삼척 개인별 STAT'!M:M, '4월 삼척 개인별 STAT'!$D:$D, $D7, '4월 삼척 개인별 STAT'!$E:$E, $E7)</f>
        <v>7</v>
      </c>
      <c r="N7" s="20">
        <f>SUMIFS('3월 단양 개인별 STAT'!N:N, '3월 단양 개인별 STAT'!$D:$D, $D7, '3월 단양 개인별 STAT'!$E:$E, $E7) + SUMIFS('4월 삼척 개인별 STAT'!N:N, '4월 삼척 개인별 STAT'!$D:$D, $D7, '4월 삼척 개인별 STAT'!$E:$E, $E7)</f>
        <v>0</v>
      </c>
      <c r="O7" s="20">
        <f>SUMIFS('3월 단양 개인별 STAT'!O:O, '3월 단양 개인별 STAT'!$D:$D, $D7, '3월 단양 개인별 STAT'!$E:$E, $E7) + SUMIFS('4월 삼척 개인별 STAT'!O:O, '4월 삼척 개인별 STAT'!$D:$D, $D7, '4월 삼척 개인별 STAT'!$E:$E, $E7)</f>
        <v>1</v>
      </c>
      <c r="P7" s="20">
        <f>SUMIFS('3월 단양 개인별 STAT'!P:P, '3월 단양 개인별 STAT'!$D:$D, $D7, '3월 단양 개인별 STAT'!$E:$E, $E7) + SUMIFS('4월 삼척 개인별 STAT'!P:P, '4월 삼척 개인별 STAT'!$D:$D, $D7, '4월 삼척 개인별 STAT'!$E:$E, $E7)</f>
        <v>0</v>
      </c>
      <c r="Q7" s="20">
        <f>SUMIFS('3월 단양 개인별 STAT'!Q:Q, '3월 단양 개인별 STAT'!$D:$D, $D7, '3월 단양 개인별 STAT'!$E:$E, $E7) + SUMIFS('4월 삼척 개인별 STAT'!Q:Q, '4월 삼척 개인별 STAT'!$D:$D, $D7, '4월 삼척 개인별 STAT'!$E:$E, $E7)</f>
        <v>0</v>
      </c>
      <c r="R7" s="30" t="str">
        <f t="shared" si="3"/>
        <v>-</v>
      </c>
      <c r="S7" s="22" t="str">
        <f t="shared" si="4"/>
        <v>-</v>
      </c>
      <c r="T7" s="20">
        <f>SUMIFS('3월 단양 개인별 STAT'!T:T, '3월 단양 개인별 STAT'!$D:$D, $D7, '3월 단양 개인별 STAT'!$E:$E, $E7) + SUMIFS('4월 삼척 개인별 STAT'!T:T, '4월 삼척 개인별 STAT'!$D:$D, $D7, '4월 삼척 개인별 STAT'!$E:$E, $E7)</f>
        <v>0</v>
      </c>
      <c r="U7" s="20">
        <f>SUMIFS('3월 단양 개인별 STAT'!U:U, '3월 단양 개인별 STAT'!$D:$D, $D7, '3월 단양 개인별 STAT'!$E:$E, $E7) + SUMIFS('4월 삼척 개인별 STAT'!U:U, '4월 삼척 개인별 STAT'!$D:$D, $D7, '4월 삼척 개인별 STAT'!$E:$E, $E7)</f>
        <v>0</v>
      </c>
      <c r="V7" s="20">
        <f>SUMIFS('3월 단양 개인별 STAT'!V:V, '3월 단양 개인별 STAT'!$D:$D, $D7, '3월 단양 개인별 STAT'!$E:$E, $E7) + SUMIFS('4월 삼척 개인별 STAT'!V:V, '4월 삼척 개인별 STAT'!$D:$D, $D7, '4월 삼척 개인별 STAT'!$E:$E, $E7)</f>
        <v>0</v>
      </c>
      <c r="W7" s="20">
        <f>SUMIFS('3월 단양 개인별 STAT'!W:W, '3월 단양 개인별 STAT'!$D:$D, $D7, '3월 단양 개인별 STAT'!$E:$E, $E7) + SUMIFS('4월 삼척 개인별 STAT'!W:W, '4월 삼척 개인별 STAT'!$D:$D, $D7, '4월 삼척 개인별 STAT'!$E:$E, $E7)</f>
        <v>4</v>
      </c>
      <c r="X7" s="20">
        <f>SUMIFS('3월 단양 개인별 STAT'!X:X, '3월 단양 개인별 STAT'!$D:$D, $D7, '3월 단양 개인별 STAT'!$E:$E, $E7) + SUMIFS('4월 삼척 개인별 STAT'!X:X, '4월 삼척 개인별 STAT'!$D:$D, $D7, '4월 삼척 개인별 STAT'!$E:$E, $E7)</f>
        <v>2</v>
      </c>
      <c r="Y7" s="20">
        <f>SUMIFS('3월 단양 개인별 STAT'!Y:Y, '3월 단양 개인별 STAT'!$D:$D, $D7, '3월 단양 개인별 STAT'!$E:$E, $E7) + SUMIFS('4월 삼척 개인별 STAT'!Y:Y, '4월 삼척 개인별 STAT'!$D:$D, $D7, '4월 삼척 개인별 STAT'!$E:$E, $E7)</f>
        <v>3</v>
      </c>
      <c r="Z7" s="21">
        <f t="shared" si="5"/>
        <v>9</v>
      </c>
      <c r="AA7" s="20">
        <f>SUMIFS('3월 단양 개인별 STAT'!AA:AA, '3월 단양 개인별 STAT'!$D:$D, $D7, '3월 단양 개인별 STAT'!$E:$E, $E7) + SUMIFS('4월 삼척 개인별 STAT'!AA:AA, '4월 삼척 개인별 STAT'!$D:$D, $D7, '4월 삼척 개인별 STAT'!$E:$E, $E7)</f>
        <v>0</v>
      </c>
      <c r="AB7" s="21">
        <f t="shared" si="6"/>
        <v>2</v>
      </c>
      <c r="AC7" s="23">
        <f t="shared" si="7"/>
        <v>2</v>
      </c>
      <c r="AD7" s="21">
        <f t="shared" si="8"/>
        <v>1</v>
      </c>
      <c r="AE7" s="20">
        <f>SUMIFS('3월 단양 개인별 STAT'!AE:AE, '3월 단양 개인별 STAT'!$D:$D, $D7, '3월 단양 개인별 STAT'!$E:$E, $E7) + SUMIFS('4월 삼척 개인별 STAT'!AE:AE, '4월 삼척 개인별 STAT'!$D:$D, $D7, '4월 삼척 개인별 STAT'!$E:$E, $E7)</f>
        <v>1</v>
      </c>
      <c r="AF7" s="20">
        <f>SUMIFS('3월 단양 개인별 STAT'!AF:AF, '3월 단양 개인별 STAT'!$D:$D, $D7, '3월 단양 개인별 STAT'!$E:$E, $E7) + SUMIFS('4월 삼척 개인별 STAT'!AF:AF, '4월 삼척 개인별 STAT'!$D:$D, $D7, '4월 삼척 개인별 STAT'!$E:$E, $E7)</f>
        <v>0</v>
      </c>
      <c r="AG7" s="24">
        <f t="shared" si="9"/>
        <v>100</v>
      </c>
      <c r="AH7" s="20">
        <f>SUMIFS('3월 단양 개인별 STAT'!AH:AH, '3월 단양 개인별 STAT'!$D:$D, $D7, '3월 단양 개인별 STAT'!$E:$E, $E7) + SUMIFS('4월 삼척 개인별 STAT'!AH:AH, '4월 삼척 개인별 STAT'!$D:$D, $D7, '4월 삼척 개인별 STAT'!$E:$E, $E7)</f>
        <v>0</v>
      </c>
      <c r="AI7" s="22" t="str">
        <f t="shared" si="10"/>
        <v>0</v>
      </c>
      <c r="AJ7" s="25"/>
      <c r="AK7" s="26"/>
      <c r="AL7" s="27">
        <f t="shared" si="11"/>
        <v>0</v>
      </c>
      <c r="AM7" s="27" t="str">
        <f t="shared" si="12"/>
        <v>-</v>
      </c>
      <c r="AN7" s="28" t="str">
        <f t="shared" si="13"/>
        <v>-</v>
      </c>
      <c r="AO7" s="27">
        <f t="shared" si="14"/>
        <v>0</v>
      </c>
      <c r="AP7" s="27">
        <f t="shared" si="15"/>
        <v>0.2857142857</v>
      </c>
      <c r="AQ7" s="27">
        <f t="shared" ref="AQ7:AR7" si="20">iferror(AB7/$M7,"-")</f>
        <v>0.2857142857</v>
      </c>
      <c r="AR7" s="27">
        <f t="shared" si="20"/>
        <v>0.2857142857</v>
      </c>
      <c r="AS7" s="29">
        <f t="shared" si="17"/>
        <v>0</v>
      </c>
      <c r="AT7" s="29" t="str">
        <f t="shared" si="18"/>
        <v>0</v>
      </c>
      <c r="AU7" s="26"/>
      <c r="AV7" s="26"/>
      <c r="AW7" s="26"/>
      <c r="AX7" s="26"/>
    </row>
    <row r="8">
      <c r="B8" s="17">
        <v>5.0</v>
      </c>
      <c r="C8" s="18">
        <f t="shared" si="2"/>
        <v>5</v>
      </c>
      <c r="D8" s="19" t="s">
        <v>45</v>
      </c>
      <c r="E8" s="19" t="s">
        <v>55</v>
      </c>
      <c r="F8" s="19">
        <v>2.0</v>
      </c>
      <c r="G8" s="19" t="s">
        <v>52</v>
      </c>
      <c r="H8" s="19" t="s">
        <v>48</v>
      </c>
      <c r="I8" s="19">
        <v>168.0</v>
      </c>
      <c r="J8" s="19">
        <v>64.0</v>
      </c>
      <c r="K8" s="20">
        <v>8.0</v>
      </c>
      <c r="L8" s="20">
        <f>SUMIFS('3월 단양 개인별 STAT'!L:L, '3월 단양 개인별 STAT'!$D:$D, $D8, '3월 단양 개인별 STAT'!$E:$E, $E8) + SUMIFS('4월 삼척 개인별 STAT'!L:L, '4월 삼척 개인별 STAT'!$D:$D, $D8, '4월 삼척 개인별 STAT'!$E:$E, $E8)</f>
        <v>2</v>
      </c>
      <c r="M8" s="20">
        <f>SUMIFS('3월 단양 개인별 STAT'!M:M, '3월 단양 개인별 STAT'!$D:$D, $D8, '3월 단양 개인별 STAT'!$E:$E, $E8) + SUMIFS('4월 삼척 개인별 STAT'!M:M, '4월 삼척 개인별 STAT'!$D:$D, $D8, '4월 삼척 개인별 STAT'!$E:$E, $E8)</f>
        <v>6</v>
      </c>
      <c r="N8" s="20">
        <f>SUMIFS('3월 단양 개인별 STAT'!N:N, '3월 단양 개인별 STAT'!$D:$D, $D8, '3월 단양 개인별 STAT'!$E:$E, $E8) + SUMIFS('4월 삼척 개인별 STAT'!N:N, '4월 삼척 개인별 STAT'!$D:$D, $D8, '4월 삼척 개인별 STAT'!$E:$E, $E8)</f>
        <v>0</v>
      </c>
      <c r="O8" s="20">
        <f>SUMIFS('3월 단양 개인별 STAT'!O:O, '3월 단양 개인별 STAT'!$D:$D, $D8, '3월 단양 개인별 STAT'!$E:$E, $E8) + SUMIFS('4월 삼척 개인별 STAT'!O:O, '4월 삼척 개인별 STAT'!$D:$D, $D8, '4월 삼척 개인별 STAT'!$E:$E, $E8)</f>
        <v>0</v>
      </c>
      <c r="P8" s="20">
        <f>SUMIFS('3월 단양 개인별 STAT'!P:P, '3월 단양 개인별 STAT'!$D:$D, $D8, '3월 단양 개인별 STAT'!$E:$E, $E8) + SUMIFS('4월 삼척 개인별 STAT'!P:P, '4월 삼척 개인별 STAT'!$D:$D, $D8, '4월 삼척 개인별 STAT'!$E:$E, $E8)</f>
        <v>0</v>
      </c>
      <c r="Q8" s="20">
        <f>SUMIFS('3월 단양 개인별 STAT'!Q:Q, '3월 단양 개인별 STAT'!$D:$D, $D8, '3월 단양 개인별 STAT'!$E:$E, $E8) + SUMIFS('4월 삼척 개인별 STAT'!Q:Q, '4월 삼척 개인별 STAT'!$D:$D, $D8, '4월 삼척 개인별 STAT'!$E:$E, $E8)</f>
        <v>0</v>
      </c>
      <c r="R8" s="30" t="str">
        <f t="shared" si="3"/>
        <v>-</v>
      </c>
      <c r="S8" s="22" t="str">
        <f t="shared" si="4"/>
        <v>-</v>
      </c>
      <c r="T8" s="20">
        <f>SUMIFS('3월 단양 개인별 STAT'!T:T, '3월 단양 개인별 STAT'!$D:$D, $D8, '3월 단양 개인별 STAT'!$E:$E, $E8) + SUMIFS('4월 삼척 개인별 STAT'!T:T, '4월 삼척 개인별 STAT'!$D:$D, $D8, '4월 삼척 개인별 STAT'!$E:$E, $E8)</f>
        <v>0</v>
      </c>
      <c r="U8" s="20">
        <f>SUMIFS('3월 단양 개인별 STAT'!U:U, '3월 단양 개인별 STAT'!$D:$D, $D8, '3월 단양 개인별 STAT'!$E:$E, $E8) + SUMIFS('4월 삼척 개인별 STAT'!U:U, '4월 삼척 개인별 STAT'!$D:$D, $D8, '4월 삼척 개인별 STAT'!$E:$E, $E8)</f>
        <v>0</v>
      </c>
      <c r="V8" s="20">
        <f>SUMIFS('3월 단양 개인별 STAT'!V:V, '3월 단양 개인별 STAT'!$D:$D, $D8, '3월 단양 개인별 STAT'!$E:$E, $E8) + SUMIFS('4월 삼척 개인별 STAT'!V:V, '4월 삼척 개인별 STAT'!$D:$D, $D8, '4월 삼척 개인별 STAT'!$E:$E, $E8)</f>
        <v>0</v>
      </c>
      <c r="W8" s="20">
        <f>SUMIFS('3월 단양 개인별 STAT'!W:W, '3월 단양 개인별 STAT'!$D:$D, $D8, '3월 단양 개인별 STAT'!$E:$E, $E8) + SUMIFS('4월 삼척 개인별 STAT'!W:W, '4월 삼척 개인별 STAT'!$D:$D, $D8, '4월 삼척 개인별 STAT'!$E:$E, $E8)</f>
        <v>12</v>
      </c>
      <c r="X8" s="20">
        <f>SUMIFS('3월 단양 개인별 STAT'!X:X, '3월 단양 개인별 STAT'!$D:$D, $D8, '3월 단양 개인별 STAT'!$E:$E, $E8) + SUMIFS('4월 삼척 개인별 STAT'!X:X, '4월 삼척 개인별 STAT'!$D:$D, $D8, '4월 삼척 개인별 STAT'!$E:$E, $E8)</f>
        <v>1</v>
      </c>
      <c r="Y8" s="20">
        <f>SUMIFS('3월 단양 개인별 STAT'!Y:Y, '3월 단양 개인별 STAT'!$D:$D, $D8, '3월 단양 개인별 STAT'!$E:$E, $E8) + SUMIFS('4월 삼척 개인별 STAT'!Y:Y, '4월 삼척 개인별 STAT'!$D:$D, $D8, '4월 삼척 개인별 STAT'!$E:$E, $E8)</f>
        <v>0</v>
      </c>
      <c r="Z8" s="21">
        <f t="shared" si="5"/>
        <v>13</v>
      </c>
      <c r="AA8" s="20">
        <f>SUMIFS('3월 단양 개인별 STAT'!AA:AA, '3월 단양 개인별 STAT'!$D:$D, $D8, '3월 단양 개인별 STAT'!$E:$E, $E8) + SUMIFS('4월 삼척 개인별 STAT'!AA:AA, '4월 삼척 개인별 STAT'!$D:$D, $D8, '4월 삼척 개인별 STAT'!$E:$E, $E8)</f>
        <v>0</v>
      </c>
      <c r="AB8" s="21">
        <f t="shared" si="6"/>
        <v>1</v>
      </c>
      <c r="AC8" s="23">
        <f t="shared" si="7"/>
        <v>1</v>
      </c>
      <c r="AD8" s="21">
        <f t="shared" si="8"/>
        <v>9</v>
      </c>
      <c r="AE8" s="20">
        <f>SUMIFS('3월 단양 개인별 STAT'!AE:AE, '3월 단양 개인별 STAT'!$D:$D, $D8, '3월 단양 개인별 STAT'!$E:$E, $E8) + SUMIFS('4월 삼척 개인별 STAT'!AE:AE, '4월 삼척 개인별 STAT'!$D:$D, $D8, '4월 삼척 개인별 STAT'!$E:$E, $E8)</f>
        <v>8</v>
      </c>
      <c r="AF8" s="20">
        <f>SUMIFS('3월 단양 개인별 STAT'!AF:AF, '3월 단양 개인별 STAT'!$D:$D, $D8, '3월 단양 개인별 STAT'!$E:$E, $E8) + SUMIFS('4월 삼척 개인별 STAT'!AF:AF, '4월 삼척 개인별 STAT'!$D:$D, $D8, '4월 삼척 개인별 STAT'!$E:$E, $E8)</f>
        <v>1</v>
      </c>
      <c r="AG8" s="24">
        <f t="shared" si="9"/>
        <v>88.88888889</v>
      </c>
      <c r="AH8" s="20">
        <f>SUMIFS('3월 단양 개인별 STAT'!AH:AH, '3월 단양 개인별 STAT'!$D:$D, $D8, '3월 단양 개인별 STAT'!$E:$E, $E8) + SUMIFS('4월 삼척 개인별 STAT'!AH:AH, '4월 삼척 개인별 STAT'!$D:$D, $D8, '4월 삼척 개인별 STAT'!$E:$E, $E8)</f>
        <v>5</v>
      </c>
      <c r="AI8" s="22" t="str">
        <f t="shared" si="10"/>
        <v>0.83</v>
      </c>
      <c r="AJ8" s="25"/>
      <c r="AK8" s="26"/>
      <c r="AL8" s="27">
        <f t="shared" si="11"/>
        <v>0</v>
      </c>
      <c r="AM8" s="27" t="str">
        <f t="shared" si="12"/>
        <v>-</v>
      </c>
      <c r="AN8" s="28" t="str">
        <f t="shared" si="13"/>
        <v>-</v>
      </c>
      <c r="AO8" s="27">
        <f t="shared" si="14"/>
        <v>0</v>
      </c>
      <c r="AP8" s="27">
        <f t="shared" si="15"/>
        <v>0.1666666667</v>
      </c>
      <c r="AQ8" s="27">
        <f t="shared" ref="AQ8:AR8" si="21">iferror(AB8/$M8,"-")</f>
        <v>0.1666666667</v>
      </c>
      <c r="AR8" s="27">
        <f t="shared" si="21"/>
        <v>0.1666666667</v>
      </c>
      <c r="AS8" s="29">
        <f t="shared" si="17"/>
        <v>0.1666666667</v>
      </c>
      <c r="AT8" s="29" t="str">
        <f t="shared" si="18"/>
        <v>0.83</v>
      </c>
      <c r="AU8" s="26"/>
      <c r="AV8" s="26"/>
      <c r="AW8" s="26"/>
      <c r="AX8" s="26"/>
    </row>
    <row r="9">
      <c r="B9" s="17">
        <v>6.0</v>
      </c>
      <c r="C9" s="18">
        <f t="shared" si="2"/>
        <v>6</v>
      </c>
      <c r="D9" s="19" t="s">
        <v>45</v>
      </c>
      <c r="E9" s="19" t="s">
        <v>56</v>
      </c>
      <c r="F9" s="19">
        <v>3.0</v>
      </c>
      <c r="G9" s="19" t="s">
        <v>57</v>
      </c>
      <c r="H9" s="19" t="s">
        <v>48</v>
      </c>
      <c r="I9" s="19">
        <v>181.0</v>
      </c>
      <c r="J9" s="19">
        <v>67.0</v>
      </c>
      <c r="K9" s="20">
        <v>9.0</v>
      </c>
      <c r="L9" s="20">
        <f>SUMIFS('3월 단양 개인별 STAT'!L:L, '3월 단양 개인별 STAT'!$D:$D, $D9, '3월 단양 개인별 STAT'!$E:$E, $E9) + SUMIFS('4월 삼척 개인별 STAT'!L:L, '4월 삼척 개인별 STAT'!$D:$D, $D9, '4월 삼척 개인별 STAT'!$E:$E, $E9)</f>
        <v>2</v>
      </c>
      <c r="M9" s="20">
        <f>SUMIFS('3월 단양 개인별 STAT'!M:M, '3월 단양 개인별 STAT'!$D:$D, $D9, '3월 단양 개인별 STAT'!$E:$E, $E9) + SUMIFS('4월 삼척 개인별 STAT'!M:M, '4월 삼척 개인별 STAT'!$D:$D, $D9, '4월 삼척 개인별 STAT'!$E:$E, $E9)</f>
        <v>4</v>
      </c>
      <c r="N9" s="20">
        <f>SUMIFS('3월 단양 개인별 STAT'!N:N, '3월 단양 개인별 STAT'!$D:$D, $D9, '3월 단양 개인별 STAT'!$E:$E, $E9) + SUMIFS('4월 삼척 개인별 STAT'!N:N, '4월 삼척 개인별 STAT'!$D:$D, $D9, '4월 삼척 개인별 STAT'!$E:$E, $E9)</f>
        <v>0</v>
      </c>
      <c r="O9" s="20">
        <f>SUMIFS('3월 단양 개인별 STAT'!O:O, '3월 단양 개인별 STAT'!$D:$D, $D9, '3월 단양 개인별 STAT'!$E:$E, $E9) + SUMIFS('4월 삼척 개인별 STAT'!O:O, '4월 삼척 개인별 STAT'!$D:$D, $D9, '4월 삼척 개인별 STAT'!$E:$E, $E9)</f>
        <v>0</v>
      </c>
      <c r="P9" s="20">
        <f>SUMIFS('3월 단양 개인별 STAT'!P:P, '3월 단양 개인별 STAT'!$D:$D, $D9, '3월 단양 개인별 STAT'!$E:$E, $E9) + SUMIFS('4월 삼척 개인별 STAT'!P:P, '4월 삼척 개인별 STAT'!$D:$D, $D9, '4월 삼척 개인별 STAT'!$E:$E, $E9)</f>
        <v>0</v>
      </c>
      <c r="Q9" s="20">
        <f>SUMIFS('3월 단양 개인별 STAT'!Q:Q, '3월 단양 개인별 STAT'!$D:$D, $D9, '3월 단양 개인별 STAT'!$E:$E, $E9) + SUMIFS('4월 삼척 개인별 STAT'!Q:Q, '4월 삼척 개인별 STAT'!$D:$D, $D9, '4월 삼척 개인별 STAT'!$E:$E, $E9)</f>
        <v>0</v>
      </c>
      <c r="R9" s="30" t="str">
        <f t="shared" si="3"/>
        <v>-</v>
      </c>
      <c r="S9" s="22" t="str">
        <f t="shared" si="4"/>
        <v>-</v>
      </c>
      <c r="T9" s="20">
        <f>SUMIFS('3월 단양 개인별 STAT'!T:T, '3월 단양 개인별 STAT'!$D:$D, $D9, '3월 단양 개인별 STAT'!$E:$E, $E9) + SUMIFS('4월 삼척 개인별 STAT'!T:T, '4월 삼척 개인별 STAT'!$D:$D, $D9, '4월 삼척 개인별 STAT'!$E:$E, $E9)</f>
        <v>0</v>
      </c>
      <c r="U9" s="20">
        <f>SUMIFS('3월 단양 개인별 STAT'!U:U, '3월 단양 개인별 STAT'!$D:$D, $D9, '3월 단양 개인별 STAT'!$E:$E, $E9) + SUMIFS('4월 삼척 개인별 STAT'!U:U, '4월 삼척 개인별 STAT'!$D:$D, $D9, '4월 삼척 개인별 STAT'!$E:$E, $E9)</f>
        <v>0</v>
      </c>
      <c r="V9" s="20">
        <f>SUMIFS('3월 단양 개인별 STAT'!V:V, '3월 단양 개인별 STAT'!$D:$D, $D9, '3월 단양 개인별 STAT'!$E:$E, $E9) + SUMIFS('4월 삼척 개인별 STAT'!V:V, '4월 삼척 개인별 STAT'!$D:$D, $D9, '4월 삼척 개인별 STAT'!$E:$E, $E9)</f>
        <v>0</v>
      </c>
      <c r="W9" s="20">
        <f>SUMIFS('3월 단양 개인별 STAT'!W:W, '3월 단양 개인별 STAT'!$D:$D, $D9, '3월 단양 개인별 STAT'!$E:$E, $E9) + SUMIFS('4월 삼척 개인별 STAT'!W:W, '4월 삼척 개인별 STAT'!$D:$D, $D9, '4월 삼척 개인별 STAT'!$E:$E, $E9)</f>
        <v>6</v>
      </c>
      <c r="X9" s="20">
        <f>SUMIFS('3월 단양 개인별 STAT'!X:X, '3월 단양 개인별 STAT'!$D:$D, $D9, '3월 단양 개인별 STAT'!$E:$E, $E9) + SUMIFS('4월 삼척 개인별 STAT'!X:X, '4월 삼척 개인별 STAT'!$D:$D, $D9, '4월 삼척 개인별 STAT'!$E:$E, $E9)</f>
        <v>3</v>
      </c>
      <c r="Y9" s="20">
        <f>SUMIFS('3월 단양 개인별 STAT'!Y:Y, '3월 단양 개인별 STAT'!$D:$D, $D9, '3월 단양 개인별 STAT'!$E:$E, $E9) + SUMIFS('4월 삼척 개인별 STAT'!Y:Y, '4월 삼척 개인별 STAT'!$D:$D, $D9, '4월 삼척 개인별 STAT'!$E:$E, $E9)</f>
        <v>1</v>
      </c>
      <c r="Z9" s="21">
        <f t="shared" si="5"/>
        <v>10</v>
      </c>
      <c r="AA9" s="20">
        <f>SUMIFS('3월 단양 개인별 STAT'!AA:AA, '3월 단양 개인별 STAT'!$D:$D, $D9, '3월 단양 개인별 STAT'!$E:$E, $E9) + SUMIFS('4월 삼척 개인별 STAT'!AA:AA, '4월 삼척 개인별 STAT'!$D:$D, $D9, '4월 삼척 개인별 STAT'!$E:$E, $E9)</f>
        <v>0</v>
      </c>
      <c r="AB9" s="21">
        <f t="shared" si="6"/>
        <v>3</v>
      </c>
      <c r="AC9" s="23">
        <f t="shared" si="7"/>
        <v>3</v>
      </c>
      <c r="AD9" s="21">
        <f t="shared" si="8"/>
        <v>1</v>
      </c>
      <c r="AE9" s="20">
        <f>SUMIFS('3월 단양 개인별 STAT'!AE:AE, '3월 단양 개인별 STAT'!$D:$D, $D9, '3월 단양 개인별 STAT'!$E:$E, $E9) + SUMIFS('4월 삼척 개인별 STAT'!AE:AE, '4월 삼척 개인별 STAT'!$D:$D, $D9, '4월 삼척 개인별 STAT'!$E:$E, $E9)</f>
        <v>1</v>
      </c>
      <c r="AF9" s="20">
        <f>SUMIFS('3월 단양 개인별 STAT'!AF:AF, '3월 단양 개인별 STAT'!$D:$D, $D9, '3월 단양 개인별 STAT'!$E:$E, $E9) + SUMIFS('4월 삼척 개인별 STAT'!AF:AF, '4월 삼척 개인별 STAT'!$D:$D, $D9, '4월 삼척 개인별 STAT'!$E:$E, $E9)</f>
        <v>0</v>
      </c>
      <c r="AG9" s="24">
        <f t="shared" si="9"/>
        <v>100</v>
      </c>
      <c r="AH9" s="20">
        <f>SUMIFS('3월 단양 개인별 STAT'!AH:AH, '3월 단양 개인별 STAT'!$D:$D, $D9, '3월 단양 개인별 STAT'!$E:$E, $E9) + SUMIFS('4월 삼척 개인별 STAT'!AH:AH, '4월 삼척 개인별 STAT'!$D:$D, $D9, '4월 삼척 개인별 STAT'!$E:$E, $E9)</f>
        <v>0</v>
      </c>
      <c r="AI9" s="22" t="str">
        <f t="shared" si="10"/>
        <v>0</v>
      </c>
      <c r="AJ9" s="25"/>
      <c r="AK9" s="26"/>
      <c r="AL9" s="27">
        <f t="shared" si="11"/>
        <v>0</v>
      </c>
      <c r="AM9" s="27" t="str">
        <f t="shared" si="12"/>
        <v>-</v>
      </c>
      <c r="AN9" s="28" t="str">
        <f t="shared" si="13"/>
        <v>-</v>
      </c>
      <c r="AO9" s="27">
        <f t="shared" si="14"/>
        <v>0</v>
      </c>
      <c r="AP9" s="27">
        <f t="shared" si="15"/>
        <v>0.75</v>
      </c>
      <c r="AQ9" s="27">
        <f t="shared" ref="AQ9:AR9" si="22">iferror(AB9/$M9,"-")</f>
        <v>0.75</v>
      </c>
      <c r="AR9" s="27">
        <f t="shared" si="22"/>
        <v>0.75</v>
      </c>
      <c r="AS9" s="29">
        <f t="shared" si="17"/>
        <v>0</v>
      </c>
      <c r="AT9" s="29" t="str">
        <f t="shared" si="18"/>
        <v>0</v>
      </c>
      <c r="AU9" s="26"/>
      <c r="AV9" s="26"/>
      <c r="AW9" s="26"/>
      <c r="AX9" s="26"/>
    </row>
    <row r="10">
      <c r="B10" s="17">
        <v>7.0</v>
      </c>
      <c r="C10" s="18">
        <f t="shared" si="2"/>
        <v>7</v>
      </c>
      <c r="D10" s="19" t="s">
        <v>45</v>
      </c>
      <c r="E10" s="19" t="s">
        <v>58</v>
      </c>
      <c r="F10" s="19">
        <v>2.0</v>
      </c>
      <c r="G10" s="19" t="s">
        <v>47</v>
      </c>
      <c r="H10" s="19" t="s">
        <v>48</v>
      </c>
      <c r="I10" s="19">
        <v>183.0</v>
      </c>
      <c r="J10" s="19">
        <v>65.0</v>
      </c>
      <c r="K10" s="20">
        <v>10.0</v>
      </c>
      <c r="L10" s="20">
        <f>SUMIFS('3월 단양 개인별 STAT'!L:L, '3월 단양 개인별 STAT'!$D:$D, $D10, '3월 단양 개인별 STAT'!$E:$E, $E10) + SUMIFS('4월 삼척 개인별 STAT'!L:L, '4월 삼척 개인별 STAT'!$D:$D, $D10, '4월 삼척 개인별 STAT'!$E:$E, $E10)</f>
        <v>1</v>
      </c>
      <c r="M10" s="20">
        <f>SUMIFS('3월 단양 개인별 STAT'!M:M, '3월 단양 개인별 STAT'!$D:$D, $D10, '3월 단양 개인별 STAT'!$E:$E, $E10) + SUMIFS('4월 삼척 개인별 STAT'!M:M, '4월 삼척 개인별 STAT'!$D:$D, $D10, '4월 삼척 개인별 STAT'!$E:$E, $E10)</f>
        <v>3</v>
      </c>
      <c r="N10" s="20">
        <f>SUMIFS('3월 단양 개인별 STAT'!N:N, '3월 단양 개인별 STAT'!$D:$D, $D10, '3월 단양 개인별 STAT'!$E:$E, $E10) + SUMIFS('4월 삼척 개인별 STAT'!N:N, '4월 삼척 개인별 STAT'!$D:$D, $D10, '4월 삼척 개인별 STAT'!$E:$E, $E10)</f>
        <v>8</v>
      </c>
      <c r="O10" s="20">
        <f>SUMIFS('3월 단양 개인별 STAT'!O:O, '3월 단양 개인별 STAT'!$D:$D, $D10, '3월 단양 개인별 STAT'!$E:$E, $E10) + SUMIFS('4월 삼척 개인별 STAT'!O:O, '4월 삼척 개인별 STAT'!$D:$D, $D10, '4월 삼척 개인별 STAT'!$E:$E, $E10)</f>
        <v>0</v>
      </c>
      <c r="P10" s="20">
        <f>SUMIFS('3월 단양 개인별 STAT'!P:P, '3월 단양 개인별 STAT'!$D:$D, $D10, '3월 단양 개인별 STAT'!$E:$E, $E10) + SUMIFS('4월 삼척 개인별 STAT'!P:P, '4월 삼척 개인별 STAT'!$D:$D, $D10, '4월 삼척 개인별 STAT'!$E:$E, $E10)</f>
        <v>3</v>
      </c>
      <c r="Q10" s="20">
        <f>SUMIFS('3월 단양 개인별 STAT'!Q:Q, '3월 단양 개인별 STAT'!$D:$D, $D10, '3월 단양 개인별 STAT'!$E:$E, $E10) + SUMIFS('4월 삼척 개인별 STAT'!Q:Q, '4월 삼척 개인별 STAT'!$D:$D, $D10, '4월 삼척 개인별 STAT'!$E:$E, $E10)</f>
        <v>1</v>
      </c>
      <c r="R10" s="21">
        <f t="shared" si="3"/>
        <v>12</v>
      </c>
      <c r="S10" s="22">
        <f t="shared" si="4"/>
        <v>0.58</v>
      </c>
      <c r="T10" s="20">
        <f>SUMIFS('3월 단양 개인별 STAT'!T:T, '3월 단양 개인별 STAT'!$D:$D, $D10, '3월 단양 개인별 STAT'!$E:$E, $E10) + SUMIFS('4월 삼척 개인별 STAT'!T:T, '4월 삼척 개인별 STAT'!$D:$D, $D10, '4월 삼척 개인별 STAT'!$E:$E, $E10)</f>
        <v>1</v>
      </c>
      <c r="U10" s="20">
        <f>SUMIFS('3월 단양 개인별 STAT'!U:U, '3월 단양 개인별 STAT'!$D:$D, $D10, '3월 단양 개인별 STAT'!$E:$E, $E10) + SUMIFS('4월 삼척 개인별 STAT'!U:U, '4월 삼척 개인별 STAT'!$D:$D, $D10, '4월 삼척 개인별 STAT'!$E:$E, $E10)</f>
        <v>0</v>
      </c>
      <c r="V10" s="20">
        <f>SUMIFS('3월 단양 개인별 STAT'!V:V, '3월 단양 개인별 STAT'!$D:$D, $D10, '3월 단양 개인별 STAT'!$E:$E, $E10) + SUMIFS('4월 삼척 개인별 STAT'!V:V, '4월 삼척 개인별 STAT'!$D:$D, $D10, '4월 삼척 개인별 STAT'!$E:$E, $E10)</f>
        <v>0</v>
      </c>
      <c r="W10" s="20">
        <f>SUMIFS('3월 단양 개인별 STAT'!W:W, '3월 단양 개인별 STAT'!$D:$D, $D10, '3월 단양 개인별 STAT'!$E:$E, $E10) + SUMIFS('4월 삼척 개인별 STAT'!W:W, '4월 삼척 개인별 STAT'!$D:$D, $D10, '4월 삼척 개인별 STAT'!$E:$E, $E10)</f>
        <v>2</v>
      </c>
      <c r="X10" s="20">
        <f>SUMIFS('3월 단양 개인별 STAT'!X:X, '3월 단양 개인별 STAT'!$D:$D, $D10, '3월 단양 개인별 STAT'!$E:$E, $E10) + SUMIFS('4월 삼척 개인별 STAT'!X:X, '4월 삼척 개인별 STAT'!$D:$D, $D10, '4월 삼척 개인별 STAT'!$E:$E, $E10)</f>
        <v>0</v>
      </c>
      <c r="Y10" s="20">
        <f>SUMIFS('3월 단양 개인별 STAT'!Y:Y, '3월 단양 개인별 STAT'!$D:$D, $D10, '3월 단양 개인별 STAT'!$E:$E, $E10) + SUMIFS('4월 삼척 개인별 STAT'!Y:Y, '4월 삼척 개인별 STAT'!$D:$D, $D10, '4월 삼척 개인별 STAT'!$E:$E, $E10)</f>
        <v>0</v>
      </c>
      <c r="Z10" s="21">
        <f t="shared" si="5"/>
        <v>2</v>
      </c>
      <c r="AA10" s="20">
        <f>SUMIFS('3월 단양 개인별 STAT'!AA:AA, '3월 단양 개인별 STAT'!$D:$D, $D10, '3월 단양 개인별 STAT'!$E:$E, $E10) + SUMIFS('4월 삼척 개인별 STAT'!AA:AA, '4월 삼척 개인별 STAT'!$D:$D, $D10, '4월 삼척 개인별 STAT'!$E:$E, $E10)</f>
        <v>0</v>
      </c>
      <c r="AB10" s="21">
        <f t="shared" si="6"/>
        <v>9</v>
      </c>
      <c r="AC10" s="23">
        <f t="shared" si="7"/>
        <v>9</v>
      </c>
      <c r="AD10" s="30" t="str">
        <f t="shared" si="8"/>
        <v>-</v>
      </c>
      <c r="AE10" s="20">
        <f>SUMIFS('3월 단양 개인별 STAT'!AE:AE, '3월 단양 개인별 STAT'!$D:$D, $D10, '3월 단양 개인별 STAT'!$E:$E, $E10) + SUMIFS('4월 삼척 개인별 STAT'!AE:AE, '4월 삼척 개인별 STAT'!$D:$D, $D10, '4월 삼척 개인별 STAT'!$E:$E, $E10)</f>
        <v>0</v>
      </c>
      <c r="AF10" s="20">
        <f>SUMIFS('3월 단양 개인별 STAT'!AF:AF, '3월 단양 개인별 STAT'!$D:$D, $D10, '3월 단양 개인별 STAT'!$E:$E, $E10) + SUMIFS('4월 삼척 개인별 STAT'!AF:AF, '4월 삼척 개인별 STAT'!$D:$D, $D10, '4월 삼척 개인별 STAT'!$E:$E, $E10)</f>
        <v>0</v>
      </c>
      <c r="AG10" s="24" t="str">
        <f t="shared" si="9"/>
        <v>-</v>
      </c>
      <c r="AH10" s="20">
        <f>SUMIFS('3월 단양 개인별 STAT'!AH:AH, '3월 단양 개인별 STAT'!$D:$D, $D10, '3월 단양 개인별 STAT'!$E:$E, $E10) + SUMIFS('4월 삼척 개인별 STAT'!AH:AH, '4월 삼척 개인별 STAT'!$D:$D, $D10, '4월 삼척 개인별 STAT'!$E:$E, $E10)</f>
        <v>1</v>
      </c>
      <c r="AI10" s="22" t="str">
        <f t="shared" si="10"/>
        <v>0.33</v>
      </c>
      <c r="AJ10" s="25"/>
      <c r="AK10" s="26"/>
      <c r="AL10" s="27">
        <f t="shared" si="11"/>
        <v>2.666666667</v>
      </c>
      <c r="AM10" s="27">
        <f t="shared" si="12"/>
        <v>4</v>
      </c>
      <c r="AN10" s="28">
        <f t="shared" si="13"/>
        <v>0.6666666667</v>
      </c>
      <c r="AO10" s="27">
        <f t="shared" si="14"/>
        <v>0.3333333333</v>
      </c>
      <c r="AP10" s="27">
        <f t="shared" si="15"/>
        <v>0</v>
      </c>
      <c r="AQ10" s="27">
        <f t="shared" ref="AQ10:AR10" si="23">iferror(AB10/$M10,"-")</f>
        <v>3</v>
      </c>
      <c r="AR10" s="27">
        <f t="shared" si="23"/>
        <v>3</v>
      </c>
      <c r="AS10" s="29">
        <f t="shared" si="17"/>
        <v>0</v>
      </c>
      <c r="AT10" s="29" t="str">
        <f t="shared" si="18"/>
        <v>0.33</v>
      </c>
      <c r="AU10" s="26"/>
      <c r="AV10" s="26"/>
      <c r="AW10" s="26"/>
      <c r="AX10" s="26"/>
    </row>
    <row r="11">
      <c r="B11" s="17">
        <v>8.0</v>
      </c>
      <c r="C11" s="18">
        <f t="shared" si="2"/>
        <v>8</v>
      </c>
      <c r="D11" s="19" t="s">
        <v>45</v>
      </c>
      <c r="E11" s="19" t="s">
        <v>59</v>
      </c>
      <c r="F11" s="19">
        <v>1.0</v>
      </c>
      <c r="G11" s="19" t="s">
        <v>54</v>
      </c>
      <c r="H11" s="19" t="s">
        <v>48</v>
      </c>
      <c r="I11" s="19">
        <v>178.0</v>
      </c>
      <c r="J11" s="19">
        <v>64.0</v>
      </c>
      <c r="K11" s="20">
        <v>11.0</v>
      </c>
      <c r="L11" s="20">
        <f>SUMIFS('3월 단양 개인별 STAT'!L:L, '3월 단양 개인별 STAT'!$D:$D, $D11, '3월 단양 개인별 STAT'!$E:$E, $E11) + SUMIFS('4월 삼척 개인별 STAT'!L:L, '4월 삼척 개인별 STAT'!$D:$D, $D11, '4월 삼척 개인별 STAT'!$E:$E, $E11)</f>
        <v>1</v>
      </c>
      <c r="M11" s="20">
        <f>SUMIFS('3월 단양 개인별 STAT'!M:M, '3월 단양 개인별 STAT'!$D:$D, $D11, '3월 단양 개인별 STAT'!$E:$E, $E11) + SUMIFS('4월 삼척 개인별 STAT'!M:M, '4월 삼척 개인별 STAT'!$D:$D, $D11, '4월 삼척 개인별 STAT'!$E:$E, $E11)</f>
        <v>2</v>
      </c>
      <c r="N11" s="20">
        <f>SUMIFS('3월 단양 개인별 STAT'!N:N, '3월 단양 개인별 STAT'!$D:$D, $D11, '3월 단양 개인별 STAT'!$E:$E, $E11) + SUMIFS('4월 삼척 개인별 STAT'!N:N, '4월 삼척 개인별 STAT'!$D:$D, $D11, '4월 삼척 개인별 STAT'!$E:$E, $E11)</f>
        <v>0</v>
      </c>
      <c r="O11" s="20">
        <f>SUMIFS('3월 단양 개인별 STAT'!O:O, '3월 단양 개인별 STAT'!$D:$D, $D11, '3월 단양 개인별 STAT'!$E:$E, $E11) + SUMIFS('4월 삼척 개인별 STAT'!O:O, '4월 삼척 개인별 STAT'!$D:$D, $D11, '4월 삼척 개인별 STAT'!$E:$E, $E11)</f>
        <v>17</v>
      </c>
      <c r="P11" s="20">
        <f>SUMIFS('3월 단양 개인별 STAT'!P:P, '3월 단양 개인별 STAT'!$D:$D, $D11, '3월 단양 개인별 STAT'!$E:$E, $E11) + SUMIFS('4월 삼척 개인별 STAT'!P:P, '4월 삼척 개인별 STAT'!$D:$D, $D11, '4월 삼척 개인별 STAT'!$E:$E, $E11)</f>
        <v>2</v>
      </c>
      <c r="Q11" s="20">
        <f>SUMIFS('3월 단양 개인별 STAT'!Q:Q, '3월 단양 개인별 STAT'!$D:$D, $D11, '3월 단양 개인별 STAT'!$E:$E, $E11) + SUMIFS('4월 삼척 개인별 STAT'!Q:Q, '4월 삼척 개인별 STAT'!$D:$D, $D11, '4월 삼척 개인별 STAT'!$E:$E, $E11)</f>
        <v>1</v>
      </c>
      <c r="R11" s="21">
        <f t="shared" si="3"/>
        <v>3</v>
      </c>
      <c r="S11" s="22">
        <f t="shared" si="4"/>
        <v>-0.33</v>
      </c>
      <c r="T11" s="20">
        <f>SUMIFS('3월 단양 개인별 STAT'!T:T, '3월 단양 개인별 STAT'!$D:$D, $D11, '3월 단양 개인별 STAT'!$E:$E, $E11) + SUMIFS('4월 삼척 개인별 STAT'!T:T, '4월 삼척 개인별 STAT'!$D:$D, $D11, '4월 삼척 개인별 STAT'!$E:$E, $E11)</f>
        <v>0</v>
      </c>
      <c r="U11" s="20">
        <f>SUMIFS('3월 단양 개인별 STAT'!U:U, '3월 단양 개인별 STAT'!$D:$D, $D11, '3월 단양 개인별 STAT'!$E:$E, $E11) + SUMIFS('4월 삼척 개인별 STAT'!U:U, '4월 삼척 개인별 STAT'!$D:$D, $D11, '4월 삼척 개인별 STAT'!$E:$E, $E11)</f>
        <v>0</v>
      </c>
      <c r="V11" s="20">
        <f>SUMIFS('3월 단양 개인별 STAT'!V:V, '3월 단양 개인별 STAT'!$D:$D, $D11, '3월 단양 개인별 STAT'!$E:$E, $E11) + SUMIFS('4월 삼척 개인별 STAT'!V:V, '4월 삼척 개인별 STAT'!$D:$D, $D11, '4월 삼척 개인별 STAT'!$E:$E, $E11)</f>
        <v>0</v>
      </c>
      <c r="W11" s="20">
        <f>SUMIFS('3월 단양 개인별 STAT'!W:W, '3월 단양 개인별 STAT'!$D:$D, $D11, '3월 단양 개인별 STAT'!$E:$E, $E11) + SUMIFS('4월 삼척 개인별 STAT'!W:W, '4월 삼척 개인별 STAT'!$D:$D, $D11, '4월 삼척 개인별 STAT'!$E:$E, $E11)</f>
        <v>3</v>
      </c>
      <c r="X11" s="20">
        <f>SUMIFS('3월 단양 개인별 STAT'!X:X, '3월 단양 개인별 STAT'!$D:$D, $D11, '3월 단양 개인별 STAT'!$E:$E, $E11) + SUMIFS('4월 삼척 개인별 STAT'!X:X, '4월 삼척 개인별 STAT'!$D:$D, $D11, '4월 삼척 개인별 STAT'!$E:$E, $E11)</f>
        <v>0</v>
      </c>
      <c r="Y11" s="20">
        <f>SUMIFS('3월 단양 개인별 STAT'!Y:Y, '3월 단양 개인별 STAT'!$D:$D, $D11, '3월 단양 개인별 STAT'!$E:$E, $E11) + SUMIFS('4월 삼척 개인별 STAT'!Y:Y, '4월 삼척 개인별 STAT'!$D:$D, $D11, '4월 삼척 개인별 STAT'!$E:$E, $E11)</f>
        <v>1</v>
      </c>
      <c r="Z11" s="21">
        <f t="shared" si="5"/>
        <v>4</v>
      </c>
      <c r="AA11" s="20">
        <f>SUMIFS('3월 단양 개인별 STAT'!AA:AA, '3월 단양 개인별 STAT'!$D:$D, $D11, '3월 단양 개인별 STAT'!$E:$E, $E11) + SUMIFS('4월 삼척 개인별 STAT'!AA:AA, '4월 삼척 개인별 STAT'!$D:$D, $D11, '4월 삼척 개인별 STAT'!$E:$E, $E11)</f>
        <v>1</v>
      </c>
      <c r="AB11" s="30" t="str">
        <f t="shared" si="6"/>
        <v>-</v>
      </c>
      <c r="AC11" s="23">
        <f t="shared" si="7"/>
        <v>0</v>
      </c>
      <c r="AD11" s="21">
        <f t="shared" si="8"/>
        <v>2</v>
      </c>
      <c r="AE11" s="20">
        <f>SUMIFS('3월 단양 개인별 STAT'!AE:AE, '3월 단양 개인별 STAT'!$D:$D, $D11, '3월 단양 개인별 STAT'!$E:$E, $E11) + SUMIFS('4월 삼척 개인별 STAT'!AE:AE, '4월 삼척 개인별 STAT'!$D:$D, $D11, '4월 삼척 개인별 STAT'!$E:$E, $E11)</f>
        <v>1</v>
      </c>
      <c r="AF11" s="20">
        <f>SUMIFS('3월 단양 개인별 STAT'!AF:AF, '3월 단양 개인별 STAT'!$D:$D, $D11, '3월 단양 개인별 STAT'!$E:$E, $E11) + SUMIFS('4월 삼척 개인별 STAT'!AF:AF, '4월 삼척 개인별 STAT'!$D:$D, $D11, '4월 삼척 개인별 STAT'!$E:$E, $E11)</f>
        <v>1</v>
      </c>
      <c r="AG11" s="24">
        <f t="shared" si="9"/>
        <v>50</v>
      </c>
      <c r="AH11" s="20">
        <f>SUMIFS('3월 단양 개인별 STAT'!AH:AH, '3월 단양 개인별 STAT'!$D:$D, $D11, '3월 단양 개인별 STAT'!$E:$E, $E11) + SUMIFS('4월 삼척 개인별 STAT'!AH:AH, '4월 삼척 개인별 STAT'!$D:$D, $D11, '4월 삼척 개인별 STAT'!$E:$E, $E11)</f>
        <v>4</v>
      </c>
      <c r="AI11" s="22" t="str">
        <f t="shared" si="10"/>
        <v>2</v>
      </c>
      <c r="AJ11" s="25"/>
      <c r="AK11" s="26"/>
      <c r="AL11" s="27">
        <f t="shared" si="11"/>
        <v>0</v>
      </c>
      <c r="AM11" s="27">
        <f t="shared" si="12"/>
        <v>1.5</v>
      </c>
      <c r="AN11" s="28">
        <f t="shared" si="13"/>
        <v>0</v>
      </c>
      <c r="AO11" s="27">
        <f t="shared" si="14"/>
        <v>0</v>
      </c>
      <c r="AP11" s="27">
        <f t="shared" si="15"/>
        <v>0</v>
      </c>
      <c r="AQ11" s="27" t="str">
        <f t="shared" ref="AQ11:AR11" si="24">iferror(AB11/$M11,"-")</f>
        <v>-</v>
      </c>
      <c r="AR11" s="27">
        <f t="shared" si="24"/>
        <v>0</v>
      </c>
      <c r="AS11" s="29">
        <f t="shared" si="17"/>
        <v>0.5</v>
      </c>
      <c r="AT11" s="29" t="str">
        <f t="shared" si="18"/>
        <v>2</v>
      </c>
      <c r="AU11" s="26"/>
      <c r="AV11" s="26"/>
      <c r="AW11" s="26"/>
      <c r="AX11" s="26"/>
    </row>
    <row r="12">
      <c r="B12" s="17">
        <v>9.0</v>
      </c>
      <c r="C12" s="18">
        <f t="shared" si="2"/>
        <v>9</v>
      </c>
      <c r="D12" s="19" t="s">
        <v>45</v>
      </c>
      <c r="E12" s="19" t="s">
        <v>60</v>
      </c>
      <c r="F12" s="19">
        <v>3.0</v>
      </c>
      <c r="G12" s="19" t="s">
        <v>52</v>
      </c>
      <c r="H12" s="19" t="s">
        <v>48</v>
      </c>
      <c r="I12" s="19">
        <v>182.0</v>
      </c>
      <c r="J12" s="19">
        <v>67.0</v>
      </c>
      <c r="K12" s="20">
        <v>12.0</v>
      </c>
      <c r="L12" s="20">
        <f>SUMIFS('3월 단양 개인별 STAT'!L:L, '3월 단양 개인별 STAT'!$D:$D, $D12, '3월 단양 개인별 STAT'!$E:$E, $E12) + SUMIFS('4월 삼척 개인별 STAT'!L:L, '4월 삼척 개인별 STAT'!$D:$D, $D12, '4월 삼척 개인별 STAT'!$E:$E, $E12)</f>
        <v>2</v>
      </c>
      <c r="M12" s="20">
        <f>SUMIFS('3월 단양 개인별 STAT'!M:M, '3월 단양 개인별 STAT'!$D:$D, $D12, '3월 단양 개인별 STAT'!$E:$E, $E12) + SUMIFS('4월 삼척 개인별 STAT'!M:M, '4월 삼척 개인별 STAT'!$D:$D, $D12, '4월 삼척 개인별 STAT'!$E:$E, $E12)</f>
        <v>7</v>
      </c>
      <c r="N12" s="20">
        <f>SUMIFS('3월 단양 개인별 STAT'!N:N, '3월 단양 개인별 STAT'!$D:$D, $D12, '3월 단양 개인별 STAT'!$E:$E, $E12) + SUMIFS('4월 삼척 개인별 STAT'!N:N, '4월 삼척 개인별 STAT'!$D:$D, $D12, '4월 삼척 개인별 STAT'!$E:$E, $E12)</f>
        <v>32</v>
      </c>
      <c r="O12" s="20">
        <f>SUMIFS('3월 단양 개인별 STAT'!O:O, '3월 단양 개인별 STAT'!$D:$D, $D12, '3월 단양 개인별 STAT'!$E:$E, $E12) + SUMIFS('4월 삼척 개인별 STAT'!O:O, '4월 삼척 개인별 STAT'!$D:$D, $D12, '4월 삼척 개인별 STAT'!$E:$E, $E12)</f>
        <v>2</v>
      </c>
      <c r="P12" s="20">
        <f>SUMIFS('3월 단양 개인별 STAT'!P:P, '3월 단양 개인별 STAT'!$D:$D, $D12, '3월 단양 개인별 STAT'!$E:$E, $E12) + SUMIFS('4월 삼척 개인별 STAT'!P:P, '4월 삼척 개인별 STAT'!$D:$D, $D12, '4월 삼척 개인별 STAT'!$E:$E, $E12)</f>
        <v>34</v>
      </c>
      <c r="Q12" s="20">
        <f>SUMIFS('3월 단양 개인별 STAT'!Q:Q, '3월 단양 개인별 STAT'!$D:$D, $D12, '3월 단양 개인별 STAT'!$E:$E, $E12) + SUMIFS('4월 삼척 개인별 STAT'!Q:Q, '4월 삼척 개인별 STAT'!$D:$D, $D12, '4월 삼척 개인별 STAT'!$E:$E, $E12)</f>
        <v>13</v>
      </c>
      <c r="R12" s="21">
        <f t="shared" si="3"/>
        <v>79</v>
      </c>
      <c r="S12" s="22">
        <f t="shared" si="4"/>
        <v>0.24</v>
      </c>
      <c r="T12" s="20">
        <f>SUMIFS('3월 단양 개인별 STAT'!T:T, '3월 단양 개인별 STAT'!$D:$D, $D12, '3월 단양 개인별 STAT'!$E:$E, $E12) + SUMIFS('4월 삼척 개인별 STAT'!T:T, '4월 삼척 개인별 STAT'!$D:$D, $D12, '4월 삼척 개인별 STAT'!$E:$E, $E12)</f>
        <v>2</v>
      </c>
      <c r="U12" s="20">
        <f>SUMIFS('3월 단양 개인별 STAT'!U:U, '3월 단양 개인별 STAT'!$D:$D, $D12, '3월 단양 개인별 STAT'!$E:$E, $E12) + SUMIFS('4월 삼척 개인별 STAT'!U:U, '4월 삼척 개인별 STAT'!$D:$D, $D12, '4월 삼척 개인별 STAT'!$E:$E, $E12)</f>
        <v>1</v>
      </c>
      <c r="V12" s="20">
        <f>SUMIFS('3월 단양 개인별 STAT'!V:V, '3월 단양 개인별 STAT'!$D:$D, $D12, '3월 단양 개인별 STAT'!$E:$E, $E12) + SUMIFS('4월 삼척 개인별 STAT'!V:V, '4월 삼척 개인별 STAT'!$D:$D, $D12, '4월 삼척 개인별 STAT'!$E:$E, $E12)</f>
        <v>0</v>
      </c>
      <c r="W12" s="20">
        <f>SUMIFS('3월 단양 개인별 STAT'!W:W, '3월 단양 개인별 STAT'!$D:$D, $D12, '3월 단양 개인별 STAT'!$E:$E, $E12) + SUMIFS('4월 삼척 개인별 STAT'!W:W, '4월 삼척 개인별 STAT'!$D:$D, $D12, '4월 삼척 개인별 STAT'!$E:$E, $E12)</f>
        <v>18</v>
      </c>
      <c r="X12" s="20">
        <f>SUMIFS('3월 단양 개인별 STAT'!X:X, '3월 단양 개인별 STAT'!$D:$D, $D12, '3월 단양 개인별 STAT'!$E:$E, $E12) + SUMIFS('4월 삼척 개인별 STAT'!X:X, '4월 삼척 개인별 STAT'!$D:$D, $D12, '4월 삼척 개인별 STAT'!$E:$E, $E12)</f>
        <v>1</v>
      </c>
      <c r="Y12" s="20">
        <f>SUMIFS('3월 단양 개인별 STAT'!Y:Y, '3월 단양 개인별 STAT'!$D:$D, $D12, '3월 단양 개인별 STAT'!$E:$E, $E12) + SUMIFS('4월 삼척 개인별 STAT'!Y:Y, '4월 삼척 개인별 STAT'!$D:$D, $D12, '4월 삼척 개인별 STAT'!$E:$E, $E12)</f>
        <v>2</v>
      </c>
      <c r="Z12" s="21">
        <f t="shared" si="5"/>
        <v>21</v>
      </c>
      <c r="AA12" s="20">
        <f>SUMIFS('3월 단양 개인별 STAT'!AA:AA, '3월 단양 개인별 STAT'!$D:$D, $D12, '3월 단양 개인별 STAT'!$E:$E, $E12) + SUMIFS('4월 삼척 개인별 STAT'!AA:AA, '4월 삼척 개인별 STAT'!$D:$D, $D12, '4월 삼척 개인별 STAT'!$E:$E, $E12)</f>
        <v>0</v>
      </c>
      <c r="AB12" s="21">
        <f t="shared" si="6"/>
        <v>35</v>
      </c>
      <c r="AC12" s="23">
        <f t="shared" si="7"/>
        <v>35</v>
      </c>
      <c r="AD12" s="21">
        <f t="shared" si="8"/>
        <v>26</v>
      </c>
      <c r="AE12" s="20">
        <f>SUMIFS('3월 단양 개인별 STAT'!AE:AE, '3월 단양 개인별 STAT'!$D:$D, $D12, '3월 단양 개인별 STAT'!$E:$E, $E12) + SUMIFS('4월 삼척 개인별 STAT'!AE:AE, '4월 삼척 개인별 STAT'!$D:$D, $D12, '4월 삼척 개인별 STAT'!$E:$E, $E12)</f>
        <v>23</v>
      </c>
      <c r="AF12" s="20">
        <f>SUMIFS('3월 단양 개인별 STAT'!AF:AF, '3월 단양 개인별 STAT'!$D:$D, $D12, '3월 단양 개인별 STAT'!$E:$E, $E12) + SUMIFS('4월 삼척 개인별 STAT'!AF:AF, '4월 삼척 개인별 STAT'!$D:$D, $D12, '4월 삼척 개인별 STAT'!$E:$E, $E12)</f>
        <v>3</v>
      </c>
      <c r="AG12" s="24">
        <f t="shared" si="9"/>
        <v>88.46153846</v>
      </c>
      <c r="AH12" s="20">
        <f>SUMIFS('3월 단양 개인별 STAT'!AH:AH, '3월 단양 개인별 STAT'!$D:$D, $D12, '3월 단양 개인별 STAT'!$E:$E, $E12) + SUMIFS('4월 삼척 개인별 STAT'!AH:AH, '4월 삼척 개인별 STAT'!$D:$D, $D12, '4월 삼척 개인별 STAT'!$E:$E, $E12)</f>
        <v>11</v>
      </c>
      <c r="AI12" s="22" t="str">
        <f t="shared" si="10"/>
        <v>1.57</v>
      </c>
      <c r="AJ12" s="25"/>
      <c r="AK12" s="26"/>
      <c r="AL12" s="27">
        <f t="shared" si="11"/>
        <v>4.571428571</v>
      </c>
      <c r="AM12" s="27">
        <f t="shared" si="12"/>
        <v>11.28571429</v>
      </c>
      <c r="AN12" s="28">
        <f t="shared" si="13"/>
        <v>0.4050632911</v>
      </c>
      <c r="AO12" s="27">
        <f t="shared" si="14"/>
        <v>0.2857142857</v>
      </c>
      <c r="AP12" s="27">
        <f t="shared" si="15"/>
        <v>0.1428571429</v>
      </c>
      <c r="AQ12" s="27">
        <f t="shared" ref="AQ12:AR12" si="25">iferror(AB12/$M12,"-")</f>
        <v>5</v>
      </c>
      <c r="AR12" s="27">
        <f t="shared" si="25"/>
        <v>5</v>
      </c>
      <c r="AS12" s="29">
        <f t="shared" si="17"/>
        <v>0.4285714286</v>
      </c>
      <c r="AT12" s="29" t="str">
        <f t="shared" si="18"/>
        <v>1.57</v>
      </c>
      <c r="AU12" s="26"/>
      <c r="AV12" s="26"/>
      <c r="AW12" s="26"/>
      <c r="AX12" s="26"/>
    </row>
    <row r="13">
      <c r="B13" s="17">
        <v>10.0</v>
      </c>
      <c r="C13" s="18">
        <f t="shared" si="2"/>
        <v>10</v>
      </c>
      <c r="D13" s="19" t="s">
        <v>45</v>
      </c>
      <c r="E13" s="19" t="s">
        <v>61</v>
      </c>
      <c r="F13" s="19">
        <v>2.0</v>
      </c>
      <c r="G13" s="19" t="s">
        <v>57</v>
      </c>
      <c r="H13" s="19" t="s">
        <v>47</v>
      </c>
      <c r="I13" s="19">
        <v>184.0</v>
      </c>
      <c r="J13" s="19">
        <v>68.0</v>
      </c>
      <c r="K13" s="20">
        <v>13.0</v>
      </c>
      <c r="L13" s="20">
        <f>SUMIFS('3월 단양 개인별 STAT'!L:L, '3월 단양 개인별 STAT'!$D:$D, $D13, '3월 단양 개인별 STAT'!$E:$E, $E13) + SUMIFS('4월 삼척 개인별 STAT'!L:L, '4월 삼척 개인별 STAT'!$D:$D, $D13, '4월 삼척 개인별 STAT'!$E:$E, $E13)</f>
        <v>2</v>
      </c>
      <c r="M13" s="20">
        <f>SUMIFS('3월 단양 개인별 STAT'!M:M, '3월 단양 개인별 STAT'!$D:$D, $D13, '3월 단양 개인별 STAT'!$E:$E, $E13) + SUMIFS('4월 삼척 개인별 STAT'!M:M, '4월 삼척 개인별 STAT'!$D:$D, $D13, '4월 삼척 개인별 STAT'!$E:$E, $E13)</f>
        <v>7</v>
      </c>
      <c r="N13" s="20">
        <f>SUMIFS('3월 단양 개인별 STAT'!N:N, '3월 단양 개인별 STAT'!$D:$D, $D13, '3월 단양 개인별 STAT'!$E:$E, $E13) + SUMIFS('4월 삼척 개인별 STAT'!N:N, '4월 삼척 개인별 STAT'!$D:$D, $D13, '4월 삼척 개인별 STAT'!$E:$E, $E13)</f>
        <v>12</v>
      </c>
      <c r="O13" s="20">
        <f>SUMIFS('3월 단양 개인별 STAT'!O:O, '3월 단양 개인별 STAT'!$D:$D, $D13, '3월 단양 개인별 STAT'!$E:$E, $E13) + SUMIFS('4월 삼척 개인별 STAT'!O:O, '4월 삼척 개인별 STAT'!$D:$D, $D13, '4월 삼척 개인별 STAT'!$E:$E, $E13)</f>
        <v>1</v>
      </c>
      <c r="P13" s="20">
        <f>SUMIFS('3월 단양 개인별 STAT'!P:P, '3월 단양 개인별 STAT'!$D:$D, $D13, '3월 단양 개인별 STAT'!$E:$E, $E13) + SUMIFS('4월 삼척 개인별 STAT'!P:P, '4월 삼척 개인별 STAT'!$D:$D, $D13, '4월 삼척 개인별 STAT'!$E:$E, $E13)</f>
        <v>14</v>
      </c>
      <c r="Q13" s="20">
        <f>SUMIFS('3월 단양 개인별 STAT'!Q:Q, '3월 단양 개인별 STAT'!$D:$D, $D13, '3월 단양 개인별 STAT'!$E:$E, $E13) + SUMIFS('4월 삼척 개인별 STAT'!Q:Q, '4월 삼척 개인별 STAT'!$D:$D, $D13, '4월 삼척 개인별 STAT'!$E:$E, $E13)</f>
        <v>3</v>
      </c>
      <c r="R13" s="21">
        <f t="shared" si="3"/>
        <v>29</v>
      </c>
      <c r="S13" s="22">
        <f t="shared" si="4"/>
        <v>0.31</v>
      </c>
      <c r="T13" s="20">
        <f>SUMIFS('3월 단양 개인별 STAT'!T:T, '3월 단양 개인별 STAT'!$D:$D, $D13, '3월 단양 개인별 STAT'!$E:$E, $E13) + SUMIFS('4월 삼척 개인별 STAT'!T:T, '4월 삼척 개인별 STAT'!$D:$D, $D13, '4월 삼척 개인별 STAT'!$E:$E, $E13)</f>
        <v>2</v>
      </c>
      <c r="U13" s="20">
        <f>SUMIFS('3월 단양 개인별 STAT'!U:U, '3월 단양 개인별 STAT'!$D:$D, $D13, '3월 단양 개인별 STAT'!$E:$E, $E13) + SUMIFS('4월 삼척 개인별 STAT'!U:U, '4월 삼척 개인별 STAT'!$D:$D, $D13, '4월 삼척 개인별 STAT'!$E:$E, $E13)</f>
        <v>0</v>
      </c>
      <c r="V13" s="20">
        <f>SUMIFS('3월 단양 개인별 STAT'!V:V, '3월 단양 개인별 STAT'!$D:$D, $D13, '3월 단양 개인별 STAT'!$E:$E, $E13) + SUMIFS('4월 삼척 개인별 STAT'!V:V, '4월 삼척 개인별 STAT'!$D:$D, $D13, '4월 삼척 개인별 STAT'!$E:$E, $E13)</f>
        <v>0</v>
      </c>
      <c r="W13" s="20">
        <f>SUMIFS('3월 단양 개인별 STAT'!W:W, '3월 단양 개인별 STAT'!$D:$D, $D13, '3월 단양 개인별 STAT'!$E:$E, $E13) + SUMIFS('4월 삼척 개인별 STAT'!W:W, '4월 삼척 개인별 STAT'!$D:$D, $D13, '4월 삼척 개인별 STAT'!$E:$E, $E13)</f>
        <v>6</v>
      </c>
      <c r="X13" s="20">
        <f>SUMIFS('3월 단양 개인별 STAT'!X:X, '3월 단양 개인별 STAT'!$D:$D, $D13, '3월 단양 개인별 STAT'!$E:$E, $E13) + SUMIFS('4월 삼척 개인별 STAT'!X:X, '4월 삼척 개인별 STAT'!$D:$D, $D13, '4월 삼척 개인별 STAT'!$E:$E, $E13)</f>
        <v>0</v>
      </c>
      <c r="Y13" s="20">
        <f>SUMIFS('3월 단양 개인별 STAT'!Y:Y, '3월 단양 개인별 STAT'!$D:$D, $D13, '3월 단양 개인별 STAT'!$E:$E, $E13) + SUMIFS('4월 삼척 개인별 STAT'!Y:Y, '4월 삼척 개인별 STAT'!$D:$D, $D13, '4월 삼척 개인별 STAT'!$E:$E, $E13)</f>
        <v>5</v>
      </c>
      <c r="Z13" s="21">
        <f t="shared" si="5"/>
        <v>11</v>
      </c>
      <c r="AA13" s="20">
        <f>SUMIFS('3월 단양 개인별 STAT'!AA:AA, '3월 단양 개인별 STAT'!$D:$D, $D13, '3월 단양 개인별 STAT'!$E:$E, $E13) + SUMIFS('4월 삼척 개인별 STAT'!AA:AA, '4월 삼척 개인별 STAT'!$D:$D, $D13, '4월 삼척 개인별 STAT'!$E:$E, $E13)</f>
        <v>1</v>
      </c>
      <c r="AB13" s="21">
        <f t="shared" si="6"/>
        <v>14</v>
      </c>
      <c r="AC13" s="23">
        <f t="shared" si="7"/>
        <v>14</v>
      </c>
      <c r="AD13" s="21">
        <f t="shared" si="8"/>
        <v>5</v>
      </c>
      <c r="AE13" s="20">
        <f>SUMIFS('3월 단양 개인별 STAT'!AE:AE, '3월 단양 개인별 STAT'!$D:$D, $D13, '3월 단양 개인별 STAT'!$E:$E, $E13) + SUMIFS('4월 삼척 개인별 STAT'!AE:AE, '4월 삼척 개인별 STAT'!$D:$D, $D13, '4월 삼척 개인별 STAT'!$E:$E, $E13)</f>
        <v>4</v>
      </c>
      <c r="AF13" s="20">
        <f>SUMIFS('3월 단양 개인별 STAT'!AF:AF, '3월 단양 개인별 STAT'!$D:$D, $D13, '3월 단양 개인별 STAT'!$E:$E, $E13) + SUMIFS('4월 삼척 개인별 STAT'!AF:AF, '4월 삼척 개인별 STAT'!$D:$D, $D13, '4월 삼척 개인별 STAT'!$E:$E, $E13)</f>
        <v>1</v>
      </c>
      <c r="AG13" s="24">
        <f t="shared" si="9"/>
        <v>80</v>
      </c>
      <c r="AH13" s="20">
        <f>SUMIFS('3월 단양 개인별 STAT'!AH:AH, '3월 단양 개인별 STAT'!$D:$D, $D13, '3월 단양 개인별 STAT'!$E:$E, $E13) + SUMIFS('4월 삼척 개인별 STAT'!AH:AH, '4월 삼척 개인별 STAT'!$D:$D, $D13, '4월 삼척 개인별 STAT'!$E:$E, $E13)</f>
        <v>7</v>
      </c>
      <c r="AI13" s="22" t="str">
        <f t="shared" si="10"/>
        <v>1</v>
      </c>
      <c r="AJ13" s="25"/>
      <c r="AK13" s="26"/>
      <c r="AL13" s="27">
        <f t="shared" si="11"/>
        <v>1.714285714</v>
      </c>
      <c r="AM13" s="27">
        <f t="shared" si="12"/>
        <v>4.142857143</v>
      </c>
      <c r="AN13" s="28">
        <f t="shared" si="13"/>
        <v>0.4137931034</v>
      </c>
      <c r="AO13" s="27">
        <f t="shared" si="14"/>
        <v>0.2857142857</v>
      </c>
      <c r="AP13" s="27">
        <f t="shared" si="15"/>
        <v>0</v>
      </c>
      <c r="AQ13" s="27">
        <f t="shared" ref="AQ13:AR13" si="26">iferror(AB13/$M13,"-")</f>
        <v>2</v>
      </c>
      <c r="AR13" s="27">
        <f t="shared" si="26"/>
        <v>2</v>
      </c>
      <c r="AS13" s="29">
        <f t="shared" si="17"/>
        <v>0.1428571429</v>
      </c>
      <c r="AT13" s="29" t="str">
        <f t="shared" si="18"/>
        <v>1</v>
      </c>
      <c r="AU13" s="26"/>
      <c r="AV13" s="26"/>
      <c r="AW13" s="26"/>
      <c r="AX13" s="26"/>
    </row>
    <row r="14">
      <c r="B14" s="17">
        <v>11.0</v>
      </c>
      <c r="C14" s="18">
        <f t="shared" si="2"/>
        <v>11</v>
      </c>
      <c r="D14" s="19" t="s">
        <v>45</v>
      </c>
      <c r="E14" s="19" t="s">
        <v>62</v>
      </c>
      <c r="F14" s="19">
        <v>3.0</v>
      </c>
      <c r="G14" s="19" t="s">
        <v>54</v>
      </c>
      <c r="H14" s="19" t="s">
        <v>48</v>
      </c>
      <c r="I14" s="19">
        <v>174.0</v>
      </c>
      <c r="J14" s="19">
        <v>60.0</v>
      </c>
      <c r="K14" s="20">
        <v>14.0</v>
      </c>
      <c r="L14" s="20">
        <f>SUMIFS('3월 단양 개인별 STAT'!L:L, '3월 단양 개인별 STAT'!$D:$D, $D14, '3월 단양 개인별 STAT'!$E:$E, $E14) + SUMIFS('4월 삼척 개인별 STAT'!L:L, '4월 삼척 개인별 STAT'!$D:$D, $D14, '4월 삼척 개인별 STAT'!$E:$E, $E14)</f>
        <v>2</v>
      </c>
      <c r="M14" s="20">
        <f>SUMIFS('3월 단양 개인별 STAT'!M:M, '3월 단양 개인별 STAT'!$D:$D, $D14, '3월 단양 개인별 STAT'!$E:$E, $E14) + SUMIFS('4월 삼척 개인별 STAT'!M:M, '4월 삼척 개인별 STAT'!$D:$D, $D14, '4월 삼척 개인별 STAT'!$E:$E, $E14)</f>
        <v>6</v>
      </c>
      <c r="N14" s="20">
        <f>SUMIFS('3월 단양 개인별 STAT'!N:N, '3월 단양 개인별 STAT'!$D:$D, $D14, '3월 단양 개인별 STAT'!$E:$E, $E14) + SUMIFS('4월 삼척 개인별 STAT'!N:N, '4월 삼척 개인별 STAT'!$D:$D, $D14, '4월 삼척 개인별 STAT'!$E:$E, $E14)</f>
        <v>1</v>
      </c>
      <c r="O14" s="20">
        <f>SUMIFS('3월 단양 개인별 STAT'!O:O, '3월 단양 개인별 STAT'!$D:$D, $D14, '3월 단양 개인별 STAT'!$E:$E, $E14) + SUMIFS('4월 삼척 개인별 STAT'!O:O, '4월 삼척 개인별 STAT'!$D:$D, $D14, '4월 삼척 개인별 STAT'!$E:$E, $E14)</f>
        <v>55</v>
      </c>
      <c r="P14" s="20">
        <f>SUMIFS('3월 단양 개인별 STAT'!P:P, '3월 단양 개인별 STAT'!$D:$D, $D14, '3월 단양 개인별 STAT'!$E:$E, $E14) + SUMIFS('4월 삼척 개인별 STAT'!P:P, '4월 삼척 개인별 STAT'!$D:$D, $D14, '4월 삼척 개인별 STAT'!$E:$E, $E14)</f>
        <v>2</v>
      </c>
      <c r="Q14" s="20">
        <f>SUMIFS('3월 단양 개인별 STAT'!Q:Q, '3월 단양 개인별 STAT'!$D:$D, $D14, '3월 단양 개인별 STAT'!$E:$E, $E14) + SUMIFS('4월 삼척 개인별 STAT'!Q:Q, '4월 삼척 개인별 STAT'!$D:$D, $D14, '4월 삼척 개인별 STAT'!$E:$E, $E14)</f>
        <v>0</v>
      </c>
      <c r="R14" s="21">
        <f t="shared" si="3"/>
        <v>3</v>
      </c>
      <c r="S14" s="22">
        <f t="shared" si="4"/>
        <v>0.33</v>
      </c>
      <c r="T14" s="20">
        <f>SUMIFS('3월 단양 개인별 STAT'!T:T, '3월 단양 개인별 STAT'!$D:$D, $D14, '3월 단양 개인별 STAT'!$E:$E, $E14) + SUMIFS('4월 삼척 개인별 STAT'!T:T, '4월 삼척 개인별 STAT'!$D:$D, $D14, '4월 삼척 개인별 STAT'!$E:$E, $E14)</f>
        <v>0</v>
      </c>
      <c r="U14" s="20">
        <f>SUMIFS('3월 단양 개인별 STAT'!U:U, '3월 단양 개인별 STAT'!$D:$D, $D14, '3월 단양 개인별 STAT'!$E:$E, $E14) + SUMIFS('4월 삼척 개인별 STAT'!U:U, '4월 삼척 개인별 STAT'!$D:$D, $D14, '4월 삼척 개인별 STAT'!$E:$E, $E14)</f>
        <v>0</v>
      </c>
      <c r="V14" s="20">
        <f>SUMIFS('3월 단양 개인별 STAT'!V:V, '3월 단양 개인별 STAT'!$D:$D, $D14, '3월 단양 개인별 STAT'!$E:$E, $E14) + SUMIFS('4월 삼척 개인별 STAT'!V:V, '4월 삼척 개인별 STAT'!$D:$D, $D14, '4월 삼척 개인별 STAT'!$E:$E, $E14)</f>
        <v>0</v>
      </c>
      <c r="W14" s="20">
        <f>SUMIFS('3월 단양 개인별 STAT'!W:W, '3월 단양 개인별 STAT'!$D:$D, $D14, '3월 단양 개인별 STAT'!$E:$E, $E14) + SUMIFS('4월 삼척 개인별 STAT'!W:W, '4월 삼척 개인별 STAT'!$D:$D, $D14, '4월 삼척 개인별 STAT'!$E:$E, $E14)</f>
        <v>32</v>
      </c>
      <c r="X14" s="20">
        <f>SUMIFS('3월 단양 개인별 STAT'!X:X, '3월 단양 개인별 STAT'!$D:$D, $D14, '3월 단양 개인별 STAT'!$E:$E, $E14) + SUMIFS('4월 삼척 개인별 STAT'!X:X, '4월 삼척 개인별 STAT'!$D:$D, $D14, '4월 삼척 개인별 STAT'!$E:$E, $E14)</f>
        <v>1</v>
      </c>
      <c r="Y14" s="20">
        <f>SUMIFS('3월 단양 개인별 STAT'!Y:Y, '3월 단양 개인별 STAT'!$D:$D, $D14, '3월 단양 개인별 STAT'!$E:$E, $E14) + SUMIFS('4월 삼척 개인별 STAT'!Y:Y, '4월 삼척 개인별 STAT'!$D:$D, $D14, '4월 삼척 개인별 STAT'!$E:$E, $E14)</f>
        <v>2</v>
      </c>
      <c r="Z14" s="21">
        <f t="shared" si="5"/>
        <v>35</v>
      </c>
      <c r="AA14" s="20">
        <f>SUMIFS('3월 단양 개인별 STAT'!AA:AA, '3월 단양 개인별 STAT'!$D:$D, $D14, '3월 단양 개인별 STAT'!$E:$E, $E14) + SUMIFS('4월 삼척 개인별 STAT'!AA:AA, '4월 삼척 개인별 STAT'!$D:$D, $D14, '4월 삼척 개인별 STAT'!$E:$E, $E14)</f>
        <v>0</v>
      </c>
      <c r="AB14" s="21">
        <f t="shared" si="6"/>
        <v>2</v>
      </c>
      <c r="AC14" s="23">
        <f t="shared" si="7"/>
        <v>2</v>
      </c>
      <c r="AD14" s="30" t="str">
        <f t="shared" si="8"/>
        <v>-</v>
      </c>
      <c r="AE14" s="20">
        <f>SUMIFS('3월 단양 개인별 STAT'!AE:AE, '3월 단양 개인별 STAT'!$D:$D, $D14, '3월 단양 개인별 STAT'!$E:$E, $E14) + SUMIFS('4월 삼척 개인별 STAT'!AE:AE, '4월 삼척 개인별 STAT'!$D:$D, $D14, '4월 삼척 개인별 STAT'!$E:$E, $E14)</f>
        <v>0</v>
      </c>
      <c r="AF14" s="20">
        <f>SUMIFS('3월 단양 개인별 STAT'!AF:AF, '3월 단양 개인별 STAT'!$D:$D, $D14, '3월 단양 개인별 STAT'!$E:$E, $E14) + SUMIFS('4월 삼척 개인별 STAT'!AF:AF, '4월 삼척 개인별 STAT'!$D:$D, $D14, '4월 삼척 개인별 STAT'!$E:$E, $E14)</f>
        <v>0</v>
      </c>
      <c r="AG14" s="24" t="str">
        <f t="shared" si="9"/>
        <v>-</v>
      </c>
      <c r="AH14" s="20">
        <f>SUMIFS('3월 단양 개인별 STAT'!AH:AH, '3월 단양 개인별 STAT'!$D:$D, $D14, '3월 단양 개인별 STAT'!$E:$E, $E14) + SUMIFS('4월 삼척 개인별 STAT'!AH:AH, '4월 삼척 개인별 STAT'!$D:$D, $D14, '4월 삼척 개인별 STAT'!$E:$E, $E14)</f>
        <v>5</v>
      </c>
      <c r="AI14" s="22" t="str">
        <f t="shared" si="10"/>
        <v>0.83</v>
      </c>
      <c r="AJ14" s="25"/>
      <c r="AK14" s="26"/>
      <c r="AL14" s="27">
        <f t="shared" si="11"/>
        <v>0.1666666667</v>
      </c>
      <c r="AM14" s="27">
        <f t="shared" si="12"/>
        <v>0.5</v>
      </c>
      <c r="AN14" s="28">
        <f t="shared" si="13"/>
        <v>0.3333333333</v>
      </c>
      <c r="AO14" s="27">
        <f t="shared" si="14"/>
        <v>0</v>
      </c>
      <c r="AP14" s="27">
        <f t="shared" si="15"/>
        <v>0.1666666667</v>
      </c>
      <c r="AQ14" s="27">
        <f t="shared" ref="AQ14:AR14" si="27">iferror(AB14/$M14,"-")</f>
        <v>0.3333333333</v>
      </c>
      <c r="AR14" s="27">
        <f t="shared" si="27"/>
        <v>0.3333333333</v>
      </c>
      <c r="AS14" s="29">
        <f t="shared" si="17"/>
        <v>0</v>
      </c>
      <c r="AT14" s="29" t="str">
        <f t="shared" si="18"/>
        <v>0.83</v>
      </c>
      <c r="AU14" s="26"/>
      <c r="AV14" s="26"/>
      <c r="AW14" s="26"/>
      <c r="AX14" s="26"/>
    </row>
    <row r="15">
      <c r="B15" s="17">
        <v>12.0</v>
      </c>
      <c r="C15" s="18">
        <f t="shared" si="2"/>
        <v>12</v>
      </c>
      <c r="D15" s="19" t="s">
        <v>45</v>
      </c>
      <c r="E15" s="19" t="s">
        <v>63</v>
      </c>
      <c r="F15" s="19">
        <v>1.0</v>
      </c>
      <c r="G15" s="19" t="s">
        <v>52</v>
      </c>
      <c r="H15" s="19" t="s">
        <v>48</v>
      </c>
      <c r="I15" s="19">
        <v>183.0</v>
      </c>
      <c r="J15" s="19">
        <v>67.0</v>
      </c>
      <c r="K15" s="20">
        <v>17.0</v>
      </c>
      <c r="L15" s="20">
        <f>SUMIFS('3월 단양 개인별 STAT'!L:L, '3월 단양 개인별 STAT'!$D:$D, $D15, '3월 단양 개인별 STAT'!$E:$E, $E15) + SUMIFS('4월 삼척 개인별 STAT'!L:L, '4월 삼척 개인별 STAT'!$D:$D, $D15, '4월 삼척 개인별 STAT'!$E:$E, $E15)</f>
        <v>2</v>
      </c>
      <c r="M15" s="20">
        <f>SUMIFS('3월 단양 개인별 STAT'!M:M, '3월 단양 개인별 STAT'!$D:$D, $D15, '3월 단양 개인별 STAT'!$E:$E, $E15) + SUMIFS('4월 삼척 개인별 STAT'!M:M, '4월 삼척 개인별 STAT'!$D:$D, $D15, '4월 삼척 개인별 STAT'!$E:$E, $E15)</f>
        <v>7</v>
      </c>
      <c r="N15" s="20">
        <f>SUMIFS('3월 단양 개인별 STAT'!N:N, '3월 단양 개인별 STAT'!$D:$D, $D15, '3월 단양 개인별 STAT'!$E:$E, $E15) + SUMIFS('4월 삼척 개인별 STAT'!N:N, '4월 삼척 개인별 STAT'!$D:$D, $D15, '4월 삼척 개인별 STAT'!$E:$E, $E15)</f>
        <v>31</v>
      </c>
      <c r="O15" s="20">
        <f>SUMIFS('3월 단양 개인별 STAT'!O:O, '3월 단양 개인별 STAT'!$D:$D, $D15, '3월 단양 개인별 STAT'!$E:$E, $E15) + SUMIFS('4월 삼척 개인별 STAT'!O:O, '4월 삼척 개인별 STAT'!$D:$D, $D15, '4월 삼척 개인별 STAT'!$E:$E, $E15)</f>
        <v>1</v>
      </c>
      <c r="P15" s="20">
        <f>SUMIFS('3월 단양 개인별 STAT'!P:P, '3월 단양 개인별 STAT'!$D:$D, $D15, '3월 단양 개인별 STAT'!$E:$E, $E15) + SUMIFS('4월 삼척 개인별 STAT'!P:P, '4월 삼척 개인별 STAT'!$D:$D, $D15, '4월 삼척 개인별 STAT'!$E:$E, $E15)</f>
        <v>35</v>
      </c>
      <c r="Q15" s="20">
        <f>SUMIFS('3월 단양 개인별 STAT'!Q:Q, '3월 단양 개인별 STAT'!$D:$D, $D15, '3월 단양 개인별 STAT'!$E:$E, $E15) + SUMIFS('4월 삼척 개인별 STAT'!Q:Q, '4월 삼척 개인별 STAT'!$D:$D, $D15, '4월 삼척 개인별 STAT'!$E:$E, $E15)</f>
        <v>11</v>
      </c>
      <c r="R15" s="21">
        <f t="shared" si="3"/>
        <v>77</v>
      </c>
      <c r="S15" s="22">
        <f t="shared" si="4"/>
        <v>0.26</v>
      </c>
      <c r="T15" s="20">
        <f>SUMIFS('3월 단양 개인별 STAT'!T:T, '3월 단양 개인별 STAT'!$D:$D, $D15, '3월 단양 개인별 STAT'!$E:$E, $E15) + SUMIFS('4월 삼척 개인별 STAT'!T:T, '4월 삼척 개인별 STAT'!$D:$D, $D15, '4월 삼척 개인별 STAT'!$E:$E, $E15)</f>
        <v>6</v>
      </c>
      <c r="U15" s="20">
        <f>SUMIFS('3월 단양 개인별 STAT'!U:U, '3월 단양 개인별 STAT'!$D:$D, $D15, '3월 단양 개인별 STAT'!$E:$E, $E15) + SUMIFS('4월 삼척 개인별 STAT'!U:U, '4월 삼척 개인별 STAT'!$D:$D, $D15, '4월 삼척 개인별 STAT'!$E:$E, $E15)</f>
        <v>1</v>
      </c>
      <c r="V15" s="20">
        <f>SUMIFS('3월 단양 개인별 STAT'!V:V, '3월 단양 개인별 STAT'!$D:$D, $D15, '3월 단양 개인별 STAT'!$E:$E, $E15) + SUMIFS('4월 삼척 개인별 STAT'!V:V, '4월 삼척 개인별 STAT'!$D:$D, $D15, '4월 삼척 개인별 STAT'!$E:$E, $E15)</f>
        <v>0</v>
      </c>
      <c r="W15" s="20">
        <f>SUMIFS('3월 단양 개인별 STAT'!W:W, '3월 단양 개인별 STAT'!$D:$D, $D15, '3월 단양 개인별 STAT'!$E:$E, $E15) + SUMIFS('4월 삼척 개인별 STAT'!W:W, '4월 삼척 개인별 STAT'!$D:$D, $D15, '4월 삼척 개인별 STAT'!$E:$E, $E15)</f>
        <v>22</v>
      </c>
      <c r="X15" s="20">
        <f>SUMIFS('3월 단양 개인별 STAT'!X:X, '3월 단양 개인별 STAT'!$D:$D, $D15, '3월 단양 개인별 STAT'!$E:$E, $E15) + SUMIFS('4월 삼척 개인별 STAT'!X:X, '4월 삼척 개인별 STAT'!$D:$D, $D15, '4월 삼척 개인별 STAT'!$E:$E, $E15)</f>
        <v>1</v>
      </c>
      <c r="Y15" s="20">
        <f>SUMIFS('3월 단양 개인별 STAT'!Y:Y, '3월 단양 개인별 STAT'!$D:$D, $D15, '3월 단양 개인별 STAT'!$E:$E, $E15) + SUMIFS('4월 삼척 개인별 STAT'!Y:Y, '4월 삼척 개인별 STAT'!$D:$D, $D15, '4월 삼척 개인별 STAT'!$E:$E, $E15)</f>
        <v>4</v>
      </c>
      <c r="Z15" s="21">
        <f t="shared" si="5"/>
        <v>27</v>
      </c>
      <c r="AA15" s="20">
        <f>SUMIFS('3월 단양 개인별 STAT'!AA:AA, '3월 단양 개인별 STAT'!$D:$D, $D15, '3월 단양 개인별 STAT'!$E:$E, $E15) + SUMIFS('4월 삼척 개인별 STAT'!AA:AA, '4월 삼척 개인별 STAT'!$D:$D, $D15, '4월 삼척 개인별 STAT'!$E:$E, $E15)</f>
        <v>0</v>
      </c>
      <c r="AB15" s="21">
        <f t="shared" si="6"/>
        <v>38</v>
      </c>
      <c r="AC15" s="23">
        <f t="shared" si="7"/>
        <v>38</v>
      </c>
      <c r="AD15" s="21">
        <f t="shared" si="8"/>
        <v>54</v>
      </c>
      <c r="AE15" s="20">
        <f>SUMIFS('3월 단양 개인별 STAT'!AE:AE, '3월 단양 개인별 STAT'!$D:$D, $D15, '3월 단양 개인별 STAT'!$E:$E, $E15) + SUMIFS('4월 삼척 개인별 STAT'!AE:AE, '4월 삼척 개인별 STAT'!$D:$D, $D15, '4월 삼척 개인별 STAT'!$E:$E, $E15)</f>
        <v>50</v>
      </c>
      <c r="AF15" s="20">
        <f>SUMIFS('3월 단양 개인별 STAT'!AF:AF, '3월 단양 개인별 STAT'!$D:$D, $D15, '3월 단양 개인별 STAT'!$E:$E, $E15) + SUMIFS('4월 삼척 개인별 STAT'!AF:AF, '4월 삼척 개인별 STAT'!$D:$D, $D15, '4월 삼척 개인별 STAT'!$E:$E, $E15)</f>
        <v>4</v>
      </c>
      <c r="AG15" s="24">
        <f t="shared" si="9"/>
        <v>92.59259259</v>
      </c>
      <c r="AH15" s="20">
        <f>SUMIFS('3월 단양 개인별 STAT'!AH:AH, '3월 단양 개인별 STAT'!$D:$D, $D15, '3월 단양 개인별 STAT'!$E:$E, $E15) + SUMIFS('4월 삼척 개인별 STAT'!AH:AH, '4월 삼척 개인별 STAT'!$D:$D, $D15, '4월 삼척 개인별 STAT'!$E:$E, $E15)</f>
        <v>17</v>
      </c>
      <c r="AI15" s="22" t="str">
        <f t="shared" si="10"/>
        <v>2.43</v>
      </c>
      <c r="AJ15" s="25"/>
      <c r="AK15" s="26"/>
      <c r="AL15" s="27">
        <f t="shared" si="11"/>
        <v>4.428571429</v>
      </c>
      <c r="AM15" s="27" t="s">
        <v>64</v>
      </c>
      <c r="AN15" s="28">
        <f t="shared" si="13"/>
        <v>0.4025974026</v>
      </c>
      <c r="AO15" s="27">
        <f t="shared" si="14"/>
        <v>0.8571428571</v>
      </c>
      <c r="AP15" s="27">
        <f t="shared" si="15"/>
        <v>0.1428571429</v>
      </c>
      <c r="AQ15" s="27">
        <f t="shared" ref="AQ15:AR15" si="28">iferror(AB15/$M15,"-")</f>
        <v>5.428571429</v>
      </c>
      <c r="AR15" s="27">
        <f t="shared" si="28"/>
        <v>5.428571429</v>
      </c>
      <c r="AS15" s="29">
        <f t="shared" si="17"/>
        <v>0.5714285714</v>
      </c>
      <c r="AT15" s="29" t="str">
        <f t="shared" si="18"/>
        <v>2.43</v>
      </c>
      <c r="AU15" s="26"/>
      <c r="AV15" s="26"/>
      <c r="AW15" s="26"/>
      <c r="AX15" s="26"/>
    </row>
    <row r="16">
      <c r="B16" s="17">
        <v>13.0</v>
      </c>
      <c r="C16" s="18">
        <f t="shared" si="2"/>
        <v>13</v>
      </c>
      <c r="D16" s="19" t="s">
        <v>45</v>
      </c>
      <c r="E16" s="19" t="s">
        <v>65</v>
      </c>
      <c r="F16" s="19">
        <v>1.0</v>
      </c>
      <c r="G16" s="19" t="s">
        <v>57</v>
      </c>
      <c r="H16" s="19" t="s">
        <v>47</v>
      </c>
      <c r="I16" s="19">
        <v>172.0</v>
      </c>
      <c r="J16" s="19">
        <v>69.0</v>
      </c>
      <c r="K16" s="20">
        <v>18.0</v>
      </c>
      <c r="L16" s="20">
        <f>SUMIFS('3월 단양 개인별 STAT'!L:L, '3월 단양 개인별 STAT'!$D:$D, $D16, '3월 단양 개인별 STAT'!$E:$E, $E16) + SUMIFS('4월 삼척 개인별 STAT'!L:L, '4월 삼척 개인별 STAT'!$D:$D, $D16, '4월 삼척 개인별 STAT'!$E:$E, $E16)</f>
        <v>1</v>
      </c>
      <c r="M16" s="20">
        <f>SUMIFS('3월 단양 개인별 STAT'!M:M, '3월 단양 개인별 STAT'!$D:$D, $D16, '3월 단양 개인별 STAT'!$E:$E, $E16) + SUMIFS('4월 삼척 개인별 STAT'!M:M, '4월 삼척 개인별 STAT'!$D:$D, $D16, '4월 삼척 개인별 STAT'!$E:$E, $E16)</f>
        <v>4</v>
      </c>
      <c r="N16" s="20">
        <f>SUMIFS('3월 단양 개인별 STAT'!N:N, '3월 단양 개인별 STAT'!$D:$D, $D16, '3월 단양 개인별 STAT'!$E:$E, $E16) + SUMIFS('4월 삼척 개인별 STAT'!N:N, '4월 삼척 개인별 STAT'!$D:$D, $D16, '4월 삼척 개인별 STAT'!$E:$E, $E16)</f>
        <v>0</v>
      </c>
      <c r="O16" s="20">
        <f>SUMIFS('3월 단양 개인별 STAT'!O:O, '3월 단양 개인별 STAT'!$D:$D, $D16, '3월 단양 개인별 STAT'!$E:$E, $E16) + SUMIFS('4월 삼척 개인별 STAT'!O:O, '4월 삼척 개인별 STAT'!$D:$D, $D16, '4월 삼척 개인별 STAT'!$E:$E, $E16)</f>
        <v>2</v>
      </c>
      <c r="P16" s="20">
        <f>SUMIFS('3월 단양 개인별 STAT'!P:P, '3월 단양 개인별 STAT'!$D:$D, $D16, '3월 단양 개인별 STAT'!$E:$E, $E16) + SUMIFS('4월 삼척 개인별 STAT'!P:P, '4월 삼척 개인별 STAT'!$D:$D, $D16, '4월 삼척 개인별 STAT'!$E:$E, $E16)</f>
        <v>4</v>
      </c>
      <c r="Q16" s="20">
        <f>SUMIFS('3월 단양 개인별 STAT'!Q:Q, '3월 단양 개인별 STAT'!$D:$D, $D16, '3월 단양 개인별 STAT'!$E:$E, $E16) + SUMIFS('4월 삼척 개인별 STAT'!Q:Q, '4월 삼척 개인별 STAT'!$D:$D, $D16, '4월 삼척 개인별 STAT'!$E:$E, $E16)</f>
        <v>2</v>
      </c>
      <c r="R16" s="21">
        <f t="shared" si="3"/>
        <v>6</v>
      </c>
      <c r="S16" s="22">
        <f t="shared" si="4"/>
        <v>-0.33</v>
      </c>
      <c r="T16" s="20">
        <f>SUMIFS('3월 단양 개인별 STAT'!T:T, '3월 단양 개인별 STAT'!$D:$D, $D16, '3월 단양 개인별 STAT'!$E:$E, $E16) + SUMIFS('4월 삼척 개인별 STAT'!T:T, '4월 삼척 개인별 STAT'!$D:$D, $D16, '4월 삼척 개인별 STAT'!$E:$E, $E16)</f>
        <v>0</v>
      </c>
      <c r="U16" s="20">
        <f>SUMIFS('3월 단양 개인별 STAT'!U:U, '3월 단양 개인별 STAT'!$D:$D, $D16, '3월 단양 개인별 STAT'!$E:$E, $E16) + SUMIFS('4월 삼척 개인별 STAT'!U:U, '4월 삼척 개인별 STAT'!$D:$D, $D16, '4월 삼척 개인별 STAT'!$E:$E, $E16)</f>
        <v>0</v>
      </c>
      <c r="V16" s="20">
        <f>SUMIFS('3월 단양 개인별 STAT'!V:V, '3월 단양 개인별 STAT'!$D:$D, $D16, '3월 단양 개인별 STAT'!$E:$E, $E16) + SUMIFS('4월 삼척 개인별 STAT'!V:V, '4월 삼척 개인별 STAT'!$D:$D, $D16, '4월 삼척 개인별 STAT'!$E:$E, $E16)</f>
        <v>0</v>
      </c>
      <c r="W16" s="20">
        <f>SUMIFS('3월 단양 개인별 STAT'!W:W, '3월 단양 개인별 STAT'!$D:$D, $D16, '3월 단양 개인별 STAT'!$E:$E, $E16) + SUMIFS('4월 삼척 개인별 STAT'!W:W, '4월 삼척 개인별 STAT'!$D:$D, $D16, '4월 삼척 개인별 STAT'!$E:$E, $E16)</f>
        <v>6</v>
      </c>
      <c r="X16" s="20">
        <f>SUMIFS('3월 단양 개인별 STAT'!X:X, '3월 단양 개인별 STAT'!$D:$D, $D16, '3월 단양 개인별 STAT'!$E:$E, $E16) + SUMIFS('4월 삼척 개인별 STAT'!X:X, '4월 삼척 개인별 STAT'!$D:$D, $D16, '4월 삼척 개인별 STAT'!$E:$E, $E16)</f>
        <v>0</v>
      </c>
      <c r="Y16" s="20">
        <f>SUMIFS('3월 단양 개인별 STAT'!Y:Y, '3월 단양 개인별 STAT'!$D:$D, $D16, '3월 단양 개인별 STAT'!$E:$E, $E16) + SUMIFS('4월 삼척 개인별 STAT'!Y:Y, '4월 삼척 개인별 STAT'!$D:$D, $D16, '4월 삼척 개인별 STAT'!$E:$E, $E16)</f>
        <v>2</v>
      </c>
      <c r="Z16" s="21">
        <f t="shared" si="5"/>
        <v>8</v>
      </c>
      <c r="AA16" s="20">
        <f>SUMIFS('3월 단양 개인별 STAT'!AA:AA, '3월 단양 개인별 STAT'!$D:$D, $D16, '3월 단양 개인별 STAT'!$E:$E, $E16) + SUMIFS('4월 삼척 개인별 STAT'!AA:AA, '4월 삼척 개인별 STAT'!$D:$D, $D16, '4월 삼척 개인별 STAT'!$E:$E, $E16)</f>
        <v>0</v>
      </c>
      <c r="AB16" s="30" t="str">
        <f t="shared" si="6"/>
        <v>-</v>
      </c>
      <c r="AC16" s="23">
        <f t="shared" si="7"/>
        <v>0</v>
      </c>
      <c r="AD16" s="30" t="str">
        <f t="shared" si="8"/>
        <v>-</v>
      </c>
      <c r="AE16" s="20">
        <f>SUMIFS('3월 단양 개인별 STAT'!AE:AE, '3월 단양 개인별 STAT'!$D:$D, $D16, '3월 단양 개인별 STAT'!$E:$E, $E16) + SUMIFS('4월 삼척 개인별 STAT'!AE:AE, '4월 삼척 개인별 STAT'!$D:$D, $D16, '4월 삼척 개인별 STAT'!$E:$E, $E16)</f>
        <v>0</v>
      </c>
      <c r="AF16" s="20">
        <f>SUMIFS('3월 단양 개인별 STAT'!AF:AF, '3월 단양 개인별 STAT'!$D:$D, $D16, '3월 단양 개인별 STAT'!$E:$E, $E16) + SUMIFS('4월 삼척 개인별 STAT'!AF:AF, '4월 삼척 개인별 STAT'!$D:$D, $D16, '4월 삼척 개인별 STAT'!$E:$E, $E16)</f>
        <v>0</v>
      </c>
      <c r="AG16" s="24" t="str">
        <f t="shared" si="9"/>
        <v>-</v>
      </c>
      <c r="AH16" s="20">
        <f>SUMIFS('3월 단양 개인별 STAT'!AH:AH, '3월 단양 개인별 STAT'!$D:$D, $D16, '3월 단양 개인별 STAT'!$E:$E, $E16) + SUMIFS('4월 삼척 개인별 STAT'!AH:AH, '4월 삼척 개인별 STAT'!$D:$D, $D16, '4월 삼척 개인별 STAT'!$E:$E, $E16)</f>
        <v>6</v>
      </c>
      <c r="AI16" s="22" t="str">
        <f t="shared" si="10"/>
        <v>1.50</v>
      </c>
      <c r="AJ16" s="25"/>
      <c r="AK16" s="26"/>
      <c r="AL16" s="27">
        <f t="shared" si="11"/>
        <v>0</v>
      </c>
      <c r="AM16" s="27">
        <f t="shared" ref="AM16:AM152" si="30">iferror(R16/$M16,"-")</f>
        <v>1.5</v>
      </c>
      <c r="AN16" s="28">
        <f t="shared" si="13"/>
        <v>0</v>
      </c>
      <c r="AO16" s="27">
        <f t="shared" si="14"/>
        <v>0</v>
      </c>
      <c r="AP16" s="27">
        <f t="shared" si="15"/>
        <v>0</v>
      </c>
      <c r="AQ16" s="27" t="str">
        <f t="shared" ref="AQ16:AR16" si="29">iferror(AB16/$M16,"-")</f>
        <v>-</v>
      </c>
      <c r="AR16" s="27">
        <f t="shared" si="29"/>
        <v>0</v>
      </c>
      <c r="AS16" s="29">
        <f t="shared" si="17"/>
        <v>0</v>
      </c>
      <c r="AT16" s="29" t="str">
        <f t="shared" si="18"/>
        <v>1.50</v>
      </c>
      <c r="AU16" s="26"/>
      <c r="AV16" s="26"/>
      <c r="AW16" s="26"/>
      <c r="AX16" s="26"/>
    </row>
    <row r="17">
      <c r="B17" s="17">
        <v>14.0</v>
      </c>
      <c r="C17" s="18">
        <f t="shared" si="2"/>
        <v>14</v>
      </c>
      <c r="D17" s="19" t="s">
        <v>45</v>
      </c>
      <c r="E17" s="19" t="s">
        <v>66</v>
      </c>
      <c r="F17" s="19">
        <v>1.0</v>
      </c>
      <c r="G17" s="19" t="s">
        <v>50</v>
      </c>
      <c r="H17" s="19" t="s">
        <v>48</v>
      </c>
      <c r="I17" s="19">
        <v>162.0</v>
      </c>
      <c r="J17" s="19">
        <v>61.0</v>
      </c>
      <c r="K17" s="20">
        <v>19.0</v>
      </c>
      <c r="L17" s="20">
        <f>SUMIFS('3월 단양 개인별 STAT'!L:L, '3월 단양 개인별 STAT'!$D:$D, $D17, '3월 단양 개인별 STAT'!$E:$E, $E17) + SUMIFS('4월 삼척 개인별 STAT'!L:L, '4월 삼척 개인별 STAT'!$D:$D, $D17, '4월 삼척 개인별 STAT'!$E:$E, $E17)</f>
        <v>1</v>
      </c>
      <c r="M17" s="20">
        <f>SUMIFS('3월 단양 개인별 STAT'!M:M, '3월 단양 개인별 STAT'!$D:$D, $D17, '3월 단양 개인별 STAT'!$E:$E, $E17) + SUMIFS('4월 삼척 개인별 STAT'!M:M, '4월 삼척 개인별 STAT'!$D:$D, $D17, '4월 삼척 개인별 STAT'!$E:$E, $E17)</f>
        <v>1</v>
      </c>
      <c r="N17" s="20">
        <f>SUMIFS('3월 단양 개인별 STAT'!N:N, '3월 단양 개인별 STAT'!$D:$D, $D17, '3월 단양 개인별 STAT'!$E:$E, $E17) + SUMIFS('4월 삼척 개인별 STAT'!N:N, '4월 삼척 개인별 STAT'!$D:$D, $D17, '4월 삼척 개인별 STAT'!$E:$E, $E17)</f>
        <v>0</v>
      </c>
      <c r="O17" s="20">
        <f>SUMIFS('3월 단양 개인별 STAT'!O:O, '3월 단양 개인별 STAT'!$D:$D, $D17, '3월 단양 개인별 STAT'!$E:$E, $E17) + SUMIFS('4월 삼척 개인별 STAT'!O:O, '4월 삼척 개인별 STAT'!$D:$D, $D17, '4월 삼척 개인별 STAT'!$E:$E, $E17)</f>
        <v>1</v>
      </c>
      <c r="P17" s="20">
        <f>SUMIFS('3월 단양 개인별 STAT'!P:P, '3월 단양 개인별 STAT'!$D:$D, $D17, '3월 단양 개인별 STAT'!$E:$E, $E17) + SUMIFS('4월 삼척 개인별 STAT'!P:P, '4월 삼척 개인별 STAT'!$D:$D, $D17, '4월 삼척 개인별 STAT'!$E:$E, $E17)</f>
        <v>0</v>
      </c>
      <c r="Q17" s="20">
        <f>SUMIFS('3월 단양 개인별 STAT'!Q:Q, '3월 단양 개인별 STAT'!$D:$D, $D17, '3월 단양 개인별 STAT'!$E:$E, $E17) + SUMIFS('4월 삼척 개인별 STAT'!Q:Q, '4월 삼척 개인별 STAT'!$D:$D, $D17, '4월 삼척 개인별 STAT'!$E:$E, $E17)</f>
        <v>0</v>
      </c>
      <c r="R17" s="30" t="str">
        <f t="shared" si="3"/>
        <v>-</v>
      </c>
      <c r="S17" s="22" t="str">
        <f t="shared" si="4"/>
        <v>-</v>
      </c>
      <c r="T17" s="20">
        <f>SUMIFS('3월 단양 개인별 STAT'!T:T, '3월 단양 개인별 STAT'!$D:$D, $D17, '3월 단양 개인별 STAT'!$E:$E, $E17) + SUMIFS('4월 삼척 개인별 STAT'!T:T, '4월 삼척 개인별 STAT'!$D:$D, $D17, '4월 삼척 개인별 STAT'!$E:$E, $E17)</f>
        <v>0</v>
      </c>
      <c r="U17" s="20">
        <f>SUMIFS('3월 단양 개인별 STAT'!U:U, '3월 단양 개인별 STAT'!$D:$D, $D17, '3월 단양 개인별 STAT'!$E:$E, $E17) + SUMIFS('4월 삼척 개인별 STAT'!U:U, '4월 삼척 개인별 STAT'!$D:$D, $D17, '4월 삼척 개인별 STAT'!$E:$E, $E17)</f>
        <v>0</v>
      </c>
      <c r="V17" s="20">
        <f>SUMIFS('3월 단양 개인별 STAT'!V:V, '3월 단양 개인별 STAT'!$D:$D, $D17, '3월 단양 개인별 STAT'!$E:$E, $E17) + SUMIFS('4월 삼척 개인별 STAT'!V:V, '4월 삼척 개인별 STAT'!$D:$D, $D17, '4월 삼척 개인별 STAT'!$E:$E, $E17)</f>
        <v>0</v>
      </c>
      <c r="W17" s="20">
        <f>SUMIFS('3월 단양 개인별 STAT'!W:W, '3월 단양 개인별 STAT'!$D:$D, $D17, '3월 단양 개인별 STAT'!$E:$E, $E17) + SUMIFS('4월 삼척 개인별 STAT'!W:W, '4월 삼척 개인별 STAT'!$D:$D, $D17, '4월 삼척 개인별 STAT'!$E:$E, $E17)</f>
        <v>0</v>
      </c>
      <c r="X17" s="20">
        <f>SUMIFS('3월 단양 개인별 STAT'!X:X, '3월 단양 개인별 STAT'!$D:$D, $D17, '3월 단양 개인별 STAT'!$E:$E, $E17) + SUMIFS('4월 삼척 개인별 STAT'!X:X, '4월 삼척 개인별 STAT'!$D:$D, $D17, '4월 삼척 개인별 STAT'!$E:$E, $E17)</f>
        <v>0</v>
      </c>
      <c r="Y17" s="20">
        <f>SUMIFS('3월 단양 개인별 STAT'!Y:Y, '3월 단양 개인별 STAT'!$D:$D, $D17, '3월 단양 개인별 STAT'!$E:$E, $E17) + SUMIFS('4월 삼척 개인별 STAT'!Y:Y, '4월 삼척 개인별 STAT'!$D:$D, $D17, '4월 삼척 개인별 STAT'!$E:$E, $E17)</f>
        <v>0</v>
      </c>
      <c r="Z17" s="30" t="str">
        <f t="shared" si="5"/>
        <v>-</v>
      </c>
      <c r="AA17" s="20">
        <f>SUMIFS('3월 단양 개인별 STAT'!AA:AA, '3월 단양 개인별 STAT'!$D:$D, $D17, '3월 단양 개인별 STAT'!$E:$E, $E17) + SUMIFS('4월 삼척 개인별 STAT'!AA:AA, '4월 삼척 개인별 STAT'!$D:$D, $D17, '4월 삼척 개인별 STAT'!$E:$E, $E17)</f>
        <v>0</v>
      </c>
      <c r="AB17" s="30" t="str">
        <f t="shared" si="6"/>
        <v>-</v>
      </c>
      <c r="AC17" s="23">
        <f t="shared" si="7"/>
        <v>0</v>
      </c>
      <c r="AD17" s="21">
        <f t="shared" si="8"/>
        <v>4</v>
      </c>
      <c r="AE17" s="20">
        <f>SUMIFS('3월 단양 개인별 STAT'!AE:AE, '3월 단양 개인별 STAT'!$D:$D, $D17, '3월 단양 개인별 STAT'!$E:$E, $E17) + SUMIFS('4월 삼척 개인별 STAT'!AE:AE, '4월 삼척 개인별 STAT'!$D:$D, $D17, '4월 삼척 개인별 STAT'!$E:$E, $E17)</f>
        <v>3</v>
      </c>
      <c r="AF17" s="20">
        <f>SUMIFS('3월 단양 개인별 STAT'!AF:AF, '3월 단양 개인별 STAT'!$D:$D, $D17, '3월 단양 개인별 STAT'!$E:$E, $E17) + SUMIFS('4월 삼척 개인별 STAT'!AF:AF, '4월 삼척 개인별 STAT'!$D:$D, $D17, '4월 삼척 개인별 STAT'!$E:$E, $E17)</f>
        <v>1</v>
      </c>
      <c r="AG17" s="24">
        <f t="shared" si="9"/>
        <v>75</v>
      </c>
      <c r="AH17" s="20">
        <f>SUMIFS('3월 단양 개인별 STAT'!AH:AH, '3월 단양 개인별 STAT'!$D:$D, $D17, '3월 단양 개인별 STAT'!$E:$E, $E17) + SUMIFS('4월 삼척 개인별 STAT'!AH:AH, '4월 삼척 개인별 STAT'!$D:$D, $D17, '4월 삼척 개인별 STAT'!$E:$E, $E17)</f>
        <v>0</v>
      </c>
      <c r="AI17" s="22" t="str">
        <f t="shared" si="10"/>
        <v>0</v>
      </c>
      <c r="AJ17" s="25"/>
      <c r="AK17" s="26"/>
      <c r="AL17" s="27">
        <f t="shared" si="11"/>
        <v>0</v>
      </c>
      <c r="AM17" s="27" t="str">
        <f t="shared" si="30"/>
        <v>-</v>
      </c>
      <c r="AN17" s="28" t="str">
        <f t="shared" si="13"/>
        <v>-</v>
      </c>
      <c r="AO17" s="27">
        <f t="shared" si="14"/>
        <v>0</v>
      </c>
      <c r="AP17" s="27">
        <f t="shared" si="15"/>
        <v>0</v>
      </c>
      <c r="AQ17" s="27" t="str">
        <f t="shared" ref="AQ17:AR17" si="31">iferror(AB17/$M17,"-")</f>
        <v>-</v>
      </c>
      <c r="AR17" s="27">
        <f t="shared" si="31"/>
        <v>0</v>
      </c>
      <c r="AS17" s="29">
        <f t="shared" si="17"/>
        <v>1</v>
      </c>
      <c r="AT17" s="29" t="str">
        <f t="shared" si="18"/>
        <v>0</v>
      </c>
      <c r="AU17" s="26"/>
      <c r="AV17" s="26"/>
      <c r="AW17" s="26"/>
      <c r="AX17" s="26"/>
    </row>
    <row r="18">
      <c r="B18" s="17">
        <v>15.0</v>
      </c>
      <c r="C18" s="18">
        <f t="shared" si="2"/>
        <v>1</v>
      </c>
      <c r="D18" s="19" t="s">
        <v>67</v>
      </c>
      <c r="E18" s="19" t="s">
        <v>68</v>
      </c>
      <c r="F18" s="19">
        <v>3.0</v>
      </c>
      <c r="G18" s="19" t="s">
        <v>52</v>
      </c>
      <c r="H18" s="19" t="s">
        <v>48</v>
      </c>
      <c r="I18" s="19">
        <v>181.0</v>
      </c>
      <c r="J18" s="19">
        <v>67.0</v>
      </c>
      <c r="K18" s="20">
        <v>1.0</v>
      </c>
      <c r="L18" s="20">
        <f>SUMIFS('3월 단양 개인별 STAT'!L:L, '3월 단양 개인별 STAT'!$D:$D, $D18, '3월 단양 개인별 STAT'!$E:$E, $E18) + SUMIFS('4월 삼척 개인별 STAT'!L:L, '4월 삼척 개인별 STAT'!$D:$D, $D18, '4월 삼척 개인별 STAT'!$E:$E, $E18)</f>
        <v>3</v>
      </c>
      <c r="M18" s="20">
        <f>SUMIFS('3월 단양 개인별 STAT'!M:M, '3월 단양 개인별 STAT'!$D:$D, $D18, '3월 단양 개인별 STAT'!$E:$E, $E18) + SUMIFS('4월 삼척 개인별 STAT'!M:M, '4월 삼척 개인별 STAT'!$D:$D, $D18, '4월 삼척 개인별 STAT'!$E:$E, $E18)</f>
        <v>11</v>
      </c>
      <c r="N18" s="20">
        <f>SUMIFS('3월 단양 개인별 STAT'!N:N, '3월 단양 개인별 STAT'!$D:$D, $D18, '3월 단양 개인별 STAT'!$E:$E, $E18) + SUMIFS('4월 삼척 개인별 STAT'!N:N, '4월 삼척 개인별 STAT'!$D:$D, $D18, '4월 삼척 개인별 STAT'!$E:$E, $E18)</f>
        <v>29</v>
      </c>
      <c r="O18" s="20">
        <f>SUMIFS('3월 단양 개인별 STAT'!O:O, '3월 단양 개인별 STAT'!$D:$D, $D18, '3월 단양 개인별 STAT'!$E:$E, $E18) + SUMIFS('4월 삼척 개인별 STAT'!O:O, '4월 삼척 개인별 STAT'!$D:$D, $D18, '4월 삼척 개인별 STAT'!$E:$E, $E18)</f>
        <v>1</v>
      </c>
      <c r="P18" s="20">
        <f>SUMIFS('3월 단양 개인별 STAT'!P:P, '3월 단양 개인별 STAT'!$D:$D, $D18, '3월 단양 개인별 STAT'!$E:$E, $E18) + SUMIFS('4월 삼척 개인별 STAT'!P:P, '4월 삼척 개인별 STAT'!$D:$D, $D18, '4월 삼척 개인별 STAT'!$E:$E, $E18)</f>
        <v>19</v>
      </c>
      <c r="Q18" s="20">
        <f>SUMIFS('3월 단양 개인별 STAT'!Q:Q, '3월 단양 개인별 STAT'!$D:$D, $D18, '3월 단양 개인별 STAT'!$E:$E, $E18) + SUMIFS('4월 삼척 개인별 STAT'!Q:Q, '4월 삼척 개인별 STAT'!$D:$D, $D18, '4월 삼척 개인별 STAT'!$E:$E, $E18)</f>
        <v>9</v>
      </c>
      <c r="R18" s="21">
        <f t="shared" si="3"/>
        <v>57</v>
      </c>
      <c r="S18" s="22">
        <f t="shared" si="4"/>
        <v>0.35</v>
      </c>
      <c r="T18" s="20">
        <f>SUMIFS('3월 단양 개인별 STAT'!T:T, '3월 단양 개인별 STAT'!$D:$D, $D18, '3월 단양 개인별 STAT'!$E:$E, $E18) + SUMIFS('4월 삼척 개인별 STAT'!T:T, '4월 삼척 개인별 STAT'!$D:$D, $D18, '4월 삼척 개인별 STAT'!$E:$E, $E18)</f>
        <v>3</v>
      </c>
      <c r="U18" s="20">
        <f>SUMIFS('3월 단양 개인별 STAT'!U:U, '3월 단양 개인별 STAT'!$D:$D, $D18, '3월 단양 개인별 STAT'!$E:$E, $E18) + SUMIFS('4월 삼척 개인별 STAT'!U:U, '4월 삼척 개인별 STAT'!$D:$D, $D18, '4월 삼척 개인별 STAT'!$E:$E, $E18)</f>
        <v>0</v>
      </c>
      <c r="V18" s="20">
        <f>SUMIFS('3월 단양 개인별 STAT'!V:V, '3월 단양 개인별 STAT'!$D:$D, $D18, '3월 단양 개인별 STAT'!$E:$E, $E18) + SUMIFS('4월 삼척 개인별 STAT'!V:V, '4월 삼척 개인별 STAT'!$D:$D, $D18, '4월 삼척 개인별 STAT'!$E:$E, $E18)</f>
        <v>0</v>
      </c>
      <c r="W18" s="20">
        <f>SUMIFS('3월 단양 개인별 STAT'!W:W, '3월 단양 개인별 STAT'!$D:$D, $D18, '3월 단양 개인별 STAT'!$E:$E, $E18) + SUMIFS('4월 삼척 개인별 STAT'!W:W, '4월 삼척 개인별 STAT'!$D:$D, $D18, '4월 삼척 개인별 STAT'!$E:$E, $E18)</f>
        <v>19</v>
      </c>
      <c r="X18" s="20">
        <f>SUMIFS('3월 단양 개인별 STAT'!X:X, '3월 단양 개인별 STAT'!$D:$D, $D18, '3월 단양 개인별 STAT'!$E:$E, $E18) + SUMIFS('4월 삼척 개인별 STAT'!X:X, '4월 삼척 개인별 STAT'!$D:$D, $D18, '4월 삼척 개인별 STAT'!$E:$E, $E18)</f>
        <v>1</v>
      </c>
      <c r="Y18" s="20">
        <f>SUMIFS('3월 단양 개인별 STAT'!Y:Y, '3월 단양 개인별 STAT'!$D:$D, $D18, '3월 단양 개인별 STAT'!$E:$E, $E18) + SUMIFS('4월 삼척 개인별 STAT'!Y:Y, '4월 삼척 개인별 STAT'!$D:$D, $D18, '4월 삼척 개인별 STAT'!$E:$E, $E18)</f>
        <v>1</v>
      </c>
      <c r="Z18" s="21">
        <f t="shared" si="5"/>
        <v>21</v>
      </c>
      <c r="AA18" s="20">
        <f>SUMIFS('3월 단양 개인별 STAT'!AA:AA, '3월 단양 개인별 STAT'!$D:$D, $D18, '3월 단양 개인별 STAT'!$E:$E, $E18) + SUMIFS('4월 삼척 개인별 STAT'!AA:AA, '4월 삼척 개인별 STAT'!$D:$D, $D18, '4월 삼척 개인별 STAT'!$E:$E, $E18)</f>
        <v>1</v>
      </c>
      <c r="AB18" s="21">
        <f t="shared" si="6"/>
        <v>33</v>
      </c>
      <c r="AC18" s="23">
        <f t="shared" si="7"/>
        <v>33</v>
      </c>
      <c r="AD18" s="21">
        <f t="shared" si="8"/>
        <v>5</v>
      </c>
      <c r="AE18" s="20">
        <f>SUMIFS('3월 단양 개인별 STAT'!AE:AE, '3월 단양 개인별 STAT'!$D:$D, $D18, '3월 단양 개인별 STAT'!$E:$E, $E18) + SUMIFS('4월 삼척 개인별 STAT'!AE:AE, '4월 삼척 개인별 STAT'!$D:$D, $D18, '4월 삼척 개인별 STAT'!$E:$E, $E18)</f>
        <v>3</v>
      </c>
      <c r="AF18" s="20">
        <f>SUMIFS('3월 단양 개인별 STAT'!AF:AF, '3월 단양 개인별 STAT'!$D:$D, $D18, '3월 단양 개인별 STAT'!$E:$E, $E18) + SUMIFS('4월 삼척 개인별 STAT'!AF:AF, '4월 삼척 개인별 STAT'!$D:$D, $D18, '4월 삼척 개인별 STAT'!$E:$E, $E18)</f>
        <v>2</v>
      </c>
      <c r="AG18" s="24">
        <f t="shared" si="9"/>
        <v>60</v>
      </c>
      <c r="AH18" s="20">
        <f>SUMIFS('3월 단양 개인별 STAT'!AH:AH, '3월 단양 개인별 STAT'!$D:$D, $D18, '3월 단양 개인별 STAT'!$E:$E, $E18) + SUMIFS('4월 삼척 개인별 STAT'!AH:AH, '4월 삼척 개인별 STAT'!$D:$D, $D18, '4월 삼척 개인별 STAT'!$E:$E, $E18)</f>
        <v>16</v>
      </c>
      <c r="AI18" s="22" t="str">
        <f t="shared" si="10"/>
        <v>1.45</v>
      </c>
      <c r="AJ18" s="25"/>
      <c r="AK18" s="26"/>
      <c r="AL18" s="27">
        <f t="shared" si="11"/>
        <v>2.636363636</v>
      </c>
      <c r="AM18" s="27">
        <f t="shared" si="30"/>
        <v>5.181818182</v>
      </c>
      <c r="AN18" s="28">
        <f t="shared" si="13"/>
        <v>0.5087719298</v>
      </c>
      <c r="AO18" s="27">
        <f t="shared" si="14"/>
        <v>0.2727272727</v>
      </c>
      <c r="AP18" s="27">
        <f t="shared" si="15"/>
        <v>0.09090909091</v>
      </c>
      <c r="AQ18" s="27">
        <f t="shared" ref="AQ18:AR18" si="32">iferror(AB18/$M18,"-")</f>
        <v>3</v>
      </c>
      <c r="AR18" s="27">
        <f t="shared" si="32"/>
        <v>3</v>
      </c>
      <c r="AS18" s="29">
        <f t="shared" si="17"/>
        <v>0.1818181818</v>
      </c>
      <c r="AT18" s="29" t="str">
        <f t="shared" si="18"/>
        <v>1.45</v>
      </c>
      <c r="AU18" s="26"/>
      <c r="AV18" s="26"/>
      <c r="AW18" s="26"/>
      <c r="AX18" s="26"/>
    </row>
    <row r="19">
      <c r="B19" s="17">
        <v>16.0</v>
      </c>
      <c r="C19" s="18">
        <f t="shared" si="2"/>
        <v>2</v>
      </c>
      <c r="D19" s="19" t="s">
        <v>67</v>
      </c>
      <c r="E19" s="19" t="s">
        <v>69</v>
      </c>
      <c r="F19" s="19">
        <v>3.0</v>
      </c>
      <c r="G19" s="19" t="s">
        <v>50</v>
      </c>
      <c r="H19" s="19" t="s">
        <v>48</v>
      </c>
      <c r="I19" s="19">
        <v>169.0</v>
      </c>
      <c r="J19" s="19">
        <v>61.0</v>
      </c>
      <c r="K19" s="20">
        <v>2.0</v>
      </c>
      <c r="L19" s="20">
        <f>SUMIFS('3월 단양 개인별 STAT'!L:L, '3월 단양 개인별 STAT'!$D:$D, $D19, '3월 단양 개인별 STAT'!$E:$E, $E19) + SUMIFS('4월 삼척 개인별 STAT'!L:L, '4월 삼척 개인별 STAT'!$D:$D, $D19, '4월 삼척 개인별 STAT'!$E:$E, $E19)</f>
        <v>2</v>
      </c>
      <c r="M19" s="20">
        <f>SUMIFS('3월 단양 개인별 STAT'!M:M, '3월 단양 개인별 STAT'!$D:$D, $D19, '3월 단양 개인별 STAT'!$E:$E, $E19) + SUMIFS('4월 삼척 개인별 STAT'!M:M, '4월 삼척 개인별 STAT'!$D:$D, $D19, '4월 삼척 개인별 STAT'!$E:$E, $E19)</f>
        <v>6</v>
      </c>
      <c r="N19" s="20">
        <f>SUMIFS('3월 단양 개인별 STAT'!N:N, '3월 단양 개인별 STAT'!$D:$D, $D19, '3월 단양 개인별 STAT'!$E:$E, $E19) + SUMIFS('4월 삼척 개인별 STAT'!N:N, '4월 삼척 개인별 STAT'!$D:$D, $D19, '4월 삼척 개인별 STAT'!$E:$E, $E19)</f>
        <v>0</v>
      </c>
      <c r="O19" s="20">
        <f>SUMIFS('3월 단양 개인별 STAT'!O:O, '3월 단양 개인별 STAT'!$D:$D, $D19, '3월 단양 개인별 STAT'!$E:$E, $E19) + SUMIFS('4월 삼척 개인별 STAT'!O:O, '4월 삼척 개인별 STAT'!$D:$D, $D19, '4월 삼척 개인별 STAT'!$E:$E, $E19)</f>
        <v>6</v>
      </c>
      <c r="P19" s="20">
        <f>SUMIFS('3월 단양 개인별 STAT'!P:P, '3월 단양 개인별 STAT'!$D:$D, $D19, '3월 단양 개인별 STAT'!$E:$E, $E19) + SUMIFS('4월 삼척 개인별 STAT'!P:P, '4월 삼척 개인별 STAT'!$D:$D, $D19, '4월 삼척 개인별 STAT'!$E:$E, $E19)</f>
        <v>0</v>
      </c>
      <c r="Q19" s="20">
        <f>SUMIFS('3월 단양 개인별 STAT'!Q:Q, '3월 단양 개인별 STAT'!$D:$D, $D19, '3월 단양 개인별 STAT'!$E:$E, $E19) + SUMIFS('4월 삼척 개인별 STAT'!Q:Q, '4월 삼척 개인별 STAT'!$D:$D, $D19, '4월 삼척 개인별 STAT'!$E:$E, $E19)</f>
        <v>0</v>
      </c>
      <c r="R19" s="30" t="str">
        <f t="shared" si="3"/>
        <v>-</v>
      </c>
      <c r="S19" s="22" t="str">
        <f t="shared" si="4"/>
        <v>-</v>
      </c>
      <c r="T19" s="20">
        <f>SUMIFS('3월 단양 개인별 STAT'!T:T, '3월 단양 개인별 STAT'!$D:$D, $D19, '3월 단양 개인별 STAT'!$E:$E, $E19) + SUMIFS('4월 삼척 개인별 STAT'!T:T, '4월 삼척 개인별 STAT'!$D:$D, $D19, '4월 삼척 개인별 STAT'!$E:$E, $E19)</f>
        <v>0</v>
      </c>
      <c r="U19" s="20">
        <f>SUMIFS('3월 단양 개인별 STAT'!U:U, '3월 단양 개인별 STAT'!$D:$D, $D19, '3월 단양 개인별 STAT'!$E:$E, $E19) + SUMIFS('4월 삼척 개인별 STAT'!U:U, '4월 삼척 개인별 STAT'!$D:$D, $D19, '4월 삼척 개인별 STAT'!$E:$E, $E19)</f>
        <v>0</v>
      </c>
      <c r="V19" s="20">
        <f>SUMIFS('3월 단양 개인별 STAT'!V:V, '3월 단양 개인별 STAT'!$D:$D, $D19, '3월 단양 개인별 STAT'!$E:$E, $E19) + SUMIFS('4월 삼척 개인별 STAT'!V:V, '4월 삼척 개인별 STAT'!$D:$D, $D19, '4월 삼척 개인별 STAT'!$E:$E, $E19)</f>
        <v>0</v>
      </c>
      <c r="W19" s="20">
        <f>SUMIFS('3월 단양 개인별 STAT'!W:W, '3월 단양 개인별 STAT'!$D:$D, $D19, '3월 단양 개인별 STAT'!$E:$E, $E19) + SUMIFS('4월 삼척 개인별 STAT'!W:W, '4월 삼척 개인별 STAT'!$D:$D, $D19, '4월 삼척 개인별 STAT'!$E:$E, $E19)</f>
        <v>0</v>
      </c>
      <c r="X19" s="20">
        <f>SUMIFS('3월 단양 개인별 STAT'!X:X, '3월 단양 개인별 STAT'!$D:$D, $D19, '3월 단양 개인별 STAT'!$E:$E, $E19) + SUMIFS('4월 삼척 개인별 STAT'!X:X, '4월 삼척 개인별 STAT'!$D:$D, $D19, '4월 삼척 개인별 STAT'!$E:$E, $E19)</f>
        <v>0</v>
      </c>
      <c r="Y19" s="20">
        <f>SUMIFS('3월 단양 개인별 STAT'!Y:Y, '3월 단양 개인별 STAT'!$D:$D, $D19, '3월 단양 개인별 STAT'!$E:$E, $E19) + SUMIFS('4월 삼척 개인별 STAT'!Y:Y, '4월 삼척 개인별 STAT'!$D:$D, $D19, '4월 삼척 개인별 STAT'!$E:$E, $E19)</f>
        <v>0</v>
      </c>
      <c r="Z19" s="30" t="str">
        <f t="shared" si="5"/>
        <v>-</v>
      </c>
      <c r="AA19" s="20">
        <f>SUMIFS('3월 단양 개인별 STAT'!AA:AA, '3월 단양 개인별 STAT'!$D:$D, $D19, '3월 단양 개인별 STAT'!$E:$E, $E19) + SUMIFS('4월 삼척 개인별 STAT'!AA:AA, '4월 삼척 개인별 STAT'!$D:$D, $D19, '4월 삼척 개인별 STAT'!$E:$E, $E19)</f>
        <v>0</v>
      </c>
      <c r="AB19" s="30" t="str">
        <f t="shared" si="6"/>
        <v>-</v>
      </c>
      <c r="AC19" s="23">
        <f t="shared" si="7"/>
        <v>0</v>
      </c>
      <c r="AD19" s="21">
        <f t="shared" si="8"/>
        <v>26</v>
      </c>
      <c r="AE19" s="20">
        <f>SUMIFS('3월 단양 개인별 STAT'!AE:AE, '3월 단양 개인별 STAT'!$D:$D, $D19, '3월 단양 개인별 STAT'!$E:$E, $E19) + SUMIFS('4월 삼척 개인별 STAT'!AE:AE, '4월 삼척 개인별 STAT'!$D:$D, $D19, '4월 삼척 개인별 STAT'!$E:$E, $E19)</f>
        <v>26</v>
      </c>
      <c r="AF19" s="20">
        <f>SUMIFS('3월 단양 개인별 STAT'!AF:AF, '3월 단양 개인별 STAT'!$D:$D, $D19, '3월 단양 개인별 STAT'!$E:$E, $E19) + SUMIFS('4월 삼척 개인별 STAT'!AF:AF, '4월 삼척 개인별 STAT'!$D:$D, $D19, '4월 삼척 개인별 STAT'!$E:$E, $E19)</f>
        <v>0</v>
      </c>
      <c r="AG19" s="24">
        <f t="shared" si="9"/>
        <v>100</v>
      </c>
      <c r="AH19" s="20">
        <f>SUMIFS('3월 단양 개인별 STAT'!AH:AH, '3월 단양 개인별 STAT'!$D:$D, $D19, '3월 단양 개인별 STAT'!$E:$E, $E19) + SUMIFS('4월 삼척 개인별 STAT'!AH:AH, '4월 삼척 개인별 STAT'!$D:$D, $D19, '4월 삼척 개인별 STAT'!$E:$E, $E19)</f>
        <v>10</v>
      </c>
      <c r="AI19" s="22" t="str">
        <f t="shared" si="10"/>
        <v>1.67</v>
      </c>
      <c r="AJ19" s="25"/>
      <c r="AK19" s="26"/>
      <c r="AL19" s="27">
        <f t="shared" si="11"/>
        <v>0</v>
      </c>
      <c r="AM19" s="27" t="str">
        <f t="shared" si="30"/>
        <v>-</v>
      </c>
      <c r="AN19" s="28" t="str">
        <f t="shared" si="13"/>
        <v>-</v>
      </c>
      <c r="AO19" s="27">
        <f t="shared" si="14"/>
        <v>0</v>
      </c>
      <c r="AP19" s="27">
        <f t="shared" si="15"/>
        <v>0</v>
      </c>
      <c r="AQ19" s="27" t="str">
        <f t="shared" ref="AQ19:AR19" si="33">iferror(AB19/$M19,"-")</f>
        <v>-</v>
      </c>
      <c r="AR19" s="27">
        <f t="shared" si="33"/>
        <v>0</v>
      </c>
      <c r="AS19" s="29">
        <f t="shared" si="17"/>
        <v>0</v>
      </c>
      <c r="AT19" s="29" t="str">
        <f t="shared" si="18"/>
        <v>1.67</v>
      </c>
      <c r="AU19" s="26"/>
      <c r="AV19" s="26"/>
      <c r="AW19" s="26"/>
      <c r="AX19" s="26"/>
    </row>
    <row r="20">
      <c r="B20" s="17">
        <v>17.0</v>
      </c>
      <c r="C20" s="18">
        <f t="shared" si="2"/>
        <v>3</v>
      </c>
      <c r="D20" s="19" t="s">
        <v>67</v>
      </c>
      <c r="E20" s="19" t="s">
        <v>70</v>
      </c>
      <c r="F20" s="19">
        <v>2.0</v>
      </c>
      <c r="G20" s="19" t="s">
        <v>54</v>
      </c>
      <c r="H20" s="19" t="s">
        <v>48</v>
      </c>
      <c r="I20" s="19">
        <v>170.0</v>
      </c>
      <c r="J20" s="19">
        <v>59.0</v>
      </c>
      <c r="K20" s="20">
        <v>3.0</v>
      </c>
      <c r="L20" s="20">
        <f>SUMIFS('3월 단양 개인별 STAT'!L:L, '3월 단양 개인별 STAT'!$D:$D, $D20, '3월 단양 개인별 STAT'!$E:$E, $E20) + SUMIFS('4월 삼척 개인별 STAT'!L:L, '4월 삼척 개인별 STAT'!$D:$D, $D20, '4월 삼척 개인별 STAT'!$E:$E, $E20)</f>
        <v>3</v>
      </c>
      <c r="M20" s="20">
        <f>SUMIFS('3월 단양 개인별 STAT'!M:M, '3월 단양 개인별 STAT'!$D:$D, $D20, '3월 단양 개인별 STAT'!$E:$E, $E20) + SUMIFS('4월 삼척 개인별 STAT'!M:M, '4월 삼척 개인별 STAT'!$D:$D, $D20, '4월 삼척 개인별 STAT'!$E:$E, $E20)</f>
        <v>6</v>
      </c>
      <c r="N20" s="20">
        <f>SUMIFS('3월 단양 개인별 STAT'!N:N, '3월 단양 개인별 STAT'!$D:$D, $D20, '3월 단양 개인별 STAT'!$E:$E, $E20) + SUMIFS('4월 삼척 개인별 STAT'!N:N, '4월 삼척 개인별 STAT'!$D:$D, $D20, '4월 삼척 개인별 STAT'!$E:$E, $E20)</f>
        <v>1</v>
      </c>
      <c r="O20" s="20">
        <f>SUMIFS('3월 단양 개인별 STAT'!O:O, '3월 단양 개인별 STAT'!$D:$D, $D20, '3월 단양 개인별 STAT'!$E:$E, $E20) + SUMIFS('4월 삼척 개인별 STAT'!O:O, '4월 삼척 개인별 STAT'!$D:$D, $D20, '4월 삼척 개인별 STAT'!$E:$E, $E20)</f>
        <v>17</v>
      </c>
      <c r="P20" s="20">
        <f>SUMIFS('3월 단양 개인별 STAT'!P:P, '3월 단양 개인별 STAT'!$D:$D, $D20, '3월 단양 개인별 STAT'!$E:$E, $E20) + SUMIFS('4월 삼척 개인별 STAT'!P:P, '4월 삼척 개인별 STAT'!$D:$D, $D20, '4월 삼척 개인별 STAT'!$E:$E, $E20)</f>
        <v>2</v>
      </c>
      <c r="Q20" s="20">
        <f>SUMIFS('3월 단양 개인별 STAT'!Q:Q, '3월 단양 개인별 STAT'!$D:$D, $D20, '3월 단양 개인별 STAT'!$E:$E, $E20) + SUMIFS('4월 삼척 개인별 STAT'!Q:Q, '4월 삼척 개인별 STAT'!$D:$D, $D20, '4월 삼척 개인별 STAT'!$E:$E, $E20)</f>
        <v>0</v>
      </c>
      <c r="R20" s="21">
        <f t="shared" si="3"/>
        <v>3</v>
      </c>
      <c r="S20" s="22">
        <f t="shared" si="4"/>
        <v>0.33</v>
      </c>
      <c r="T20" s="20">
        <f>SUMIFS('3월 단양 개인별 STAT'!T:T, '3월 단양 개인별 STAT'!$D:$D, $D20, '3월 단양 개인별 STAT'!$E:$E, $E20) + SUMIFS('4월 삼척 개인별 STAT'!T:T, '4월 삼척 개인별 STAT'!$D:$D, $D20, '4월 삼척 개인별 STAT'!$E:$E, $E20)</f>
        <v>1</v>
      </c>
      <c r="U20" s="20">
        <f>SUMIFS('3월 단양 개인별 STAT'!U:U, '3월 단양 개인별 STAT'!$D:$D, $D20, '3월 단양 개인별 STAT'!$E:$E, $E20) + SUMIFS('4월 삼척 개인별 STAT'!U:U, '4월 삼척 개인별 STAT'!$D:$D, $D20, '4월 삼척 개인별 STAT'!$E:$E, $E20)</f>
        <v>0</v>
      </c>
      <c r="V20" s="20">
        <f>SUMIFS('3월 단양 개인별 STAT'!V:V, '3월 단양 개인별 STAT'!$D:$D, $D20, '3월 단양 개인별 STAT'!$E:$E, $E20) + SUMIFS('4월 삼척 개인별 STAT'!V:V, '4월 삼척 개인별 STAT'!$D:$D, $D20, '4월 삼척 개인별 STAT'!$E:$E, $E20)</f>
        <v>0</v>
      </c>
      <c r="W20" s="20">
        <f>SUMIFS('3월 단양 개인별 STAT'!W:W, '3월 단양 개인별 STAT'!$D:$D, $D20, '3월 단양 개인별 STAT'!$E:$E, $E20) + SUMIFS('4월 삼척 개인별 STAT'!W:W, '4월 삼척 개인별 STAT'!$D:$D, $D20, '4월 삼척 개인별 STAT'!$E:$E, $E20)</f>
        <v>10</v>
      </c>
      <c r="X20" s="20">
        <f>SUMIFS('3월 단양 개인별 STAT'!X:X, '3월 단양 개인별 STAT'!$D:$D, $D20, '3월 단양 개인별 STAT'!$E:$E, $E20) + SUMIFS('4월 삼척 개인별 STAT'!X:X, '4월 삼척 개인별 STAT'!$D:$D, $D20, '4월 삼척 개인별 STAT'!$E:$E, $E20)</f>
        <v>0</v>
      </c>
      <c r="Y20" s="20">
        <f>SUMIFS('3월 단양 개인별 STAT'!Y:Y, '3월 단양 개인별 STAT'!$D:$D, $D20, '3월 단양 개인별 STAT'!$E:$E, $E20) + SUMIFS('4월 삼척 개인별 STAT'!Y:Y, '4월 삼척 개인별 STAT'!$D:$D, $D20, '4월 삼척 개인별 STAT'!$E:$E, $E20)</f>
        <v>0</v>
      </c>
      <c r="Z20" s="21">
        <f t="shared" si="5"/>
        <v>10</v>
      </c>
      <c r="AA20" s="20">
        <f>SUMIFS('3월 단양 개인별 STAT'!AA:AA, '3월 단양 개인별 STAT'!$D:$D, $D20, '3월 단양 개인별 STAT'!$E:$E, $E20) + SUMIFS('4월 삼척 개인별 STAT'!AA:AA, '4월 삼척 개인별 STAT'!$D:$D, $D20, '4월 삼척 개인별 STAT'!$E:$E, $E20)</f>
        <v>0</v>
      </c>
      <c r="AB20" s="21">
        <f t="shared" si="6"/>
        <v>2</v>
      </c>
      <c r="AC20" s="23">
        <f t="shared" si="7"/>
        <v>2</v>
      </c>
      <c r="AD20" s="30" t="str">
        <f t="shared" si="8"/>
        <v>-</v>
      </c>
      <c r="AE20" s="20">
        <f>SUMIFS('3월 단양 개인별 STAT'!AE:AE, '3월 단양 개인별 STAT'!$D:$D, $D20, '3월 단양 개인별 STAT'!$E:$E, $E20) + SUMIFS('4월 삼척 개인별 STAT'!AE:AE, '4월 삼척 개인별 STAT'!$D:$D, $D20, '4월 삼척 개인별 STAT'!$E:$E, $E20)</f>
        <v>0</v>
      </c>
      <c r="AF20" s="20">
        <f>SUMIFS('3월 단양 개인별 STAT'!AF:AF, '3월 단양 개인별 STAT'!$D:$D, $D20, '3월 단양 개인별 STAT'!$E:$E, $E20) + SUMIFS('4월 삼척 개인별 STAT'!AF:AF, '4월 삼척 개인별 STAT'!$D:$D, $D20, '4월 삼척 개인별 STAT'!$E:$E, $E20)</f>
        <v>0</v>
      </c>
      <c r="AG20" s="24" t="str">
        <f t="shared" si="9"/>
        <v>-</v>
      </c>
      <c r="AH20" s="20">
        <f>SUMIFS('3월 단양 개인별 STAT'!AH:AH, '3월 단양 개인별 STAT'!$D:$D, $D20, '3월 단양 개인별 STAT'!$E:$E, $E20) + SUMIFS('4월 삼척 개인별 STAT'!AH:AH, '4월 삼척 개인별 STAT'!$D:$D, $D20, '4월 삼척 개인별 STAT'!$E:$E, $E20)</f>
        <v>5</v>
      </c>
      <c r="AI20" s="22" t="str">
        <f t="shared" si="10"/>
        <v>0.83</v>
      </c>
      <c r="AJ20" s="25"/>
      <c r="AK20" s="26"/>
      <c r="AL20" s="27">
        <f t="shared" si="11"/>
        <v>0.1666666667</v>
      </c>
      <c r="AM20" s="27">
        <f t="shared" si="30"/>
        <v>0.5</v>
      </c>
      <c r="AN20" s="28">
        <f t="shared" si="13"/>
        <v>0.3333333333</v>
      </c>
      <c r="AO20" s="27">
        <f t="shared" si="14"/>
        <v>0.1666666667</v>
      </c>
      <c r="AP20" s="27">
        <f t="shared" si="15"/>
        <v>0</v>
      </c>
      <c r="AQ20" s="27">
        <f t="shared" ref="AQ20:AR20" si="34">iferror(AB20/$M20,"-")</f>
        <v>0.3333333333</v>
      </c>
      <c r="AR20" s="27">
        <f t="shared" si="34"/>
        <v>0.3333333333</v>
      </c>
      <c r="AS20" s="29">
        <f t="shared" si="17"/>
        <v>0</v>
      </c>
      <c r="AT20" s="29" t="str">
        <f t="shared" si="18"/>
        <v>0.83</v>
      </c>
      <c r="AU20" s="26"/>
      <c r="AV20" s="26"/>
      <c r="AW20" s="26"/>
      <c r="AX20" s="26"/>
    </row>
    <row r="21">
      <c r="B21" s="17">
        <v>18.0</v>
      </c>
      <c r="C21" s="18">
        <f t="shared" si="2"/>
        <v>4</v>
      </c>
      <c r="D21" s="19" t="s">
        <v>67</v>
      </c>
      <c r="E21" s="19" t="s">
        <v>71</v>
      </c>
      <c r="F21" s="19">
        <v>1.0</v>
      </c>
      <c r="G21" s="19" t="s">
        <v>57</v>
      </c>
      <c r="H21" s="19" t="s">
        <v>48</v>
      </c>
      <c r="I21" s="19">
        <v>177.0</v>
      </c>
      <c r="J21" s="19">
        <v>68.0</v>
      </c>
      <c r="K21" s="20">
        <v>4.0</v>
      </c>
      <c r="L21" s="20">
        <f>SUMIFS('3월 단양 개인별 STAT'!L:L, '3월 단양 개인별 STAT'!$D:$D, $D21, '3월 단양 개인별 STAT'!$E:$E, $E21) + SUMIFS('4월 삼척 개인별 STAT'!L:L, '4월 삼척 개인별 STAT'!$D:$D, $D21, '4월 삼척 개인별 STAT'!$E:$E, $E21)</f>
        <v>3</v>
      </c>
      <c r="M21" s="20">
        <f>SUMIFS('3월 단양 개인별 STAT'!M:M, '3월 단양 개인별 STAT'!$D:$D, $D21, '3월 단양 개인별 STAT'!$E:$E, $E21) + SUMIFS('4월 삼척 개인별 STAT'!M:M, '4월 삼척 개인별 STAT'!$D:$D, $D21, '4월 삼척 개인별 STAT'!$E:$E, $E21)</f>
        <v>9</v>
      </c>
      <c r="N21" s="20">
        <f>SUMIFS('3월 단양 개인별 STAT'!N:N, '3월 단양 개인별 STAT'!$D:$D, $D21, '3월 단양 개인별 STAT'!$E:$E, $E21) + SUMIFS('4월 삼척 개인별 STAT'!N:N, '4월 삼척 개인별 STAT'!$D:$D, $D21, '4월 삼척 개인별 STAT'!$E:$E, $E21)</f>
        <v>9</v>
      </c>
      <c r="O21" s="20">
        <f>SUMIFS('3월 단양 개인별 STAT'!O:O, '3월 단양 개인별 STAT'!$D:$D, $D21, '3월 단양 개인별 STAT'!$E:$E, $E21) + SUMIFS('4월 삼척 개인별 STAT'!O:O, '4월 삼척 개인별 STAT'!$D:$D, $D21, '4월 삼척 개인별 STAT'!$E:$E, $E21)</f>
        <v>0</v>
      </c>
      <c r="P21" s="20">
        <f>SUMIFS('3월 단양 개인별 STAT'!P:P, '3월 단양 개인별 STAT'!$D:$D, $D21, '3월 단양 개인별 STAT'!$E:$E, $E21) + SUMIFS('4월 삼척 개인별 STAT'!P:P, '4월 삼척 개인별 STAT'!$D:$D, $D21, '4월 삼척 개인별 STAT'!$E:$E, $E21)</f>
        <v>11</v>
      </c>
      <c r="Q21" s="20">
        <f>SUMIFS('3월 단양 개인별 STAT'!Q:Q, '3월 단양 개인별 STAT'!$D:$D, $D21, '3월 단양 개인별 STAT'!$E:$E, $E21) + SUMIFS('4월 삼척 개인별 STAT'!Q:Q, '4월 삼척 개인별 STAT'!$D:$D, $D21, '4월 삼척 개인별 STAT'!$E:$E, $E21)</f>
        <v>4</v>
      </c>
      <c r="R21" s="21">
        <f t="shared" si="3"/>
        <v>24</v>
      </c>
      <c r="S21" s="22">
        <f t="shared" si="4"/>
        <v>0.21</v>
      </c>
      <c r="T21" s="20">
        <f>SUMIFS('3월 단양 개인별 STAT'!T:T, '3월 단양 개인별 STAT'!$D:$D, $D21, '3월 단양 개인별 STAT'!$E:$E, $E21) + SUMIFS('4월 삼척 개인별 STAT'!T:T, '4월 삼척 개인별 STAT'!$D:$D, $D21, '4월 삼척 개인별 STAT'!$E:$E, $E21)</f>
        <v>2</v>
      </c>
      <c r="U21" s="20">
        <f>SUMIFS('3월 단양 개인별 STAT'!U:U, '3월 단양 개인별 STAT'!$D:$D, $D21, '3월 단양 개인별 STAT'!$E:$E, $E21) + SUMIFS('4월 삼척 개인별 STAT'!U:U, '4월 삼척 개인별 STAT'!$D:$D, $D21, '4월 삼척 개인별 STAT'!$E:$E, $E21)</f>
        <v>0</v>
      </c>
      <c r="V21" s="20">
        <f>SUMIFS('3월 단양 개인별 STAT'!V:V, '3월 단양 개인별 STAT'!$D:$D, $D21, '3월 단양 개인별 STAT'!$E:$E, $E21) + SUMIFS('4월 삼척 개인별 STAT'!V:V, '4월 삼척 개인별 STAT'!$D:$D, $D21, '4월 삼척 개인별 STAT'!$E:$E, $E21)</f>
        <v>4</v>
      </c>
      <c r="W21" s="20">
        <f>SUMIFS('3월 단양 개인별 STAT'!W:W, '3월 단양 개인별 STAT'!$D:$D, $D21, '3월 단양 개인별 STAT'!$E:$E, $E21) + SUMIFS('4월 삼척 개인별 STAT'!W:W, '4월 삼척 개인별 STAT'!$D:$D, $D21, '4월 삼척 개인별 STAT'!$E:$E, $E21)</f>
        <v>10</v>
      </c>
      <c r="X21" s="20">
        <f>SUMIFS('3월 단양 개인별 STAT'!X:X, '3월 단양 개인별 STAT'!$D:$D, $D21, '3월 단양 개인별 STAT'!$E:$E, $E21) + SUMIFS('4월 삼척 개인별 STAT'!X:X, '4월 삼척 개인별 STAT'!$D:$D, $D21, '4월 삼척 개인별 STAT'!$E:$E, $E21)</f>
        <v>1</v>
      </c>
      <c r="Y21" s="20">
        <f>SUMIFS('3월 단양 개인별 STAT'!Y:Y, '3월 단양 개인별 STAT'!$D:$D, $D21, '3월 단양 개인별 STAT'!$E:$E, $E21) + SUMIFS('4월 삼척 개인별 STAT'!Y:Y, '4월 삼척 개인별 STAT'!$D:$D, $D21, '4월 삼척 개인별 STAT'!$E:$E, $E21)</f>
        <v>3</v>
      </c>
      <c r="Z21" s="21">
        <f t="shared" si="5"/>
        <v>14</v>
      </c>
      <c r="AA21" s="20">
        <f>SUMIFS('3월 단양 개인별 STAT'!AA:AA, '3월 단양 개인별 STAT'!$D:$D, $D21, '3월 단양 개인별 STAT'!$E:$E, $E21) + SUMIFS('4월 삼척 개인별 STAT'!AA:AA, '4월 삼척 개인별 STAT'!$D:$D, $D21, '4월 삼척 개인별 STAT'!$E:$E, $E21)</f>
        <v>0</v>
      </c>
      <c r="AB21" s="21">
        <f t="shared" si="6"/>
        <v>12</v>
      </c>
      <c r="AC21" s="23">
        <f t="shared" si="7"/>
        <v>15</v>
      </c>
      <c r="AD21" s="21">
        <f t="shared" si="8"/>
        <v>11</v>
      </c>
      <c r="AE21" s="20">
        <f>SUMIFS('3월 단양 개인별 STAT'!AE:AE, '3월 단양 개인별 STAT'!$D:$D, $D21, '3월 단양 개인별 STAT'!$E:$E, $E21) + SUMIFS('4월 삼척 개인별 STAT'!AE:AE, '4월 삼척 개인별 STAT'!$D:$D, $D21, '4월 삼척 개인별 STAT'!$E:$E, $E21)</f>
        <v>10</v>
      </c>
      <c r="AF21" s="20">
        <f>SUMIFS('3월 단양 개인별 STAT'!AF:AF, '3월 단양 개인별 STAT'!$D:$D, $D21, '3월 단양 개인별 STAT'!$E:$E, $E21) + SUMIFS('4월 삼척 개인별 STAT'!AF:AF, '4월 삼척 개인별 STAT'!$D:$D, $D21, '4월 삼척 개인별 STAT'!$E:$E, $E21)</f>
        <v>1</v>
      </c>
      <c r="AG21" s="24">
        <f t="shared" si="9"/>
        <v>90.90909091</v>
      </c>
      <c r="AH21" s="20">
        <f>SUMIFS('3월 단양 개인별 STAT'!AH:AH, '3월 단양 개인별 STAT'!$D:$D, $D21, '3월 단양 개인별 STAT'!$E:$E, $E21) + SUMIFS('4월 삼척 개인별 STAT'!AH:AH, '4월 삼척 개인별 STAT'!$D:$D, $D21, '4월 삼척 개인별 STAT'!$E:$E, $E21)</f>
        <v>5</v>
      </c>
      <c r="AI21" s="22" t="str">
        <f t="shared" si="10"/>
        <v>0.56</v>
      </c>
      <c r="AJ21" s="25"/>
      <c r="AK21" s="26"/>
      <c r="AL21" s="27">
        <f t="shared" si="11"/>
        <v>1</v>
      </c>
      <c r="AM21" s="27">
        <f t="shared" si="30"/>
        <v>2.666666667</v>
      </c>
      <c r="AN21" s="28">
        <f t="shared" si="13"/>
        <v>0.375</v>
      </c>
      <c r="AO21" s="27">
        <f t="shared" si="14"/>
        <v>0.2222222222</v>
      </c>
      <c r="AP21" s="27">
        <f t="shared" si="15"/>
        <v>0.1111111111</v>
      </c>
      <c r="AQ21" s="27">
        <f t="shared" ref="AQ21:AR21" si="35">iferror(AB21/$M21,"-")</f>
        <v>1.333333333</v>
      </c>
      <c r="AR21" s="27">
        <f t="shared" si="35"/>
        <v>1.666666667</v>
      </c>
      <c r="AS21" s="29">
        <f t="shared" si="17"/>
        <v>0.1111111111</v>
      </c>
      <c r="AT21" s="29" t="str">
        <f t="shared" si="18"/>
        <v>0.56</v>
      </c>
      <c r="AU21" s="26"/>
      <c r="AV21" s="26"/>
      <c r="AW21" s="26"/>
      <c r="AX21" s="26"/>
    </row>
    <row r="22">
      <c r="B22" s="17">
        <v>19.0</v>
      </c>
      <c r="C22" s="18">
        <f t="shared" si="2"/>
        <v>5</v>
      </c>
      <c r="D22" s="19" t="s">
        <v>67</v>
      </c>
      <c r="E22" s="19" t="s">
        <v>72</v>
      </c>
      <c r="F22" s="19">
        <v>1.0</v>
      </c>
      <c r="G22" s="19" t="s">
        <v>47</v>
      </c>
      <c r="H22" s="19" t="s">
        <v>48</v>
      </c>
      <c r="I22" s="19">
        <v>184.0</v>
      </c>
      <c r="J22" s="19">
        <v>75.0</v>
      </c>
      <c r="K22" s="20">
        <v>5.0</v>
      </c>
      <c r="L22" s="20">
        <f>SUMIFS('3월 단양 개인별 STAT'!L:L, '3월 단양 개인별 STAT'!$D:$D, $D22, '3월 단양 개인별 STAT'!$E:$E, $E22) + SUMIFS('4월 삼척 개인별 STAT'!L:L, '4월 삼척 개인별 STAT'!$D:$D, $D22, '4월 삼척 개인별 STAT'!$E:$E, $E22)</f>
        <v>0</v>
      </c>
      <c r="M22" s="20">
        <f>SUMIFS('3월 단양 개인별 STAT'!M:M, '3월 단양 개인별 STAT'!$D:$D, $D22, '3월 단양 개인별 STAT'!$E:$E, $E22) + SUMIFS('4월 삼척 개인별 STAT'!M:M, '4월 삼척 개인별 STAT'!$D:$D, $D22, '4월 삼척 개인별 STAT'!$E:$E, $E22)</f>
        <v>0</v>
      </c>
      <c r="N22" s="20">
        <f>SUMIFS('3월 단양 개인별 STAT'!N:N, '3월 단양 개인별 STAT'!$D:$D, $D22, '3월 단양 개인별 STAT'!$E:$E, $E22) + SUMIFS('4월 삼척 개인별 STAT'!N:N, '4월 삼척 개인별 STAT'!$D:$D, $D22, '4월 삼척 개인별 STAT'!$E:$E, $E22)</f>
        <v>0</v>
      </c>
      <c r="O22" s="20">
        <f>SUMIFS('3월 단양 개인별 STAT'!O:O, '3월 단양 개인별 STAT'!$D:$D, $D22, '3월 단양 개인별 STAT'!$E:$E, $E22) + SUMIFS('4월 삼척 개인별 STAT'!O:O, '4월 삼척 개인별 STAT'!$D:$D, $D22, '4월 삼척 개인별 STAT'!$E:$E, $E22)</f>
        <v>0</v>
      </c>
      <c r="P22" s="20">
        <f>SUMIFS('3월 단양 개인별 STAT'!P:P, '3월 단양 개인별 STAT'!$D:$D, $D22, '3월 단양 개인별 STAT'!$E:$E, $E22) + SUMIFS('4월 삼척 개인별 STAT'!P:P, '4월 삼척 개인별 STAT'!$D:$D, $D22, '4월 삼척 개인별 STAT'!$E:$E, $E22)</f>
        <v>0</v>
      </c>
      <c r="Q22" s="20">
        <f>SUMIFS('3월 단양 개인별 STAT'!Q:Q, '3월 단양 개인별 STAT'!$D:$D, $D22, '3월 단양 개인별 STAT'!$E:$E, $E22) + SUMIFS('4월 삼척 개인별 STAT'!Q:Q, '4월 삼척 개인별 STAT'!$D:$D, $D22, '4월 삼척 개인별 STAT'!$E:$E, $E22)</f>
        <v>0</v>
      </c>
      <c r="R22" s="30" t="str">
        <f t="shared" si="3"/>
        <v>-</v>
      </c>
      <c r="S22" s="22" t="str">
        <f t="shared" si="4"/>
        <v>-</v>
      </c>
      <c r="T22" s="20">
        <f>SUMIFS('3월 단양 개인별 STAT'!T:T, '3월 단양 개인별 STAT'!$D:$D, $D22, '3월 단양 개인별 STAT'!$E:$E, $E22) + SUMIFS('4월 삼척 개인별 STAT'!T:T, '4월 삼척 개인별 STAT'!$D:$D, $D22, '4월 삼척 개인별 STAT'!$E:$E, $E22)</f>
        <v>0</v>
      </c>
      <c r="U22" s="20">
        <f>SUMIFS('3월 단양 개인별 STAT'!U:U, '3월 단양 개인별 STAT'!$D:$D, $D22, '3월 단양 개인별 STAT'!$E:$E, $E22) + SUMIFS('4월 삼척 개인별 STAT'!U:U, '4월 삼척 개인별 STAT'!$D:$D, $D22, '4월 삼척 개인별 STAT'!$E:$E, $E22)</f>
        <v>0</v>
      </c>
      <c r="V22" s="20">
        <f>SUMIFS('3월 단양 개인별 STAT'!V:V, '3월 단양 개인별 STAT'!$D:$D, $D22, '3월 단양 개인별 STAT'!$E:$E, $E22) + SUMIFS('4월 삼척 개인별 STAT'!V:V, '4월 삼척 개인별 STAT'!$D:$D, $D22, '4월 삼척 개인별 STAT'!$E:$E, $E22)</f>
        <v>0</v>
      </c>
      <c r="W22" s="20">
        <f>SUMIFS('3월 단양 개인별 STAT'!W:W, '3월 단양 개인별 STAT'!$D:$D, $D22, '3월 단양 개인별 STAT'!$E:$E, $E22) + SUMIFS('4월 삼척 개인별 STAT'!W:W, '4월 삼척 개인별 STAT'!$D:$D, $D22, '4월 삼척 개인별 STAT'!$E:$E, $E22)</f>
        <v>0</v>
      </c>
      <c r="X22" s="20">
        <f>SUMIFS('3월 단양 개인별 STAT'!X:X, '3월 단양 개인별 STAT'!$D:$D, $D22, '3월 단양 개인별 STAT'!$E:$E, $E22) + SUMIFS('4월 삼척 개인별 STAT'!X:X, '4월 삼척 개인별 STAT'!$D:$D, $D22, '4월 삼척 개인별 STAT'!$E:$E, $E22)</f>
        <v>0</v>
      </c>
      <c r="Y22" s="20">
        <f>SUMIFS('3월 단양 개인별 STAT'!Y:Y, '3월 단양 개인별 STAT'!$D:$D, $D22, '3월 단양 개인별 STAT'!$E:$E, $E22) + SUMIFS('4월 삼척 개인별 STAT'!Y:Y, '4월 삼척 개인별 STAT'!$D:$D, $D22, '4월 삼척 개인별 STAT'!$E:$E, $E22)</f>
        <v>0</v>
      </c>
      <c r="Z22" s="30" t="str">
        <f t="shared" si="5"/>
        <v>-</v>
      </c>
      <c r="AA22" s="20">
        <f>SUMIFS('3월 단양 개인별 STAT'!AA:AA, '3월 단양 개인별 STAT'!$D:$D, $D22, '3월 단양 개인별 STAT'!$E:$E, $E22) + SUMIFS('4월 삼척 개인별 STAT'!AA:AA, '4월 삼척 개인별 STAT'!$D:$D, $D22, '4월 삼척 개인별 STAT'!$E:$E, $E22)</f>
        <v>0</v>
      </c>
      <c r="AB22" s="30" t="str">
        <f t="shared" si="6"/>
        <v>-</v>
      </c>
      <c r="AC22" s="23">
        <f t="shared" si="7"/>
        <v>0</v>
      </c>
      <c r="AD22" s="30" t="str">
        <f t="shared" si="8"/>
        <v>-</v>
      </c>
      <c r="AE22" s="20">
        <f>SUMIFS('3월 단양 개인별 STAT'!AE:AE, '3월 단양 개인별 STAT'!$D:$D, $D22, '3월 단양 개인별 STAT'!$E:$E, $E22) + SUMIFS('4월 삼척 개인별 STAT'!AE:AE, '4월 삼척 개인별 STAT'!$D:$D, $D22, '4월 삼척 개인별 STAT'!$E:$E, $E22)</f>
        <v>0</v>
      </c>
      <c r="AF22" s="20">
        <f>SUMIFS('3월 단양 개인별 STAT'!AF:AF, '3월 단양 개인별 STAT'!$D:$D, $D22, '3월 단양 개인별 STAT'!$E:$E, $E22) + SUMIFS('4월 삼척 개인별 STAT'!AF:AF, '4월 삼척 개인별 STAT'!$D:$D, $D22, '4월 삼척 개인별 STAT'!$E:$E, $E22)</f>
        <v>0</v>
      </c>
      <c r="AG22" s="24" t="str">
        <f t="shared" si="9"/>
        <v>-</v>
      </c>
      <c r="AH22" s="20">
        <f>SUMIFS('3월 단양 개인별 STAT'!AH:AH, '3월 단양 개인별 STAT'!$D:$D, $D22, '3월 단양 개인별 STAT'!$E:$E, $E22) + SUMIFS('4월 삼척 개인별 STAT'!AH:AH, '4월 삼척 개인별 STAT'!$D:$D, $D22, '4월 삼척 개인별 STAT'!$E:$E, $E22)</f>
        <v>0</v>
      </c>
      <c r="AI22" s="22" t="str">
        <f t="shared" si="10"/>
        <v>-</v>
      </c>
      <c r="AJ22" s="25"/>
      <c r="AK22" s="26"/>
      <c r="AL22" s="27" t="str">
        <f t="shared" si="11"/>
        <v>-</v>
      </c>
      <c r="AM22" s="27" t="str">
        <f t="shared" si="30"/>
        <v>-</v>
      </c>
      <c r="AN22" s="28" t="str">
        <f t="shared" si="13"/>
        <v>-</v>
      </c>
      <c r="AO22" s="27" t="str">
        <f t="shared" si="14"/>
        <v>-</v>
      </c>
      <c r="AP22" s="27" t="str">
        <f t="shared" si="15"/>
        <v>-</v>
      </c>
      <c r="AQ22" s="27" t="str">
        <f t="shared" ref="AQ22:AR22" si="36">iferror(AB22/$M22,"-")</f>
        <v>-</v>
      </c>
      <c r="AR22" s="27" t="str">
        <f t="shared" si="36"/>
        <v>-</v>
      </c>
      <c r="AS22" s="29" t="str">
        <f t="shared" si="17"/>
        <v>-</v>
      </c>
      <c r="AT22" s="29" t="str">
        <f t="shared" si="18"/>
        <v>-</v>
      </c>
      <c r="AU22" s="26"/>
      <c r="AV22" s="26"/>
      <c r="AW22" s="26"/>
      <c r="AX22" s="26"/>
    </row>
    <row r="23">
      <c r="B23" s="17">
        <v>20.0</v>
      </c>
      <c r="C23" s="18">
        <f t="shared" si="2"/>
        <v>6</v>
      </c>
      <c r="D23" s="19" t="s">
        <v>67</v>
      </c>
      <c r="E23" s="19" t="s">
        <v>73</v>
      </c>
      <c r="F23" s="19">
        <v>1.0</v>
      </c>
      <c r="G23" s="19" t="s">
        <v>50</v>
      </c>
      <c r="H23" s="19" t="s">
        <v>48</v>
      </c>
      <c r="I23" s="19">
        <v>171.0</v>
      </c>
      <c r="J23" s="19">
        <v>68.0</v>
      </c>
      <c r="K23" s="20">
        <v>6.0</v>
      </c>
      <c r="L23" s="20">
        <f>SUMIFS('3월 단양 개인별 STAT'!L:L, '3월 단양 개인별 STAT'!$D:$D, $D23, '3월 단양 개인별 STAT'!$E:$E, $E23) + SUMIFS('4월 삼척 개인별 STAT'!L:L, '4월 삼척 개인별 STAT'!$D:$D, $D23, '4월 삼척 개인별 STAT'!$E:$E, $E23)</f>
        <v>0</v>
      </c>
      <c r="M23" s="20">
        <f>SUMIFS('3월 단양 개인별 STAT'!M:M, '3월 단양 개인별 STAT'!$D:$D, $D23, '3월 단양 개인별 STAT'!$E:$E, $E23) + SUMIFS('4월 삼척 개인별 STAT'!M:M, '4월 삼척 개인별 STAT'!$D:$D, $D23, '4월 삼척 개인별 STAT'!$E:$E, $E23)</f>
        <v>0</v>
      </c>
      <c r="N23" s="20">
        <f>SUMIFS('3월 단양 개인별 STAT'!N:N, '3월 단양 개인별 STAT'!$D:$D, $D23, '3월 단양 개인별 STAT'!$E:$E, $E23) + SUMIFS('4월 삼척 개인별 STAT'!N:N, '4월 삼척 개인별 STAT'!$D:$D, $D23, '4월 삼척 개인별 STAT'!$E:$E, $E23)</f>
        <v>0</v>
      </c>
      <c r="O23" s="20">
        <f>SUMIFS('3월 단양 개인별 STAT'!O:O, '3월 단양 개인별 STAT'!$D:$D, $D23, '3월 단양 개인별 STAT'!$E:$E, $E23) + SUMIFS('4월 삼척 개인별 STAT'!O:O, '4월 삼척 개인별 STAT'!$D:$D, $D23, '4월 삼척 개인별 STAT'!$E:$E, $E23)</f>
        <v>0</v>
      </c>
      <c r="P23" s="20">
        <f>SUMIFS('3월 단양 개인별 STAT'!P:P, '3월 단양 개인별 STAT'!$D:$D, $D23, '3월 단양 개인별 STAT'!$E:$E, $E23) + SUMIFS('4월 삼척 개인별 STAT'!P:P, '4월 삼척 개인별 STAT'!$D:$D, $D23, '4월 삼척 개인별 STAT'!$E:$E, $E23)</f>
        <v>0</v>
      </c>
      <c r="Q23" s="20">
        <f>SUMIFS('3월 단양 개인별 STAT'!Q:Q, '3월 단양 개인별 STAT'!$D:$D, $D23, '3월 단양 개인별 STAT'!$E:$E, $E23) + SUMIFS('4월 삼척 개인별 STAT'!Q:Q, '4월 삼척 개인별 STAT'!$D:$D, $D23, '4월 삼척 개인별 STAT'!$E:$E, $E23)</f>
        <v>0</v>
      </c>
      <c r="R23" s="30" t="str">
        <f t="shared" si="3"/>
        <v>-</v>
      </c>
      <c r="S23" s="22" t="str">
        <f t="shared" si="4"/>
        <v>-</v>
      </c>
      <c r="T23" s="20">
        <f>SUMIFS('3월 단양 개인별 STAT'!T:T, '3월 단양 개인별 STAT'!$D:$D, $D23, '3월 단양 개인별 STAT'!$E:$E, $E23) + SUMIFS('4월 삼척 개인별 STAT'!T:T, '4월 삼척 개인별 STAT'!$D:$D, $D23, '4월 삼척 개인별 STAT'!$E:$E, $E23)</f>
        <v>0</v>
      </c>
      <c r="U23" s="20">
        <f>SUMIFS('3월 단양 개인별 STAT'!U:U, '3월 단양 개인별 STAT'!$D:$D, $D23, '3월 단양 개인별 STAT'!$E:$E, $E23) + SUMIFS('4월 삼척 개인별 STAT'!U:U, '4월 삼척 개인별 STAT'!$D:$D, $D23, '4월 삼척 개인별 STAT'!$E:$E, $E23)</f>
        <v>0</v>
      </c>
      <c r="V23" s="20">
        <f>SUMIFS('3월 단양 개인별 STAT'!V:V, '3월 단양 개인별 STAT'!$D:$D, $D23, '3월 단양 개인별 STAT'!$E:$E, $E23) + SUMIFS('4월 삼척 개인별 STAT'!V:V, '4월 삼척 개인별 STAT'!$D:$D, $D23, '4월 삼척 개인별 STAT'!$E:$E, $E23)</f>
        <v>0</v>
      </c>
      <c r="W23" s="20">
        <f>SUMIFS('3월 단양 개인별 STAT'!W:W, '3월 단양 개인별 STAT'!$D:$D, $D23, '3월 단양 개인별 STAT'!$E:$E, $E23) + SUMIFS('4월 삼척 개인별 STAT'!W:W, '4월 삼척 개인별 STAT'!$D:$D, $D23, '4월 삼척 개인별 STAT'!$E:$E, $E23)</f>
        <v>0</v>
      </c>
      <c r="X23" s="20">
        <f>SUMIFS('3월 단양 개인별 STAT'!X:X, '3월 단양 개인별 STAT'!$D:$D, $D23, '3월 단양 개인별 STAT'!$E:$E, $E23) + SUMIFS('4월 삼척 개인별 STAT'!X:X, '4월 삼척 개인별 STAT'!$D:$D, $D23, '4월 삼척 개인별 STAT'!$E:$E, $E23)</f>
        <v>0</v>
      </c>
      <c r="Y23" s="20">
        <f>SUMIFS('3월 단양 개인별 STAT'!Y:Y, '3월 단양 개인별 STAT'!$D:$D, $D23, '3월 단양 개인별 STAT'!$E:$E, $E23) + SUMIFS('4월 삼척 개인별 STAT'!Y:Y, '4월 삼척 개인별 STAT'!$D:$D, $D23, '4월 삼척 개인별 STAT'!$E:$E, $E23)</f>
        <v>0</v>
      </c>
      <c r="Z23" s="30" t="str">
        <f t="shared" si="5"/>
        <v>-</v>
      </c>
      <c r="AA23" s="20">
        <f>SUMIFS('3월 단양 개인별 STAT'!AA:AA, '3월 단양 개인별 STAT'!$D:$D, $D23, '3월 단양 개인별 STAT'!$E:$E, $E23) + SUMIFS('4월 삼척 개인별 STAT'!AA:AA, '4월 삼척 개인별 STAT'!$D:$D, $D23, '4월 삼척 개인별 STAT'!$E:$E, $E23)</f>
        <v>0</v>
      </c>
      <c r="AB23" s="30" t="str">
        <f t="shared" si="6"/>
        <v>-</v>
      </c>
      <c r="AC23" s="23">
        <f t="shared" si="7"/>
        <v>0</v>
      </c>
      <c r="AD23" s="30" t="str">
        <f t="shared" si="8"/>
        <v>-</v>
      </c>
      <c r="AE23" s="20">
        <f>SUMIFS('3월 단양 개인별 STAT'!AE:AE, '3월 단양 개인별 STAT'!$D:$D, $D23, '3월 단양 개인별 STAT'!$E:$E, $E23) + SUMIFS('4월 삼척 개인별 STAT'!AE:AE, '4월 삼척 개인별 STAT'!$D:$D, $D23, '4월 삼척 개인별 STAT'!$E:$E, $E23)</f>
        <v>0</v>
      </c>
      <c r="AF23" s="20">
        <f>SUMIFS('3월 단양 개인별 STAT'!AF:AF, '3월 단양 개인별 STAT'!$D:$D, $D23, '3월 단양 개인별 STAT'!$E:$E, $E23) + SUMIFS('4월 삼척 개인별 STAT'!AF:AF, '4월 삼척 개인별 STAT'!$D:$D, $D23, '4월 삼척 개인별 STAT'!$E:$E, $E23)</f>
        <v>0</v>
      </c>
      <c r="AG23" s="24" t="str">
        <f t="shared" si="9"/>
        <v>-</v>
      </c>
      <c r="AH23" s="20">
        <f>SUMIFS('3월 단양 개인별 STAT'!AH:AH, '3월 단양 개인별 STAT'!$D:$D, $D23, '3월 단양 개인별 STAT'!$E:$E, $E23) + SUMIFS('4월 삼척 개인별 STAT'!AH:AH, '4월 삼척 개인별 STAT'!$D:$D, $D23, '4월 삼척 개인별 STAT'!$E:$E, $E23)</f>
        <v>0</v>
      </c>
      <c r="AI23" s="22" t="str">
        <f t="shared" si="10"/>
        <v>-</v>
      </c>
      <c r="AJ23" s="25"/>
      <c r="AK23" s="26"/>
      <c r="AL23" s="27" t="str">
        <f t="shared" si="11"/>
        <v>-</v>
      </c>
      <c r="AM23" s="27" t="str">
        <f t="shared" si="30"/>
        <v>-</v>
      </c>
      <c r="AN23" s="28" t="str">
        <f t="shared" si="13"/>
        <v>-</v>
      </c>
      <c r="AO23" s="27" t="str">
        <f t="shared" si="14"/>
        <v>-</v>
      </c>
      <c r="AP23" s="27" t="str">
        <f t="shared" si="15"/>
        <v>-</v>
      </c>
      <c r="AQ23" s="27" t="str">
        <f t="shared" ref="AQ23:AR23" si="37">iferror(AB23/$M23,"-")</f>
        <v>-</v>
      </c>
      <c r="AR23" s="27" t="str">
        <f t="shared" si="37"/>
        <v>-</v>
      </c>
      <c r="AS23" s="29" t="str">
        <f t="shared" si="17"/>
        <v>-</v>
      </c>
      <c r="AT23" s="29" t="str">
        <f t="shared" si="18"/>
        <v>-</v>
      </c>
      <c r="AU23" s="26"/>
      <c r="AV23" s="26"/>
      <c r="AW23" s="26"/>
      <c r="AX23" s="26"/>
    </row>
    <row r="24">
      <c r="B24" s="17">
        <v>21.0</v>
      </c>
      <c r="C24" s="18">
        <f t="shared" si="2"/>
        <v>7</v>
      </c>
      <c r="D24" s="19" t="s">
        <v>67</v>
      </c>
      <c r="E24" s="19" t="s">
        <v>74</v>
      </c>
      <c r="F24" s="19">
        <v>3.0</v>
      </c>
      <c r="G24" s="19" t="s">
        <v>47</v>
      </c>
      <c r="H24" s="19" t="s">
        <v>48</v>
      </c>
      <c r="I24" s="19">
        <v>180.0</v>
      </c>
      <c r="J24" s="19">
        <v>69.0</v>
      </c>
      <c r="K24" s="20">
        <v>7.0</v>
      </c>
      <c r="L24" s="20">
        <f>SUMIFS('3월 단양 개인별 STAT'!L:L, '3월 단양 개인별 STAT'!$D:$D, $D24, '3월 단양 개인별 STAT'!$E:$E, $E24) + SUMIFS('4월 삼척 개인별 STAT'!L:L, '4월 삼척 개인별 STAT'!$D:$D, $D24, '4월 삼척 개인별 STAT'!$E:$E, $E24)</f>
        <v>2</v>
      </c>
      <c r="M24" s="20">
        <f>SUMIFS('3월 단양 개인별 STAT'!M:M, '3월 단양 개인별 STAT'!$D:$D, $D24, '3월 단양 개인별 STAT'!$E:$E, $E24) + SUMIFS('4월 삼척 개인별 STAT'!M:M, '4월 삼척 개인별 STAT'!$D:$D, $D24, '4월 삼척 개인별 STAT'!$E:$E, $E24)</f>
        <v>4</v>
      </c>
      <c r="N24" s="20">
        <f>SUMIFS('3월 단양 개인별 STAT'!N:N, '3월 단양 개인별 STAT'!$D:$D, $D24, '3월 단양 개인별 STAT'!$E:$E, $E24) + SUMIFS('4월 삼척 개인별 STAT'!N:N, '4월 삼척 개인별 STAT'!$D:$D, $D24, '4월 삼척 개인별 STAT'!$E:$E, $E24)</f>
        <v>7</v>
      </c>
      <c r="O24" s="20">
        <f>SUMIFS('3월 단양 개인별 STAT'!O:O, '3월 단양 개인별 STAT'!$D:$D, $D24, '3월 단양 개인별 STAT'!$E:$E, $E24) + SUMIFS('4월 삼척 개인별 STAT'!O:O, '4월 삼척 개인별 STAT'!$D:$D, $D24, '4월 삼척 개인별 STAT'!$E:$E, $E24)</f>
        <v>1</v>
      </c>
      <c r="P24" s="20">
        <f>SUMIFS('3월 단양 개인별 STAT'!P:P, '3월 단양 개인별 STAT'!$D:$D, $D24, '3월 단양 개인별 STAT'!$E:$E, $E24) + SUMIFS('4월 삼척 개인별 STAT'!P:P, '4월 삼척 개인별 STAT'!$D:$D, $D24, '4월 삼척 개인별 STAT'!$E:$E, $E24)</f>
        <v>1</v>
      </c>
      <c r="Q24" s="20">
        <f>SUMIFS('3월 단양 개인별 STAT'!Q:Q, '3월 단양 개인별 STAT'!$D:$D, $D24, '3월 단양 개인별 STAT'!$E:$E, $E24) + SUMIFS('4월 삼척 개인별 STAT'!Q:Q, '4월 삼척 개인별 STAT'!$D:$D, $D24, '4월 삼척 개인별 STAT'!$E:$E, $E24)</f>
        <v>0</v>
      </c>
      <c r="R24" s="21">
        <f t="shared" si="3"/>
        <v>8</v>
      </c>
      <c r="S24" s="22">
        <f t="shared" si="4"/>
        <v>0.88</v>
      </c>
      <c r="T24" s="20">
        <f>SUMIFS('3월 단양 개인별 STAT'!T:T, '3월 단양 개인별 STAT'!$D:$D, $D24, '3월 단양 개인별 STAT'!$E:$E, $E24) + SUMIFS('4월 삼척 개인별 STAT'!T:T, '4월 삼척 개인별 STAT'!$D:$D, $D24, '4월 삼척 개인별 STAT'!$E:$E, $E24)</f>
        <v>1</v>
      </c>
      <c r="U24" s="20">
        <f>SUMIFS('3월 단양 개인별 STAT'!U:U, '3월 단양 개인별 STAT'!$D:$D, $D24, '3월 단양 개인별 STAT'!$E:$E, $E24) + SUMIFS('4월 삼척 개인별 STAT'!U:U, '4월 삼척 개인별 STAT'!$D:$D, $D24, '4월 삼척 개인별 STAT'!$E:$E, $E24)</f>
        <v>0</v>
      </c>
      <c r="V24" s="20">
        <f>SUMIFS('3월 단양 개인별 STAT'!V:V, '3월 단양 개인별 STAT'!$D:$D, $D24, '3월 단양 개인별 STAT'!$E:$E, $E24) + SUMIFS('4월 삼척 개인별 STAT'!V:V, '4월 삼척 개인별 STAT'!$D:$D, $D24, '4월 삼척 개인별 STAT'!$E:$E, $E24)</f>
        <v>3</v>
      </c>
      <c r="W24" s="20">
        <f>SUMIFS('3월 단양 개인별 STAT'!W:W, '3월 단양 개인별 STAT'!$D:$D, $D24, '3월 단양 개인별 STAT'!$E:$E, $E24) + SUMIFS('4월 삼척 개인별 STAT'!W:W, '4월 삼척 개인별 STAT'!$D:$D, $D24, '4월 삼척 개인별 STAT'!$E:$E, $E24)</f>
        <v>18</v>
      </c>
      <c r="X24" s="20">
        <f>SUMIFS('3월 단양 개인별 STAT'!X:X, '3월 단양 개인별 STAT'!$D:$D, $D24, '3월 단양 개인별 STAT'!$E:$E, $E24) + SUMIFS('4월 삼척 개인별 STAT'!X:X, '4월 삼척 개인별 STAT'!$D:$D, $D24, '4월 삼척 개인별 STAT'!$E:$E, $E24)</f>
        <v>1</v>
      </c>
      <c r="Y24" s="20">
        <f>SUMIFS('3월 단양 개인별 STAT'!Y:Y, '3월 단양 개인별 STAT'!$D:$D, $D24, '3월 단양 개인별 STAT'!$E:$E, $E24) + SUMIFS('4월 삼척 개인별 STAT'!Y:Y, '4월 삼척 개인별 STAT'!$D:$D, $D24, '4월 삼척 개인별 STAT'!$E:$E, $E24)</f>
        <v>0</v>
      </c>
      <c r="Z24" s="21">
        <f t="shared" si="5"/>
        <v>19</v>
      </c>
      <c r="AA24" s="20">
        <f>SUMIFS('3월 단양 개인별 STAT'!AA:AA, '3월 단양 개인별 STAT'!$D:$D, $D24, '3월 단양 개인별 STAT'!$E:$E, $E24) + SUMIFS('4월 삼척 개인별 STAT'!AA:AA, '4월 삼척 개인별 STAT'!$D:$D, $D24, '4월 삼척 개인별 STAT'!$E:$E, $E24)</f>
        <v>0</v>
      </c>
      <c r="AB24" s="21">
        <f t="shared" si="6"/>
        <v>9</v>
      </c>
      <c r="AC24" s="23">
        <f t="shared" si="7"/>
        <v>11.25</v>
      </c>
      <c r="AD24" s="30" t="str">
        <f t="shared" si="8"/>
        <v>-</v>
      </c>
      <c r="AE24" s="20">
        <f>SUMIFS('3월 단양 개인별 STAT'!AE:AE, '3월 단양 개인별 STAT'!$D:$D, $D24, '3월 단양 개인별 STAT'!$E:$E, $E24) + SUMIFS('4월 삼척 개인별 STAT'!AE:AE, '4월 삼척 개인별 STAT'!$D:$D, $D24, '4월 삼척 개인별 STAT'!$E:$E, $E24)</f>
        <v>0</v>
      </c>
      <c r="AF24" s="20">
        <f>SUMIFS('3월 단양 개인별 STAT'!AF:AF, '3월 단양 개인별 STAT'!$D:$D, $D24, '3월 단양 개인별 STAT'!$E:$E, $E24) + SUMIFS('4월 삼척 개인별 STAT'!AF:AF, '4월 삼척 개인별 STAT'!$D:$D, $D24, '4월 삼척 개인별 STAT'!$E:$E, $E24)</f>
        <v>0</v>
      </c>
      <c r="AG24" s="24" t="str">
        <f t="shared" si="9"/>
        <v>-</v>
      </c>
      <c r="AH24" s="20">
        <f>SUMIFS('3월 단양 개인별 STAT'!AH:AH, '3월 단양 개인별 STAT'!$D:$D, $D24, '3월 단양 개인별 STAT'!$E:$E, $E24) + SUMIFS('4월 삼척 개인별 STAT'!AH:AH, '4월 삼척 개인별 STAT'!$D:$D, $D24, '4월 삼척 개인별 STAT'!$E:$E, $E24)</f>
        <v>2</v>
      </c>
      <c r="AI24" s="22" t="str">
        <f t="shared" si="10"/>
        <v>0.50</v>
      </c>
      <c r="AJ24" s="25"/>
      <c r="AK24" s="26"/>
      <c r="AL24" s="27">
        <f t="shared" si="11"/>
        <v>1.75</v>
      </c>
      <c r="AM24" s="27">
        <f t="shared" si="30"/>
        <v>2</v>
      </c>
      <c r="AN24" s="28">
        <f t="shared" si="13"/>
        <v>0.875</v>
      </c>
      <c r="AO24" s="27">
        <f t="shared" si="14"/>
        <v>0.25</v>
      </c>
      <c r="AP24" s="27">
        <f t="shared" si="15"/>
        <v>0.25</v>
      </c>
      <c r="AQ24" s="27">
        <f t="shared" ref="AQ24:AR24" si="38">iferror(AB24/$M24,"-")</f>
        <v>2.25</v>
      </c>
      <c r="AR24" s="27">
        <f t="shared" si="38"/>
        <v>2.8125</v>
      </c>
      <c r="AS24" s="29">
        <f t="shared" si="17"/>
        <v>0</v>
      </c>
      <c r="AT24" s="29" t="str">
        <f t="shared" si="18"/>
        <v>0.50</v>
      </c>
      <c r="AU24" s="26"/>
      <c r="AV24" s="26"/>
      <c r="AW24" s="26"/>
      <c r="AX24" s="26"/>
    </row>
    <row r="25">
      <c r="B25" s="17">
        <v>22.0</v>
      </c>
      <c r="C25" s="18">
        <f t="shared" si="2"/>
        <v>8</v>
      </c>
      <c r="D25" s="19" t="s">
        <v>67</v>
      </c>
      <c r="E25" s="19" t="s">
        <v>75</v>
      </c>
      <c r="F25" s="19">
        <v>1.0</v>
      </c>
      <c r="G25" s="19" t="s">
        <v>52</v>
      </c>
      <c r="H25" s="19" t="s">
        <v>48</v>
      </c>
      <c r="I25" s="19">
        <v>175.0</v>
      </c>
      <c r="J25" s="19">
        <v>69.0</v>
      </c>
      <c r="K25" s="20">
        <v>9.0</v>
      </c>
      <c r="L25" s="20">
        <f>SUMIFS('3월 단양 개인별 STAT'!L:L, '3월 단양 개인별 STAT'!$D:$D, $D25, '3월 단양 개인별 STAT'!$E:$E, $E25) + SUMIFS('4월 삼척 개인별 STAT'!L:L, '4월 삼척 개인별 STAT'!$D:$D, $D25, '4월 삼척 개인별 STAT'!$E:$E, $E25)</f>
        <v>2</v>
      </c>
      <c r="M25" s="20">
        <f>SUMIFS('3월 단양 개인별 STAT'!M:M, '3월 단양 개인별 STAT'!$D:$D, $D25, '3월 단양 개인별 STAT'!$E:$E, $E25) + SUMIFS('4월 삼척 개인별 STAT'!M:M, '4월 삼척 개인별 STAT'!$D:$D, $D25, '4월 삼척 개인별 STAT'!$E:$E, $E25)</f>
        <v>2</v>
      </c>
      <c r="N25" s="20">
        <f>SUMIFS('3월 단양 개인별 STAT'!N:N, '3월 단양 개인별 STAT'!$D:$D, $D25, '3월 단양 개인별 STAT'!$E:$E, $E25) + SUMIFS('4월 삼척 개인별 STAT'!N:N, '4월 삼척 개인별 STAT'!$D:$D, $D25, '4월 삼척 개인별 STAT'!$E:$E, $E25)</f>
        <v>0</v>
      </c>
      <c r="O25" s="20">
        <f>SUMIFS('3월 단양 개인별 STAT'!O:O, '3월 단양 개인별 STAT'!$D:$D, $D25, '3월 단양 개인별 STAT'!$E:$E, $E25) + SUMIFS('4월 삼척 개인별 STAT'!O:O, '4월 삼척 개인별 STAT'!$D:$D, $D25, '4월 삼척 개인별 STAT'!$E:$E, $E25)</f>
        <v>0</v>
      </c>
      <c r="P25" s="20">
        <f>SUMIFS('3월 단양 개인별 STAT'!P:P, '3월 단양 개인별 STAT'!$D:$D, $D25, '3월 단양 개인별 STAT'!$E:$E, $E25) + SUMIFS('4월 삼척 개인별 STAT'!P:P, '4월 삼척 개인별 STAT'!$D:$D, $D25, '4월 삼척 개인별 STAT'!$E:$E, $E25)</f>
        <v>0</v>
      </c>
      <c r="Q25" s="20">
        <f>SUMIFS('3월 단양 개인별 STAT'!Q:Q, '3월 단양 개인별 STAT'!$D:$D, $D25, '3월 단양 개인별 STAT'!$E:$E, $E25) + SUMIFS('4월 삼척 개인별 STAT'!Q:Q, '4월 삼척 개인별 STAT'!$D:$D, $D25, '4월 삼척 개인별 STAT'!$E:$E, $E25)</f>
        <v>0</v>
      </c>
      <c r="R25" s="30" t="str">
        <f t="shared" si="3"/>
        <v>-</v>
      </c>
      <c r="S25" s="22" t="str">
        <f t="shared" si="4"/>
        <v>-</v>
      </c>
      <c r="T25" s="20">
        <f>SUMIFS('3월 단양 개인별 STAT'!T:T, '3월 단양 개인별 STAT'!$D:$D, $D25, '3월 단양 개인별 STAT'!$E:$E, $E25) + SUMIFS('4월 삼척 개인별 STAT'!T:T, '4월 삼척 개인별 STAT'!$D:$D, $D25, '4월 삼척 개인별 STAT'!$E:$E, $E25)</f>
        <v>0</v>
      </c>
      <c r="U25" s="20">
        <f>SUMIFS('3월 단양 개인별 STAT'!U:U, '3월 단양 개인별 STAT'!$D:$D, $D25, '3월 단양 개인별 STAT'!$E:$E, $E25) + SUMIFS('4월 삼척 개인별 STAT'!U:U, '4월 삼척 개인별 STAT'!$D:$D, $D25, '4월 삼척 개인별 STAT'!$E:$E, $E25)</f>
        <v>0</v>
      </c>
      <c r="V25" s="20">
        <f>SUMIFS('3월 단양 개인별 STAT'!V:V, '3월 단양 개인별 STAT'!$D:$D, $D25, '3월 단양 개인별 STAT'!$E:$E, $E25) + SUMIFS('4월 삼척 개인별 STAT'!V:V, '4월 삼척 개인별 STAT'!$D:$D, $D25, '4월 삼척 개인별 STAT'!$E:$E, $E25)</f>
        <v>0</v>
      </c>
      <c r="W25" s="20">
        <f>SUMIFS('3월 단양 개인별 STAT'!W:W, '3월 단양 개인별 STAT'!$D:$D, $D25, '3월 단양 개인별 STAT'!$E:$E, $E25) + SUMIFS('4월 삼척 개인별 STAT'!W:W, '4월 삼척 개인별 STAT'!$D:$D, $D25, '4월 삼척 개인별 STAT'!$E:$E, $E25)</f>
        <v>0</v>
      </c>
      <c r="X25" s="20">
        <f>SUMIFS('3월 단양 개인별 STAT'!X:X, '3월 단양 개인별 STAT'!$D:$D, $D25, '3월 단양 개인별 STAT'!$E:$E, $E25) + SUMIFS('4월 삼척 개인별 STAT'!X:X, '4월 삼척 개인별 STAT'!$D:$D, $D25, '4월 삼척 개인별 STAT'!$E:$E, $E25)</f>
        <v>0</v>
      </c>
      <c r="Y25" s="20">
        <f>SUMIFS('3월 단양 개인별 STAT'!Y:Y, '3월 단양 개인별 STAT'!$D:$D, $D25, '3월 단양 개인별 STAT'!$E:$E, $E25) + SUMIFS('4월 삼척 개인별 STAT'!Y:Y, '4월 삼척 개인별 STAT'!$D:$D, $D25, '4월 삼척 개인별 STAT'!$E:$E, $E25)</f>
        <v>0</v>
      </c>
      <c r="Z25" s="30" t="str">
        <f t="shared" si="5"/>
        <v>-</v>
      </c>
      <c r="AA25" s="20">
        <f>SUMIFS('3월 단양 개인별 STAT'!AA:AA, '3월 단양 개인별 STAT'!$D:$D, $D25, '3월 단양 개인별 STAT'!$E:$E, $E25) + SUMIFS('4월 삼척 개인별 STAT'!AA:AA, '4월 삼척 개인별 STAT'!$D:$D, $D25, '4월 삼척 개인별 STAT'!$E:$E, $E25)</f>
        <v>0</v>
      </c>
      <c r="AB25" s="30" t="str">
        <f t="shared" si="6"/>
        <v>-</v>
      </c>
      <c r="AC25" s="23">
        <f t="shared" si="7"/>
        <v>0</v>
      </c>
      <c r="AD25" s="21">
        <f t="shared" si="8"/>
        <v>2</v>
      </c>
      <c r="AE25" s="20">
        <f>SUMIFS('3월 단양 개인별 STAT'!AE:AE, '3월 단양 개인별 STAT'!$D:$D, $D25, '3월 단양 개인별 STAT'!$E:$E, $E25) + SUMIFS('4월 삼척 개인별 STAT'!AE:AE, '4월 삼척 개인별 STAT'!$D:$D, $D25, '4월 삼척 개인별 STAT'!$E:$E, $E25)</f>
        <v>1</v>
      </c>
      <c r="AF25" s="20">
        <f>SUMIFS('3월 단양 개인별 STAT'!AF:AF, '3월 단양 개인별 STAT'!$D:$D, $D25, '3월 단양 개인별 STAT'!$E:$E, $E25) + SUMIFS('4월 삼척 개인별 STAT'!AF:AF, '4월 삼척 개인별 STAT'!$D:$D, $D25, '4월 삼척 개인별 STAT'!$E:$E, $E25)</f>
        <v>1</v>
      </c>
      <c r="AG25" s="24">
        <f t="shared" si="9"/>
        <v>50</v>
      </c>
      <c r="AH25" s="20">
        <f>SUMIFS('3월 단양 개인별 STAT'!AH:AH, '3월 단양 개인별 STAT'!$D:$D, $D25, '3월 단양 개인별 STAT'!$E:$E, $E25) + SUMIFS('4월 삼척 개인별 STAT'!AH:AH, '4월 삼척 개인별 STAT'!$D:$D, $D25, '4월 삼척 개인별 STAT'!$E:$E, $E25)</f>
        <v>0</v>
      </c>
      <c r="AI25" s="22" t="str">
        <f t="shared" si="10"/>
        <v>0</v>
      </c>
      <c r="AJ25" s="25"/>
      <c r="AK25" s="26"/>
      <c r="AL25" s="27">
        <f t="shared" si="11"/>
        <v>0</v>
      </c>
      <c r="AM25" s="27" t="str">
        <f t="shared" si="30"/>
        <v>-</v>
      </c>
      <c r="AN25" s="28" t="str">
        <f t="shared" si="13"/>
        <v>-</v>
      </c>
      <c r="AO25" s="27">
        <f t="shared" si="14"/>
        <v>0</v>
      </c>
      <c r="AP25" s="27">
        <f t="shared" si="15"/>
        <v>0</v>
      </c>
      <c r="AQ25" s="27" t="str">
        <f t="shared" ref="AQ25:AR25" si="39">iferror(AB25/$M25,"-")</f>
        <v>-</v>
      </c>
      <c r="AR25" s="27">
        <f t="shared" si="39"/>
        <v>0</v>
      </c>
      <c r="AS25" s="29">
        <f t="shared" si="17"/>
        <v>0.5</v>
      </c>
      <c r="AT25" s="29" t="str">
        <f t="shared" si="18"/>
        <v>0</v>
      </c>
      <c r="AU25" s="26"/>
      <c r="AV25" s="26"/>
      <c r="AW25" s="26"/>
      <c r="AX25" s="26"/>
    </row>
    <row r="26">
      <c r="B26" s="17">
        <v>23.0</v>
      </c>
      <c r="C26" s="18">
        <f t="shared" si="2"/>
        <v>9</v>
      </c>
      <c r="D26" s="19" t="s">
        <v>67</v>
      </c>
      <c r="E26" s="19" t="s">
        <v>76</v>
      </c>
      <c r="F26" s="19">
        <v>2.0</v>
      </c>
      <c r="G26" s="19" t="s">
        <v>52</v>
      </c>
      <c r="H26" s="19" t="s">
        <v>48</v>
      </c>
      <c r="I26" s="19">
        <v>175.0</v>
      </c>
      <c r="J26" s="19">
        <v>63.0</v>
      </c>
      <c r="K26" s="20">
        <v>10.0</v>
      </c>
      <c r="L26" s="20">
        <f>SUMIFS('3월 단양 개인별 STAT'!L:L, '3월 단양 개인별 STAT'!$D:$D, $D26, '3월 단양 개인별 STAT'!$E:$E, $E26) + SUMIFS('4월 삼척 개인별 STAT'!L:L, '4월 삼척 개인별 STAT'!$D:$D, $D26, '4월 삼척 개인별 STAT'!$E:$E, $E26)</f>
        <v>3</v>
      </c>
      <c r="M26" s="20">
        <f>SUMIFS('3월 단양 개인별 STAT'!M:M, '3월 단양 개인별 STAT'!$D:$D, $D26, '3월 단양 개인별 STAT'!$E:$E, $E26) + SUMIFS('4월 삼척 개인별 STAT'!M:M, '4월 삼척 개인별 STAT'!$D:$D, $D26, '4월 삼척 개인별 STAT'!$E:$E, $E26)</f>
        <v>10</v>
      </c>
      <c r="N26" s="20">
        <f>SUMIFS('3월 단양 개인별 STAT'!N:N, '3월 단양 개인별 STAT'!$D:$D, $D26, '3월 단양 개인별 STAT'!$E:$E, $E26) + SUMIFS('4월 삼척 개인별 STAT'!N:N, '4월 삼척 개인별 STAT'!$D:$D, $D26, '4월 삼척 개인별 STAT'!$E:$E, $E26)</f>
        <v>21</v>
      </c>
      <c r="O26" s="20">
        <f>SUMIFS('3월 단양 개인별 STAT'!O:O, '3월 단양 개인별 STAT'!$D:$D, $D26, '3월 단양 개인별 STAT'!$E:$E, $E26) + SUMIFS('4월 삼척 개인별 STAT'!O:O, '4월 삼척 개인별 STAT'!$D:$D, $D26, '4월 삼척 개인별 STAT'!$E:$E, $E26)</f>
        <v>3</v>
      </c>
      <c r="P26" s="20">
        <f>SUMIFS('3월 단양 개인별 STAT'!P:P, '3월 단양 개인별 STAT'!$D:$D, $D26, '3월 단양 개인별 STAT'!$E:$E, $E26) + SUMIFS('4월 삼척 개인별 STAT'!P:P, '4월 삼척 개인별 STAT'!$D:$D, $D26, '4월 삼척 개인별 STAT'!$E:$E, $E26)</f>
        <v>19</v>
      </c>
      <c r="Q26" s="20">
        <f>SUMIFS('3월 단양 개인별 STAT'!Q:Q, '3월 단양 개인별 STAT'!$D:$D, $D26, '3월 단양 개인별 STAT'!$E:$E, $E26) + SUMIFS('4월 삼척 개인별 STAT'!Q:Q, '4월 삼척 개인별 STAT'!$D:$D, $D26, '4월 삼척 개인별 STAT'!$E:$E, $E26)</f>
        <v>10</v>
      </c>
      <c r="R26" s="21">
        <f t="shared" si="3"/>
        <v>50</v>
      </c>
      <c r="S26" s="22">
        <f t="shared" si="4"/>
        <v>0.22</v>
      </c>
      <c r="T26" s="20">
        <f>SUMIFS('3월 단양 개인별 STAT'!T:T, '3월 단양 개인별 STAT'!$D:$D, $D26, '3월 단양 개인별 STAT'!$E:$E, $E26) + SUMIFS('4월 삼척 개인별 STAT'!T:T, '4월 삼척 개인별 STAT'!$D:$D, $D26, '4월 삼척 개인별 STAT'!$E:$E, $E26)</f>
        <v>1</v>
      </c>
      <c r="U26" s="20">
        <f>SUMIFS('3월 단양 개인별 STAT'!U:U, '3월 단양 개인별 STAT'!$D:$D, $D26, '3월 단양 개인별 STAT'!$E:$E, $E26) + SUMIFS('4월 삼척 개인별 STAT'!U:U, '4월 삼척 개인별 STAT'!$D:$D, $D26, '4월 삼척 개인별 STAT'!$E:$E, $E26)</f>
        <v>0</v>
      </c>
      <c r="V26" s="20">
        <f>SUMIFS('3월 단양 개인별 STAT'!V:V, '3월 단양 개인별 STAT'!$D:$D, $D26, '3월 단양 개인별 STAT'!$E:$E, $E26) + SUMIFS('4월 삼척 개인별 STAT'!V:V, '4월 삼척 개인별 STAT'!$D:$D, $D26, '4월 삼척 개인별 STAT'!$E:$E, $E26)</f>
        <v>2</v>
      </c>
      <c r="W26" s="20">
        <f>SUMIFS('3월 단양 개인별 STAT'!W:W, '3월 단양 개인별 STAT'!$D:$D, $D26, '3월 단양 개인별 STAT'!$E:$E, $E26) + SUMIFS('4월 삼척 개인별 STAT'!W:W, '4월 삼척 개인별 STAT'!$D:$D, $D26, '4월 삼척 개인별 STAT'!$E:$E, $E26)</f>
        <v>16</v>
      </c>
      <c r="X26" s="20">
        <f>SUMIFS('3월 단양 개인별 STAT'!X:X, '3월 단양 개인별 STAT'!$D:$D, $D26, '3월 단양 개인별 STAT'!$E:$E, $E26) + SUMIFS('4월 삼척 개인별 STAT'!X:X, '4월 삼척 개인별 STAT'!$D:$D, $D26, '4월 삼척 개인별 STAT'!$E:$E, $E26)</f>
        <v>3</v>
      </c>
      <c r="Y26" s="20">
        <f>SUMIFS('3월 단양 개인별 STAT'!Y:Y, '3월 단양 개인별 STAT'!$D:$D, $D26, '3월 단양 개인별 STAT'!$E:$E, $E26) + SUMIFS('4월 삼척 개인별 STAT'!Y:Y, '4월 삼척 개인별 STAT'!$D:$D, $D26, '4월 삼척 개인별 STAT'!$E:$E, $E26)</f>
        <v>6</v>
      </c>
      <c r="Z26" s="21">
        <f t="shared" si="5"/>
        <v>25</v>
      </c>
      <c r="AA26" s="20">
        <f>SUMIFS('3월 단양 개인별 STAT'!AA:AA, '3월 단양 개인별 STAT'!$D:$D, $D26, '3월 단양 개인별 STAT'!$E:$E, $E26) + SUMIFS('4월 삼척 개인별 STAT'!AA:AA, '4월 삼척 개인별 STAT'!$D:$D, $D26, '4월 삼척 개인별 STAT'!$E:$E, $E26)</f>
        <v>1</v>
      </c>
      <c r="AB26" s="21">
        <f t="shared" si="6"/>
        <v>25</v>
      </c>
      <c r="AC26" s="23">
        <f t="shared" si="7"/>
        <v>26.5</v>
      </c>
      <c r="AD26" s="21">
        <f t="shared" si="8"/>
        <v>33</v>
      </c>
      <c r="AE26" s="20">
        <f>SUMIFS('3월 단양 개인별 STAT'!AE:AE, '3월 단양 개인별 STAT'!$D:$D, $D26, '3월 단양 개인별 STAT'!$E:$E, $E26) + SUMIFS('4월 삼척 개인별 STAT'!AE:AE, '4월 삼척 개인별 STAT'!$D:$D, $D26, '4월 삼척 개인별 STAT'!$E:$E, $E26)</f>
        <v>27</v>
      </c>
      <c r="AF26" s="20">
        <f>SUMIFS('3월 단양 개인별 STAT'!AF:AF, '3월 단양 개인별 STAT'!$D:$D, $D26, '3월 단양 개인별 STAT'!$E:$E, $E26) + SUMIFS('4월 삼척 개인별 STAT'!AF:AF, '4월 삼척 개인별 STAT'!$D:$D, $D26, '4월 삼척 개인별 STAT'!$E:$E, $E26)</f>
        <v>6</v>
      </c>
      <c r="AG26" s="24">
        <f t="shared" si="9"/>
        <v>81.81818182</v>
      </c>
      <c r="AH26" s="20">
        <f>SUMIFS('3월 단양 개인별 STAT'!AH:AH, '3월 단양 개인별 STAT'!$D:$D, $D26, '3월 단양 개인별 STAT'!$E:$E, $E26) + SUMIFS('4월 삼척 개인별 STAT'!AH:AH, '4월 삼척 개인별 STAT'!$D:$D, $D26, '4월 삼척 개인별 STAT'!$E:$E, $E26)</f>
        <v>13</v>
      </c>
      <c r="AI26" s="22" t="str">
        <f t="shared" si="10"/>
        <v>1.30</v>
      </c>
      <c r="AJ26" s="25"/>
      <c r="AK26" s="26"/>
      <c r="AL26" s="27">
        <f t="shared" si="11"/>
        <v>2.1</v>
      </c>
      <c r="AM26" s="27">
        <f t="shared" si="30"/>
        <v>5</v>
      </c>
      <c r="AN26" s="28">
        <f t="shared" si="13"/>
        <v>0.42</v>
      </c>
      <c r="AO26" s="27">
        <f t="shared" si="14"/>
        <v>0.1</v>
      </c>
      <c r="AP26" s="27">
        <f t="shared" si="15"/>
        <v>0.3</v>
      </c>
      <c r="AQ26" s="27">
        <f t="shared" ref="AQ26:AR26" si="40">iferror(AB26/$M26,"-")</f>
        <v>2.5</v>
      </c>
      <c r="AR26" s="27">
        <f t="shared" si="40"/>
        <v>2.65</v>
      </c>
      <c r="AS26" s="29">
        <f t="shared" si="17"/>
        <v>0.6</v>
      </c>
      <c r="AT26" s="29" t="str">
        <f t="shared" si="18"/>
        <v>1.30</v>
      </c>
      <c r="AU26" s="26"/>
      <c r="AV26" s="26"/>
      <c r="AW26" s="26"/>
      <c r="AX26" s="26"/>
    </row>
    <row r="27">
      <c r="B27" s="17">
        <v>24.0</v>
      </c>
      <c r="C27" s="18">
        <f t="shared" si="2"/>
        <v>10</v>
      </c>
      <c r="D27" s="19" t="s">
        <v>67</v>
      </c>
      <c r="E27" s="19" t="s">
        <v>77</v>
      </c>
      <c r="F27" s="19">
        <v>2.0</v>
      </c>
      <c r="G27" s="19" t="s">
        <v>52</v>
      </c>
      <c r="H27" s="19" t="s">
        <v>48</v>
      </c>
      <c r="I27" s="19">
        <v>179.0</v>
      </c>
      <c r="J27" s="19">
        <v>73.0</v>
      </c>
      <c r="K27" s="20">
        <v>11.0</v>
      </c>
      <c r="L27" s="20">
        <f>SUMIFS('3월 단양 개인별 STAT'!L:L, '3월 단양 개인별 STAT'!$D:$D, $D27, '3월 단양 개인별 STAT'!$E:$E, $E27) + SUMIFS('4월 삼척 개인별 STAT'!L:L, '4월 삼척 개인별 STAT'!$D:$D, $D27, '4월 삼척 개인별 STAT'!$E:$E, $E27)</f>
        <v>3</v>
      </c>
      <c r="M27" s="20">
        <f>SUMIFS('3월 단양 개인별 STAT'!M:M, '3월 단양 개인별 STAT'!$D:$D, $D27, '3월 단양 개인별 STAT'!$E:$E, $E27) + SUMIFS('4월 삼척 개인별 STAT'!M:M, '4월 삼척 개인별 STAT'!$D:$D, $D27, '4월 삼척 개인별 STAT'!$E:$E, $E27)</f>
        <v>10</v>
      </c>
      <c r="N27" s="20">
        <f>SUMIFS('3월 단양 개인별 STAT'!N:N, '3월 단양 개인별 STAT'!$D:$D, $D27, '3월 단양 개인별 STAT'!$E:$E, $E27) + SUMIFS('4월 삼척 개인별 STAT'!N:N, '4월 삼척 개인별 STAT'!$D:$D, $D27, '4월 삼척 개인별 STAT'!$E:$E, $E27)</f>
        <v>19</v>
      </c>
      <c r="O27" s="20">
        <f>SUMIFS('3월 단양 개인별 STAT'!O:O, '3월 단양 개인별 STAT'!$D:$D, $D27, '3월 단양 개인별 STAT'!$E:$E, $E27) + SUMIFS('4월 삼척 개인별 STAT'!O:O, '4월 삼척 개인별 STAT'!$D:$D, $D27, '4월 삼척 개인별 STAT'!$E:$E, $E27)</f>
        <v>0</v>
      </c>
      <c r="P27" s="20">
        <f>SUMIFS('3월 단양 개인별 STAT'!P:P, '3월 단양 개인별 STAT'!$D:$D, $D27, '3월 단양 개인별 STAT'!$E:$E, $E27) + SUMIFS('4월 삼척 개인별 STAT'!P:P, '4월 삼척 개인별 STAT'!$D:$D, $D27, '4월 삼척 개인별 STAT'!$E:$E, $E27)</f>
        <v>26</v>
      </c>
      <c r="Q27" s="20">
        <f>SUMIFS('3월 단양 개인별 STAT'!Q:Q, '3월 단양 개인별 STAT'!$D:$D, $D27, '3월 단양 개인별 STAT'!$E:$E, $E27) + SUMIFS('4월 삼척 개인별 STAT'!Q:Q, '4월 삼척 개인별 STAT'!$D:$D, $D27, '4월 삼척 개인별 STAT'!$E:$E, $E27)</f>
        <v>10</v>
      </c>
      <c r="R27" s="21">
        <f t="shared" si="3"/>
        <v>55</v>
      </c>
      <c r="S27" s="22">
        <f t="shared" si="4"/>
        <v>0.16</v>
      </c>
      <c r="T27" s="20">
        <f>SUMIFS('3월 단양 개인별 STAT'!T:T, '3월 단양 개인별 STAT'!$D:$D, $D27, '3월 단양 개인별 STAT'!$E:$E, $E27) + SUMIFS('4월 삼척 개인별 STAT'!T:T, '4월 삼척 개인별 STAT'!$D:$D, $D27, '4월 삼척 개인별 STAT'!$E:$E, $E27)</f>
        <v>2</v>
      </c>
      <c r="U27" s="20">
        <f>SUMIFS('3월 단양 개인별 STAT'!U:U, '3월 단양 개인별 STAT'!$D:$D, $D27, '3월 단양 개인별 STAT'!$E:$E, $E27) + SUMIFS('4월 삼척 개인별 STAT'!U:U, '4월 삼척 개인별 STAT'!$D:$D, $D27, '4월 삼척 개인별 STAT'!$E:$E, $E27)</f>
        <v>0</v>
      </c>
      <c r="V27" s="20">
        <f>SUMIFS('3월 단양 개인별 STAT'!V:V, '3월 단양 개인별 STAT'!$D:$D, $D27, '3월 단양 개인별 STAT'!$E:$E, $E27) + SUMIFS('4월 삼척 개인별 STAT'!V:V, '4월 삼척 개인별 STAT'!$D:$D, $D27, '4월 삼척 개인별 STAT'!$E:$E, $E27)</f>
        <v>0</v>
      </c>
      <c r="W27" s="20">
        <f>SUMIFS('3월 단양 개인별 STAT'!W:W, '3월 단양 개인별 STAT'!$D:$D, $D27, '3월 단양 개인별 STAT'!$E:$E, $E27) + SUMIFS('4월 삼척 개인별 STAT'!W:W, '4월 삼척 개인별 STAT'!$D:$D, $D27, '4월 삼척 개인별 STAT'!$E:$E, $E27)</f>
        <v>29</v>
      </c>
      <c r="X27" s="20">
        <f>SUMIFS('3월 단양 개인별 STAT'!X:X, '3월 단양 개인별 STAT'!$D:$D, $D27, '3월 단양 개인별 STAT'!$E:$E, $E27) + SUMIFS('4월 삼척 개인별 STAT'!X:X, '4월 삼척 개인별 STAT'!$D:$D, $D27, '4월 삼척 개인별 STAT'!$E:$E, $E27)</f>
        <v>2</v>
      </c>
      <c r="Y27" s="20">
        <f>SUMIFS('3월 단양 개인별 STAT'!Y:Y, '3월 단양 개인별 STAT'!$D:$D, $D27, '3월 단양 개인별 STAT'!$E:$E, $E27) + SUMIFS('4월 삼척 개인별 STAT'!Y:Y, '4월 삼척 개인별 STAT'!$D:$D, $D27, '4월 삼척 개인별 STAT'!$E:$E, $E27)</f>
        <v>2</v>
      </c>
      <c r="Z27" s="21">
        <f t="shared" si="5"/>
        <v>33</v>
      </c>
      <c r="AA27" s="20">
        <f>SUMIFS('3월 단양 개인별 STAT'!AA:AA, '3월 단양 개인별 STAT'!$D:$D, $D27, '3월 단양 개인별 STAT'!$E:$E, $E27) + SUMIFS('4월 삼척 개인별 STAT'!AA:AA, '4월 삼척 개인별 STAT'!$D:$D, $D27, '4월 삼척 개인별 STAT'!$E:$E, $E27)</f>
        <v>0</v>
      </c>
      <c r="AB27" s="21">
        <f t="shared" si="6"/>
        <v>23</v>
      </c>
      <c r="AC27" s="23">
        <f t="shared" si="7"/>
        <v>23</v>
      </c>
      <c r="AD27" s="21">
        <f t="shared" si="8"/>
        <v>46</v>
      </c>
      <c r="AE27" s="20">
        <f>SUMIFS('3월 단양 개인별 STAT'!AE:AE, '3월 단양 개인별 STAT'!$D:$D, $D27, '3월 단양 개인별 STAT'!$E:$E, $E27) + SUMIFS('4월 삼척 개인별 STAT'!AE:AE, '4월 삼척 개인별 STAT'!$D:$D, $D27, '4월 삼척 개인별 STAT'!$E:$E, $E27)</f>
        <v>42</v>
      </c>
      <c r="AF27" s="20">
        <f>SUMIFS('3월 단양 개인별 STAT'!AF:AF, '3월 단양 개인별 STAT'!$D:$D, $D27, '3월 단양 개인별 STAT'!$E:$E, $E27) + SUMIFS('4월 삼척 개인별 STAT'!AF:AF, '4월 삼척 개인별 STAT'!$D:$D, $D27, '4월 삼척 개인별 STAT'!$E:$E, $E27)</f>
        <v>4</v>
      </c>
      <c r="AG27" s="24">
        <f t="shared" si="9"/>
        <v>91.30434783</v>
      </c>
      <c r="AH27" s="20">
        <f>SUMIFS('3월 단양 개인별 STAT'!AH:AH, '3월 단양 개인별 STAT'!$D:$D, $D27, '3월 단양 개인별 STAT'!$E:$E, $E27) + SUMIFS('4월 삼척 개인별 STAT'!AH:AH, '4월 삼척 개인별 STAT'!$D:$D, $D27, '4월 삼척 개인별 STAT'!$E:$E, $E27)</f>
        <v>14</v>
      </c>
      <c r="AI27" s="22" t="str">
        <f t="shared" si="10"/>
        <v>1.40</v>
      </c>
      <c r="AJ27" s="25"/>
      <c r="AK27" s="26"/>
      <c r="AL27" s="27">
        <f t="shared" si="11"/>
        <v>1.9</v>
      </c>
      <c r="AM27" s="27">
        <f t="shared" si="30"/>
        <v>5.5</v>
      </c>
      <c r="AN27" s="28">
        <f t="shared" si="13"/>
        <v>0.3454545455</v>
      </c>
      <c r="AO27" s="27">
        <f t="shared" si="14"/>
        <v>0.2</v>
      </c>
      <c r="AP27" s="27">
        <f t="shared" si="15"/>
        <v>0.2</v>
      </c>
      <c r="AQ27" s="27">
        <f t="shared" ref="AQ27:AR27" si="41">iferror(AB27/$M27,"-")</f>
        <v>2.3</v>
      </c>
      <c r="AR27" s="27">
        <f t="shared" si="41"/>
        <v>2.3</v>
      </c>
      <c r="AS27" s="29">
        <f t="shared" si="17"/>
        <v>0.4</v>
      </c>
      <c r="AT27" s="29" t="str">
        <f t="shared" si="18"/>
        <v>1.40</v>
      </c>
      <c r="AU27" s="26"/>
      <c r="AV27" s="26"/>
      <c r="AW27" s="26"/>
      <c r="AX27" s="26"/>
    </row>
    <row r="28">
      <c r="B28" s="17">
        <v>25.0</v>
      </c>
      <c r="C28" s="18">
        <f t="shared" si="2"/>
        <v>11</v>
      </c>
      <c r="D28" s="19" t="s">
        <v>67</v>
      </c>
      <c r="E28" s="19" t="s">
        <v>78</v>
      </c>
      <c r="F28" s="19">
        <v>2.0</v>
      </c>
      <c r="G28" s="19" t="s">
        <v>47</v>
      </c>
      <c r="H28" s="19" t="s">
        <v>48</v>
      </c>
      <c r="I28" s="19">
        <v>194.0</v>
      </c>
      <c r="J28" s="19">
        <v>74.0</v>
      </c>
      <c r="K28" s="20">
        <v>12.0</v>
      </c>
      <c r="L28" s="20">
        <f>SUMIFS('3월 단양 개인별 STAT'!L:L, '3월 단양 개인별 STAT'!$D:$D, $D28, '3월 단양 개인별 STAT'!$E:$E, $E28) + SUMIFS('4월 삼척 개인별 STAT'!L:L, '4월 삼척 개인별 STAT'!$D:$D, $D28, '4월 삼척 개인별 STAT'!$E:$E, $E28)</f>
        <v>3</v>
      </c>
      <c r="M28" s="20">
        <f>SUMIFS('3월 단양 개인별 STAT'!M:M, '3월 단양 개인별 STAT'!$D:$D, $D28, '3월 단양 개인별 STAT'!$E:$E, $E28) + SUMIFS('4월 삼척 개인별 STAT'!M:M, '4월 삼척 개인별 STAT'!$D:$D, $D28, '4월 삼척 개인별 STAT'!$E:$E, $E28)</f>
        <v>11</v>
      </c>
      <c r="N28" s="20">
        <f>SUMIFS('3월 단양 개인별 STAT'!N:N, '3월 단양 개인별 STAT'!$D:$D, $D28, '3월 단양 개인별 STAT'!$E:$E, $E28) + SUMIFS('4월 삼척 개인별 STAT'!N:N, '4월 삼척 개인별 STAT'!$D:$D, $D28, '4월 삼척 개인별 STAT'!$E:$E, $E28)</f>
        <v>35</v>
      </c>
      <c r="O28" s="20">
        <f>SUMIFS('3월 단양 개인별 STAT'!O:O, '3월 단양 개인별 STAT'!$D:$D, $D28, '3월 단양 개인별 STAT'!$E:$E, $E28) + SUMIFS('4월 삼척 개인별 STAT'!O:O, '4월 삼척 개인별 STAT'!$D:$D, $D28, '4월 삼척 개인별 STAT'!$E:$E, $E28)</f>
        <v>1</v>
      </c>
      <c r="P28" s="20">
        <f>SUMIFS('3월 단양 개인별 STAT'!P:P, '3월 단양 개인별 STAT'!$D:$D, $D28, '3월 단양 개인별 STAT'!$E:$E, $E28) + SUMIFS('4월 삼척 개인별 STAT'!P:P, '4월 삼척 개인별 STAT'!$D:$D, $D28, '4월 삼척 개인별 STAT'!$E:$E, $E28)</f>
        <v>22</v>
      </c>
      <c r="Q28" s="20">
        <f>SUMIFS('3월 단양 개인별 STAT'!Q:Q, '3월 단양 개인별 STAT'!$D:$D, $D28, '3월 단양 개인별 STAT'!$E:$E, $E28) + SUMIFS('4월 삼척 개인별 STAT'!Q:Q, '4월 삼척 개인별 STAT'!$D:$D, $D28, '4월 삼척 개인별 STAT'!$E:$E, $E28)</f>
        <v>3</v>
      </c>
      <c r="R28" s="21">
        <f t="shared" si="3"/>
        <v>60</v>
      </c>
      <c r="S28" s="22">
        <f t="shared" si="4"/>
        <v>0.53</v>
      </c>
      <c r="T28" s="20">
        <f>SUMIFS('3월 단양 개인별 STAT'!T:T, '3월 단양 개인별 STAT'!$D:$D, $D28, '3월 단양 개인별 STAT'!$E:$E, $E28) + SUMIFS('4월 삼척 개인별 STAT'!T:T, '4월 삼척 개인별 STAT'!$D:$D, $D28, '4월 삼척 개인별 STAT'!$E:$E, $E28)</f>
        <v>9</v>
      </c>
      <c r="U28" s="20">
        <f>SUMIFS('3월 단양 개인별 STAT'!U:U, '3월 단양 개인별 STAT'!$D:$D, $D28, '3월 단양 개인별 STAT'!$E:$E, $E28) + SUMIFS('4월 삼척 개인별 STAT'!U:U, '4월 삼척 개인별 STAT'!$D:$D, $D28, '4월 삼척 개인별 STAT'!$E:$E, $E28)</f>
        <v>1</v>
      </c>
      <c r="V28" s="20">
        <f>SUMIFS('3월 단양 개인별 STAT'!V:V, '3월 단양 개인별 STAT'!$D:$D, $D28, '3월 단양 개인별 STAT'!$E:$E, $E28) + SUMIFS('4월 삼척 개인별 STAT'!V:V, '4월 삼척 개인별 STAT'!$D:$D, $D28, '4월 삼척 개인별 STAT'!$E:$E, $E28)</f>
        <v>3</v>
      </c>
      <c r="W28" s="20">
        <f>SUMIFS('3월 단양 개인별 STAT'!W:W, '3월 단양 개인별 STAT'!$D:$D, $D28, '3월 단양 개인별 STAT'!$E:$E, $E28) + SUMIFS('4월 삼척 개인별 STAT'!W:W, '4월 삼척 개인별 STAT'!$D:$D, $D28, '4월 삼척 개인별 STAT'!$E:$E, $E28)</f>
        <v>41</v>
      </c>
      <c r="X28" s="20">
        <f>SUMIFS('3월 단양 개인별 STAT'!X:X, '3월 단양 개인별 STAT'!$D:$D, $D28, '3월 단양 개인별 STAT'!$E:$E, $E28) + SUMIFS('4월 삼척 개인별 STAT'!X:X, '4월 삼척 개인별 STAT'!$D:$D, $D28, '4월 삼척 개인별 STAT'!$E:$E, $E28)</f>
        <v>6</v>
      </c>
      <c r="Y28" s="20">
        <f>SUMIFS('3월 단양 개인별 STAT'!Y:Y, '3월 단양 개인별 STAT'!$D:$D, $D28, '3월 단양 개인별 STAT'!$E:$E, $E28) + SUMIFS('4월 삼척 개인별 STAT'!Y:Y, '4월 삼척 개인별 STAT'!$D:$D, $D28, '4월 삼척 개인별 STAT'!$E:$E, $E28)</f>
        <v>2</v>
      </c>
      <c r="Z28" s="21">
        <f t="shared" si="5"/>
        <v>49</v>
      </c>
      <c r="AA28" s="20">
        <f>SUMIFS('3월 단양 개인별 STAT'!AA:AA, '3월 단양 개인별 STAT'!$D:$D, $D28, '3월 단양 개인별 STAT'!$E:$E, $E28) + SUMIFS('4월 삼척 개인별 STAT'!AA:AA, '4월 삼척 개인별 STAT'!$D:$D, $D28, '4월 삼척 개인별 STAT'!$E:$E, $E28)</f>
        <v>0</v>
      </c>
      <c r="AB28" s="21">
        <f t="shared" si="6"/>
        <v>50</v>
      </c>
      <c r="AC28" s="23">
        <f t="shared" si="7"/>
        <v>52.25</v>
      </c>
      <c r="AD28" s="21">
        <f t="shared" si="8"/>
        <v>14</v>
      </c>
      <c r="AE28" s="20">
        <f>SUMIFS('3월 단양 개인별 STAT'!AE:AE, '3월 단양 개인별 STAT'!$D:$D, $D28, '3월 단양 개인별 STAT'!$E:$E, $E28) + SUMIFS('4월 삼척 개인별 STAT'!AE:AE, '4월 삼척 개인별 STAT'!$D:$D, $D28, '4월 삼척 개인별 STAT'!$E:$E, $E28)</f>
        <v>14</v>
      </c>
      <c r="AF28" s="20">
        <f>SUMIFS('3월 단양 개인별 STAT'!AF:AF, '3월 단양 개인별 STAT'!$D:$D, $D28, '3월 단양 개인별 STAT'!$E:$E, $E28) + SUMIFS('4월 삼척 개인별 STAT'!AF:AF, '4월 삼척 개인별 STAT'!$D:$D, $D28, '4월 삼척 개인별 STAT'!$E:$E, $E28)</f>
        <v>0</v>
      </c>
      <c r="AG28" s="24">
        <f t="shared" si="9"/>
        <v>100</v>
      </c>
      <c r="AH28" s="20">
        <f>SUMIFS('3월 단양 개인별 STAT'!AH:AH, '3월 단양 개인별 STAT'!$D:$D, $D28, '3월 단양 개인별 STAT'!$E:$E, $E28) + SUMIFS('4월 삼척 개인별 STAT'!AH:AH, '4월 삼척 개인별 STAT'!$D:$D, $D28, '4월 삼척 개인별 STAT'!$E:$E, $E28)</f>
        <v>6</v>
      </c>
      <c r="AI28" s="22" t="str">
        <f t="shared" si="10"/>
        <v>0.55</v>
      </c>
      <c r="AJ28" s="25"/>
      <c r="AK28" s="26"/>
      <c r="AL28" s="27">
        <f t="shared" si="11"/>
        <v>3.181818182</v>
      </c>
      <c r="AM28" s="27">
        <f t="shared" si="30"/>
        <v>5.454545455</v>
      </c>
      <c r="AN28" s="28">
        <f t="shared" si="13"/>
        <v>0.5833333333</v>
      </c>
      <c r="AO28" s="27">
        <f t="shared" si="14"/>
        <v>0.8181818182</v>
      </c>
      <c r="AP28" s="27">
        <f t="shared" si="15"/>
        <v>0.5454545455</v>
      </c>
      <c r="AQ28" s="27">
        <f t="shared" ref="AQ28:AR28" si="42">iferror(AB28/$M28,"-")</f>
        <v>4.545454545</v>
      </c>
      <c r="AR28" s="27">
        <f t="shared" si="42"/>
        <v>4.75</v>
      </c>
      <c r="AS28" s="29">
        <f t="shared" si="17"/>
        <v>0</v>
      </c>
      <c r="AT28" s="29" t="str">
        <f t="shared" si="18"/>
        <v>0.55</v>
      </c>
      <c r="AU28" s="26"/>
      <c r="AV28" s="26"/>
      <c r="AW28" s="26"/>
      <c r="AX28" s="26"/>
    </row>
    <row r="29">
      <c r="B29" s="17">
        <v>26.0</v>
      </c>
      <c r="C29" s="18">
        <f t="shared" si="2"/>
        <v>12</v>
      </c>
      <c r="D29" s="19" t="s">
        <v>67</v>
      </c>
      <c r="E29" s="19" t="s">
        <v>79</v>
      </c>
      <c r="F29" s="19">
        <v>2.0</v>
      </c>
      <c r="G29" s="19" t="s">
        <v>47</v>
      </c>
      <c r="H29" s="19" t="s">
        <v>48</v>
      </c>
      <c r="I29" s="19">
        <v>180.0</v>
      </c>
      <c r="J29" s="19">
        <v>68.0</v>
      </c>
      <c r="K29" s="20">
        <v>14.0</v>
      </c>
      <c r="L29" s="20">
        <f>SUMIFS('3월 단양 개인별 STAT'!L:L, '3월 단양 개인별 STAT'!$D:$D, $D29, '3월 단양 개인별 STAT'!$E:$E, $E29) + SUMIFS('4월 삼척 개인별 STAT'!L:L, '4월 삼척 개인별 STAT'!$D:$D, $D29, '4월 삼척 개인별 STAT'!$E:$E, $E29)</f>
        <v>3</v>
      </c>
      <c r="M29" s="20">
        <f>SUMIFS('3월 단양 개인별 STAT'!M:M, '3월 단양 개인별 STAT'!$D:$D, $D29, '3월 단양 개인별 STAT'!$E:$E, $E29) + SUMIFS('4월 삼척 개인별 STAT'!M:M, '4월 삼척 개인별 STAT'!$D:$D, $D29, '4월 삼척 개인별 STAT'!$E:$E, $E29)</f>
        <v>11</v>
      </c>
      <c r="N29" s="20">
        <f>SUMIFS('3월 단양 개인별 STAT'!N:N, '3월 단양 개인별 STAT'!$D:$D, $D29, '3월 단양 개인별 STAT'!$E:$E, $E29) + SUMIFS('4월 삼척 개인별 STAT'!N:N, '4월 삼척 개인별 STAT'!$D:$D, $D29, '4월 삼척 개인별 STAT'!$E:$E, $E29)</f>
        <v>14</v>
      </c>
      <c r="O29" s="20">
        <f>SUMIFS('3월 단양 개인별 STAT'!O:O, '3월 단양 개인별 STAT'!$D:$D, $D29, '3월 단양 개인별 STAT'!$E:$E, $E29) + SUMIFS('4월 삼척 개인별 STAT'!O:O, '4월 삼척 개인별 STAT'!$D:$D, $D29, '4월 삼척 개인별 STAT'!$E:$E, $E29)</f>
        <v>1</v>
      </c>
      <c r="P29" s="20">
        <f>SUMIFS('3월 단양 개인별 STAT'!P:P, '3월 단양 개인별 STAT'!$D:$D, $D29, '3월 단양 개인별 STAT'!$E:$E, $E29) + SUMIFS('4월 삼척 개인별 STAT'!P:P, '4월 삼척 개인별 STAT'!$D:$D, $D29, '4월 삼척 개인별 STAT'!$E:$E, $E29)</f>
        <v>15</v>
      </c>
      <c r="Q29" s="20">
        <f>SUMIFS('3월 단양 개인별 STAT'!Q:Q, '3월 단양 개인별 STAT'!$D:$D, $D29, '3월 단양 개인별 STAT'!$E:$E, $E29) + SUMIFS('4월 삼척 개인별 STAT'!Q:Q, '4월 삼척 개인별 STAT'!$D:$D, $D29, '4월 삼척 개인별 STAT'!$E:$E, $E29)</f>
        <v>8</v>
      </c>
      <c r="R29" s="21">
        <f t="shared" si="3"/>
        <v>37</v>
      </c>
      <c r="S29" s="22">
        <f t="shared" si="4"/>
        <v>0.16</v>
      </c>
      <c r="T29" s="20">
        <f>SUMIFS('3월 단양 개인별 STAT'!T:T, '3월 단양 개인별 STAT'!$D:$D, $D29, '3월 단양 개인별 STAT'!$E:$E, $E29) + SUMIFS('4월 삼척 개인별 STAT'!T:T, '4월 삼척 개인별 STAT'!$D:$D, $D29, '4월 삼척 개인별 STAT'!$E:$E, $E29)</f>
        <v>3</v>
      </c>
      <c r="U29" s="20">
        <f>SUMIFS('3월 단양 개인별 STAT'!U:U, '3월 단양 개인별 STAT'!$D:$D, $D29, '3월 단양 개인별 STAT'!$E:$E, $E29) + SUMIFS('4월 삼척 개인별 STAT'!U:U, '4월 삼척 개인별 STAT'!$D:$D, $D29, '4월 삼척 개인별 STAT'!$E:$E, $E29)</f>
        <v>0</v>
      </c>
      <c r="V29" s="20">
        <f>SUMIFS('3월 단양 개인별 STAT'!V:V, '3월 단양 개인별 STAT'!$D:$D, $D29, '3월 단양 개인별 STAT'!$E:$E, $E29) + SUMIFS('4월 삼척 개인별 STAT'!V:V, '4월 삼척 개인별 STAT'!$D:$D, $D29, '4월 삼척 개인별 STAT'!$E:$E, $E29)</f>
        <v>8</v>
      </c>
      <c r="W29" s="20">
        <f>SUMIFS('3월 단양 개인별 STAT'!W:W, '3월 단양 개인별 STAT'!$D:$D, $D29, '3월 단양 개인별 STAT'!$E:$E, $E29) + SUMIFS('4월 삼척 개인별 STAT'!W:W, '4월 삼척 개인별 STAT'!$D:$D, $D29, '4월 삼척 개인별 STAT'!$E:$E, $E29)</f>
        <v>29</v>
      </c>
      <c r="X29" s="20">
        <f>SUMIFS('3월 단양 개인별 STAT'!X:X, '3월 단양 개인별 STAT'!$D:$D, $D29, '3월 단양 개인별 STAT'!$E:$E, $E29) + SUMIFS('4월 삼척 개인별 STAT'!X:X, '4월 삼척 개인별 STAT'!$D:$D, $D29, '4월 삼척 개인별 STAT'!$E:$E, $E29)</f>
        <v>6</v>
      </c>
      <c r="Y29" s="20">
        <f>SUMIFS('3월 단양 개인별 STAT'!Y:Y, '3월 단양 개인별 STAT'!$D:$D, $D29, '3월 단양 개인별 STAT'!$E:$E, $E29) + SUMIFS('4월 삼척 개인별 STAT'!Y:Y, '4월 삼척 개인별 STAT'!$D:$D, $D29, '4월 삼척 개인별 STAT'!$E:$E, $E29)</f>
        <v>2</v>
      </c>
      <c r="Z29" s="21">
        <f t="shared" si="5"/>
        <v>37</v>
      </c>
      <c r="AA29" s="20">
        <f>SUMIFS('3월 단양 개인별 STAT'!AA:AA, '3월 단양 개인별 STAT'!$D:$D, $D29, '3월 단양 개인별 STAT'!$E:$E, $E29) + SUMIFS('4월 삼척 개인별 STAT'!AA:AA, '4월 삼척 개인별 STAT'!$D:$D, $D29, '4월 삼척 개인별 STAT'!$E:$E, $E29)</f>
        <v>0</v>
      </c>
      <c r="AB29" s="21">
        <f t="shared" si="6"/>
        <v>23</v>
      </c>
      <c r="AC29" s="23">
        <f t="shared" si="7"/>
        <v>29</v>
      </c>
      <c r="AD29" s="21">
        <f t="shared" si="8"/>
        <v>1</v>
      </c>
      <c r="AE29" s="20">
        <f>SUMIFS('3월 단양 개인별 STAT'!AE:AE, '3월 단양 개인별 STAT'!$D:$D, $D29, '3월 단양 개인별 STAT'!$E:$E, $E29) + SUMIFS('4월 삼척 개인별 STAT'!AE:AE, '4월 삼척 개인별 STAT'!$D:$D, $D29, '4월 삼척 개인별 STAT'!$E:$E, $E29)</f>
        <v>1</v>
      </c>
      <c r="AF29" s="20">
        <f>SUMIFS('3월 단양 개인별 STAT'!AF:AF, '3월 단양 개인별 STAT'!$D:$D, $D29, '3월 단양 개인별 STAT'!$E:$E, $E29) + SUMIFS('4월 삼척 개인별 STAT'!AF:AF, '4월 삼척 개인별 STAT'!$D:$D, $D29, '4월 삼척 개인별 STAT'!$E:$E, $E29)</f>
        <v>0</v>
      </c>
      <c r="AG29" s="24">
        <f t="shared" si="9"/>
        <v>100</v>
      </c>
      <c r="AH29" s="20">
        <f>SUMIFS('3월 단양 개인별 STAT'!AH:AH, '3월 단양 개인별 STAT'!$D:$D, $D29, '3월 단양 개인별 STAT'!$E:$E, $E29) + SUMIFS('4월 삼척 개인별 STAT'!AH:AH, '4월 삼척 개인별 STAT'!$D:$D, $D29, '4월 삼척 개인별 STAT'!$E:$E, $E29)</f>
        <v>7</v>
      </c>
      <c r="AI29" s="22" t="str">
        <f t="shared" si="10"/>
        <v>0.64</v>
      </c>
      <c r="AJ29" s="25"/>
      <c r="AK29" s="26"/>
      <c r="AL29" s="27">
        <f t="shared" si="11"/>
        <v>1.272727273</v>
      </c>
      <c r="AM29" s="27">
        <f t="shared" si="30"/>
        <v>3.363636364</v>
      </c>
      <c r="AN29" s="28">
        <f t="shared" si="13"/>
        <v>0.3783783784</v>
      </c>
      <c r="AO29" s="27">
        <f t="shared" si="14"/>
        <v>0.2727272727</v>
      </c>
      <c r="AP29" s="27">
        <f t="shared" si="15"/>
        <v>0.5454545455</v>
      </c>
      <c r="AQ29" s="27">
        <f t="shared" ref="AQ29:AR29" si="43">iferror(AB29/$M29,"-")</f>
        <v>2.090909091</v>
      </c>
      <c r="AR29" s="27">
        <f t="shared" si="43"/>
        <v>2.636363636</v>
      </c>
      <c r="AS29" s="29">
        <f t="shared" si="17"/>
        <v>0</v>
      </c>
      <c r="AT29" s="29" t="str">
        <f t="shared" si="18"/>
        <v>0.64</v>
      </c>
      <c r="AU29" s="26"/>
      <c r="AV29" s="26"/>
      <c r="AW29" s="26"/>
      <c r="AX29" s="26"/>
    </row>
    <row r="30">
      <c r="B30" s="17">
        <v>27.0</v>
      </c>
      <c r="C30" s="18">
        <f t="shared" si="2"/>
        <v>13</v>
      </c>
      <c r="D30" s="19" t="s">
        <v>67</v>
      </c>
      <c r="E30" s="19" t="s">
        <v>80</v>
      </c>
      <c r="F30" s="19">
        <v>1.0</v>
      </c>
      <c r="G30" s="19" t="s">
        <v>47</v>
      </c>
      <c r="H30" s="19" t="s">
        <v>48</v>
      </c>
      <c r="I30" s="19">
        <v>180.0</v>
      </c>
      <c r="J30" s="19">
        <v>73.0</v>
      </c>
      <c r="K30" s="20">
        <v>15.0</v>
      </c>
      <c r="L30" s="20">
        <f>SUMIFS('3월 단양 개인별 STAT'!L:L, '3월 단양 개인별 STAT'!$D:$D, $D30, '3월 단양 개인별 STAT'!$E:$E, $E30) + SUMIFS('4월 삼척 개인별 STAT'!L:L, '4월 삼척 개인별 STAT'!$D:$D, $D30, '4월 삼척 개인별 STAT'!$E:$E, $E30)</f>
        <v>0</v>
      </c>
      <c r="M30" s="20">
        <f>SUMIFS('3월 단양 개인별 STAT'!M:M, '3월 단양 개인별 STAT'!$D:$D, $D30, '3월 단양 개인별 STAT'!$E:$E, $E30) + SUMIFS('4월 삼척 개인별 STAT'!M:M, '4월 삼척 개인별 STAT'!$D:$D, $D30, '4월 삼척 개인별 STAT'!$E:$E, $E30)</f>
        <v>0</v>
      </c>
      <c r="N30" s="20">
        <f>SUMIFS('3월 단양 개인별 STAT'!N:N, '3월 단양 개인별 STAT'!$D:$D, $D30, '3월 단양 개인별 STAT'!$E:$E, $E30) + SUMIFS('4월 삼척 개인별 STAT'!N:N, '4월 삼척 개인별 STAT'!$D:$D, $D30, '4월 삼척 개인별 STAT'!$E:$E, $E30)</f>
        <v>0</v>
      </c>
      <c r="O30" s="20">
        <f>SUMIFS('3월 단양 개인별 STAT'!O:O, '3월 단양 개인별 STAT'!$D:$D, $D30, '3월 단양 개인별 STAT'!$E:$E, $E30) + SUMIFS('4월 삼척 개인별 STAT'!O:O, '4월 삼척 개인별 STAT'!$D:$D, $D30, '4월 삼척 개인별 STAT'!$E:$E, $E30)</f>
        <v>0</v>
      </c>
      <c r="P30" s="20">
        <f>SUMIFS('3월 단양 개인별 STAT'!P:P, '3월 단양 개인별 STAT'!$D:$D, $D30, '3월 단양 개인별 STAT'!$E:$E, $E30) + SUMIFS('4월 삼척 개인별 STAT'!P:P, '4월 삼척 개인별 STAT'!$D:$D, $D30, '4월 삼척 개인별 STAT'!$E:$E, $E30)</f>
        <v>0</v>
      </c>
      <c r="Q30" s="20">
        <f>SUMIFS('3월 단양 개인별 STAT'!Q:Q, '3월 단양 개인별 STAT'!$D:$D, $D30, '3월 단양 개인별 STAT'!$E:$E, $E30) + SUMIFS('4월 삼척 개인별 STAT'!Q:Q, '4월 삼척 개인별 STAT'!$D:$D, $D30, '4월 삼척 개인별 STAT'!$E:$E, $E30)</f>
        <v>0</v>
      </c>
      <c r="R30" s="30" t="str">
        <f t="shared" si="3"/>
        <v>-</v>
      </c>
      <c r="S30" s="22" t="str">
        <f t="shared" si="4"/>
        <v>-</v>
      </c>
      <c r="T30" s="20">
        <f>SUMIFS('3월 단양 개인별 STAT'!T:T, '3월 단양 개인별 STAT'!$D:$D, $D30, '3월 단양 개인별 STAT'!$E:$E, $E30) + SUMIFS('4월 삼척 개인별 STAT'!T:T, '4월 삼척 개인별 STAT'!$D:$D, $D30, '4월 삼척 개인별 STAT'!$E:$E, $E30)</f>
        <v>0</v>
      </c>
      <c r="U30" s="20">
        <f>SUMIFS('3월 단양 개인별 STAT'!U:U, '3월 단양 개인별 STAT'!$D:$D, $D30, '3월 단양 개인별 STAT'!$E:$E, $E30) + SUMIFS('4월 삼척 개인별 STAT'!U:U, '4월 삼척 개인별 STAT'!$D:$D, $D30, '4월 삼척 개인별 STAT'!$E:$E, $E30)</f>
        <v>0</v>
      </c>
      <c r="V30" s="20">
        <f>SUMIFS('3월 단양 개인별 STAT'!V:V, '3월 단양 개인별 STAT'!$D:$D, $D30, '3월 단양 개인별 STAT'!$E:$E, $E30) + SUMIFS('4월 삼척 개인별 STAT'!V:V, '4월 삼척 개인별 STAT'!$D:$D, $D30, '4월 삼척 개인별 STAT'!$E:$E, $E30)</f>
        <v>0</v>
      </c>
      <c r="W30" s="20">
        <f>SUMIFS('3월 단양 개인별 STAT'!W:W, '3월 단양 개인별 STAT'!$D:$D, $D30, '3월 단양 개인별 STAT'!$E:$E, $E30) + SUMIFS('4월 삼척 개인별 STAT'!W:W, '4월 삼척 개인별 STAT'!$D:$D, $D30, '4월 삼척 개인별 STAT'!$E:$E, $E30)</f>
        <v>0</v>
      </c>
      <c r="X30" s="20">
        <f>SUMIFS('3월 단양 개인별 STAT'!X:X, '3월 단양 개인별 STAT'!$D:$D, $D30, '3월 단양 개인별 STAT'!$E:$E, $E30) + SUMIFS('4월 삼척 개인별 STAT'!X:X, '4월 삼척 개인별 STAT'!$D:$D, $D30, '4월 삼척 개인별 STAT'!$E:$E, $E30)</f>
        <v>0</v>
      </c>
      <c r="Y30" s="20">
        <f>SUMIFS('3월 단양 개인별 STAT'!Y:Y, '3월 단양 개인별 STAT'!$D:$D, $D30, '3월 단양 개인별 STAT'!$E:$E, $E30) + SUMIFS('4월 삼척 개인별 STAT'!Y:Y, '4월 삼척 개인별 STAT'!$D:$D, $D30, '4월 삼척 개인별 STAT'!$E:$E, $E30)</f>
        <v>0</v>
      </c>
      <c r="Z30" s="30" t="str">
        <f t="shared" si="5"/>
        <v>-</v>
      </c>
      <c r="AA30" s="20">
        <f>SUMIFS('3월 단양 개인별 STAT'!AA:AA, '3월 단양 개인별 STAT'!$D:$D, $D30, '3월 단양 개인별 STAT'!$E:$E, $E30) + SUMIFS('4월 삼척 개인별 STAT'!AA:AA, '4월 삼척 개인별 STAT'!$D:$D, $D30, '4월 삼척 개인별 STAT'!$E:$E, $E30)</f>
        <v>0</v>
      </c>
      <c r="AB30" s="30" t="str">
        <f t="shared" si="6"/>
        <v>-</v>
      </c>
      <c r="AC30" s="23">
        <f t="shared" si="7"/>
        <v>0</v>
      </c>
      <c r="AD30" s="30" t="str">
        <f t="shared" si="8"/>
        <v>-</v>
      </c>
      <c r="AE30" s="20">
        <f>SUMIFS('3월 단양 개인별 STAT'!AE:AE, '3월 단양 개인별 STAT'!$D:$D, $D30, '3월 단양 개인별 STAT'!$E:$E, $E30) + SUMIFS('4월 삼척 개인별 STAT'!AE:AE, '4월 삼척 개인별 STAT'!$D:$D, $D30, '4월 삼척 개인별 STAT'!$E:$E, $E30)</f>
        <v>0</v>
      </c>
      <c r="AF30" s="20">
        <f>SUMIFS('3월 단양 개인별 STAT'!AF:AF, '3월 단양 개인별 STAT'!$D:$D, $D30, '3월 단양 개인별 STAT'!$E:$E, $E30) + SUMIFS('4월 삼척 개인별 STAT'!AF:AF, '4월 삼척 개인별 STAT'!$D:$D, $D30, '4월 삼척 개인별 STAT'!$E:$E, $E30)</f>
        <v>0</v>
      </c>
      <c r="AG30" s="24" t="str">
        <f t="shared" si="9"/>
        <v>-</v>
      </c>
      <c r="AH30" s="20">
        <f>SUMIFS('3월 단양 개인별 STAT'!AH:AH, '3월 단양 개인별 STAT'!$D:$D, $D30, '3월 단양 개인별 STAT'!$E:$E, $E30) + SUMIFS('4월 삼척 개인별 STAT'!AH:AH, '4월 삼척 개인별 STAT'!$D:$D, $D30, '4월 삼척 개인별 STAT'!$E:$E, $E30)</f>
        <v>0</v>
      </c>
      <c r="AI30" s="22" t="str">
        <f t="shared" si="10"/>
        <v>-</v>
      </c>
      <c r="AJ30" s="25"/>
      <c r="AK30" s="26"/>
      <c r="AL30" s="27" t="str">
        <f t="shared" si="11"/>
        <v>-</v>
      </c>
      <c r="AM30" s="27" t="str">
        <f t="shared" si="30"/>
        <v>-</v>
      </c>
      <c r="AN30" s="28" t="str">
        <f t="shared" si="13"/>
        <v>-</v>
      </c>
      <c r="AO30" s="27" t="str">
        <f t="shared" si="14"/>
        <v>-</v>
      </c>
      <c r="AP30" s="27" t="str">
        <f t="shared" si="15"/>
        <v>-</v>
      </c>
      <c r="AQ30" s="27" t="str">
        <f t="shared" ref="AQ30:AR30" si="44">iferror(AB30/$M30,"-")</f>
        <v>-</v>
      </c>
      <c r="AR30" s="27" t="str">
        <f t="shared" si="44"/>
        <v>-</v>
      </c>
      <c r="AS30" s="29" t="str">
        <f t="shared" si="17"/>
        <v>-</v>
      </c>
      <c r="AT30" s="29" t="str">
        <f t="shared" si="18"/>
        <v>-</v>
      </c>
      <c r="AU30" s="26"/>
      <c r="AV30" s="26"/>
      <c r="AW30" s="26"/>
      <c r="AX30" s="26"/>
    </row>
    <row r="31">
      <c r="B31" s="17">
        <v>28.0</v>
      </c>
      <c r="C31" s="18">
        <f t="shared" si="2"/>
        <v>14</v>
      </c>
      <c r="D31" s="19" t="s">
        <v>67</v>
      </c>
      <c r="E31" s="19" t="s">
        <v>81</v>
      </c>
      <c r="F31" s="19">
        <v>2.0</v>
      </c>
      <c r="G31" s="19" t="s">
        <v>50</v>
      </c>
      <c r="H31" s="19" t="s">
        <v>48</v>
      </c>
      <c r="I31" s="19">
        <v>169.0</v>
      </c>
      <c r="J31" s="19">
        <v>62.0</v>
      </c>
      <c r="K31" s="20">
        <v>17.0</v>
      </c>
      <c r="L31" s="20">
        <f>SUMIFS('3월 단양 개인별 STAT'!L:L, '3월 단양 개인별 STAT'!$D:$D, $D31, '3월 단양 개인별 STAT'!$E:$E, $E31) + SUMIFS('4월 삼척 개인별 STAT'!L:L, '4월 삼척 개인별 STAT'!$D:$D, $D31, '4월 삼척 개인별 STAT'!$E:$E, $E31)</f>
        <v>3</v>
      </c>
      <c r="M31" s="20">
        <f>SUMIFS('3월 단양 개인별 STAT'!M:M, '3월 단양 개인별 STAT'!$D:$D, $D31, '3월 단양 개인별 STAT'!$E:$E, $E31) + SUMIFS('4월 삼척 개인별 STAT'!M:M, '4월 삼척 개인별 STAT'!$D:$D, $D31, '4월 삼척 개인별 STAT'!$E:$E, $E31)</f>
        <v>9</v>
      </c>
      <c r="N31" s="20">
        <f>SUMIFS('3월 단양 개인별 STAT'!N:N, '3월 단양 개인별 STAT'!$D:$D, $D31, '3월 단양 개인별 STAT'!$E:$E, $E31) + SUMIFS('4월 삼척 개인별 STAT'!N:N, '4월 삼척 개인별 STAT'!$D:$D, $D31, '4월 삼척 개인별 STAT'!$E:$E, $E31)</f>
        <v>1</v>
      </c>
      <c r="O31" s="20">
        <f>SUMIFS('3월 단양 개인별 STAT'!O:O, '3월 단양 개인별 STAT'!$D:$D, $D31, '3월 단양 개인별 STAT'!$E:$E, $E31) + SUMIFS('4월 삼척 개인별 STAT'!O:O, '4월 삼척 개인별 STAT'!$D:$D, $D31, '4월 삼척 개인별 STAT'!$E:$E, $E31)</f>
        <v>3</v>
      </c>
      <c r="P31" s="20">
        <f>SUMIFS('3월 단양 개인별 STAT'!P:P, '3월 단양 개인별 STAT'!$D:$D, $D31, '3월 단양 개인별 STAT'!$E:$E, $E31) + SUMIFS('4월 삼척 개인별 STAT'!P:P, '4월 삼척 개인별 STAT'!$D:$D, $D31, '4월 삼척 개인별 STAT'!$E:$E, $E31)</f>
        <v>0</v>
      </c>
      <c r="Q31" s="20">
        <f>SUMIFS('3월 단양 개인별 STAT'!Q:Q, '3월 단양 개인별 STAT'!$D:$D, $D31, '3월 단양 개인별 STAT'!$E:$E, $E31) + SUMIFS('4월 삼척 개인별 STAT'!Q:Q, '4월 삼척 개인별 STAT'!$D:$D, $D31, '4월 삼척 개인별 STAT'!$E:$E, $E31)</f>
        <v>2</v>
      </c>
      <c r="R31" s="21">
        <f t="shared" si="3"/>
        <v>3</v>
      </c>
      <c r="S31" s="22">
        <f t="shared" si="4"/>
        <v>-0.33</v>
      </c>
      <c r="T31" s="20">
        <f>SUMIFS('3월 단양 개인별 STAT'!T:T, '3월 단양 개인별 STAT'!$D:$D, $D31, '3월 단양 개인별 STAT'!$E:$E, $E31) + SUMIFS('4월 삼척 개인별 STAT'!T:T, '4월 삼척 개인별 STAT'!$D:$D, $D31, '4월 삼척 개인별 STAT'!$E:$E, $E31)</f>
        <v>0</v>
      </c>
      <c r="U31" s="20">
        <f>SUMIFS('3월 단양 개인별 STAT'!U:U, '3월 단양 개인별 STAT'!$D:$D, $D31, '3월 단양 개인별 STAT'!$E:$E, $E31) + SUMIFS('4월 삼척 개인별 STAT'!U:U, '4월 삼척 개인별 STAT'!$D:$D, $D31, '4월 삼척 개인별 STAT'!$E:$E, $E31)</f>
        <v>0</v>
      </c>
      <c r="V31" s="20">
        <f>SUMIFS('3월 단양 개인별 STAT'!V:V, '3월 단양 개인별 STAT'!$D:$D, $D31, '3월 단양 개인별 STAT'!$E:$E, $E31) + SUMIFS('4월 삼척 개인별 STAT'!V:V, '4월 삼척 개인별 STAT'!$D:$D, $D31, '4월 삼척 개인별 STAT'!$E:$E, $E31)</f>
        <v>0</v>
      </c>
      <c r="W31" s="20">
        <f>SUMIFS('3월 단양 개인별 STAT'!W:W, '3월 단양 개인별 STAT'!$D:$D, $D31, '3월 단양 개인별 STAT'!$E:$E, $E31) + SUMIFS('4월 삼척 개인별 STAT'!W:W, '4월 삼척 개인별 STAT'!$D:$D, $D31, '4월 삼척 개인별 STAT'!$E:$E, $E31)</f>
        <v>7</v>
      </c>
      <c r="X31" s="20">
        <f>SUMIFS('3월 단양 개인별 STAT'!X:X, '3월 단양 개인별 STAT'!$D:$D, $D31, '3월 단양 개인별 STAT'!$E:$E, $E31) + SUMIFS('4월 삼척 개인별 STAT'!X:X, '4월 삼척 개인별 STAT'!$D:$D, $D31, '4월 삼척 개인별 STAT'!$E:$E, $E31)</f>
        <v>0</v>
      </c>
      <c r="Y31" s="20">
        <f>SUMIFS('3월 단양 개인별 STAT'!Y:Y, '3월 단양 개인별 STAT'!$D:$D, $D31, '3월 단양 개인별 STAT'!$E:$E, $E31) + SUMIFS('4월 삼척 개인별 STAT'!Y:Y, '4월 삼척 개인별 STAT'!$D:$D, $D31, '4월 삼척 개인별 STAT'!$E:$E, $E31)</f>
        <v>0</v>
      </c>
      <c r="Z31" s="21">
        <f t="shared" si="5"/>
        <v>7</v>
      </c>
      <c r="AA31" s="20">
        <f>SUMIFS('3월 단양 개인별 STAT'!AA:AA, '3월 단양 개인별 STAT'!$D:$D, $D31, '3월 단양 개인별 STAT'!$E:$E, $E31) + SUMIFS('4월 삼척 개인별 STAT'!AA:AA, '4월 삼척 개인별 STAT'!$D:$D, $D31, '4월 삼척 개인별 STAT'!$E:$E, $E31)</f>
        <v>0</v>
      </c>
      <c r="AB31" s="21">
        <f t="shared" si="6"/>
        <v>1</v>
      </c>
      <c r="AC31" s="23">
        <f t="shared" si="7"/>
        <v>1</v>
      </c>
      <c r="AD31" s="21">
        <f t="shared" si="8"/>
        <v>32</v>
      </c>
      <c r="AE31" s="20">
        <f>SUMIFS('3월 단양 개인별 STAT'!AE:AE, '3월 단양 개인별 STAT'!$D:$D, $D31, '3월 단양 개인별 STAT'!$E:$E, $E31) + SUMIFS('4월 삼척 개인별 STAT'!AE:AE, '4월 삼척 개인별 STAT'!$D:$D, $D31, '4월 삼척 개인별 STAT'!$E:$E, $E31)</f>
        <v>31</v>
      </c>
      <c r="AF31" s="20">
        <f>SUMIFS('3월 단양 개인별 STAT'!AF:AF, '3월 단양 개인별 STAT'!$D:$D, $D31, '3월 단양 개인별 STAT'!$E:$E, $E31) + SUMIFS('4월 삼척 개인별 STAT'!AF:AF, '4월 삼척 개인별 STAT'!$D:$D, $D31, '4월 삼척 개인별 STAT'!$E:$E, $E31)</f>
        <v>1</v>
      </c>
      <c r="AG31" s="24">
        <f t="shared" si="9"/>
        <v>96.875</v>
      </c>
      <c r="AH31" s="20">
        <f>SUMIFS('3월 단양 개인별 STAT'!AH:AH, '3월 단양 개인별 STAT'!$D:$D, $D31, '3월 단양 개인별 STAT'!$E:$E, $E31) + SUMIFS('4월 삼척 개인별 STAT'!AH:AH, '4월 삼척 개인별 STAT'!$D:$D, $D31, '4월 삼척 개인별 STAT'!$E:$E, $E31)</f>
        <v>15</v>
      </c>
      <c r="AI31" s="22" t="str">
        <f t="shared" si="10"/>
        <v>1.67</v>
      </c>
      <c r="AJ31" s="25"/>
      <c r="AK31" s="26"/>
      <c r="AL31" s="27">
        <f t="shared" si="11"/>
        <v>0.1111111111</v>
      </c>
      <c r="AM31" s="27">
        <f t="shared" si="30"/>
        <v>0.3333333333</v>
      </c>
      <c r="AN31" s="28">
        <f t="shared" si="13"/>
        <v>0.3333333333</v>
      </c>
      <c r="AO31" s="27">
        <f t="shared" si="14"/>
        <v>0</v>
      </c>
      <c r="AP31" s="27">
        <f t="shared" si="15"/>
        <v>0</v>
      </c>
      <c r="AQ31" s="27">
        <f t="shared" ref="AQ31:AR31" si="45">iferror(AB31/$M31,"-")</f>
        <v>0.1111111111</v>
      </c>
      <c r="AR31" s="27">
        <f t="shared" si="45"/>
        <v>0.1111111111</v>
      </c>
      <c r="AS31" s="29">
        <f t="shared" si="17"/>
        <v>0.1111111111</v>
      </c>
      <c r="AT31" s="29" t="str">
        <f t="shared" si="18"/>
        <v>1.67</v>
      </c>
      <c r="AU31" s="26"/>
      <c r="AV31" s="26"/>
      <c r="AW31" s="26"/>
      <c r="AX31" s="26"/>
    </row>
    <row r="32">
      <c r="B32" s="17">
        <v>29.0</v>
      </c>
      <c r="C32" s="18">
        <f t="shared" si="2"/>
        <v>15</v>
      </c>
      <c r="D32" s="19" t="s">
        <v>67</v>
      </c>
      <c r="E32" s="19" t="s">
        <v>82</v>
      </c>
      <c r="F32" s="19">
        <v>3.0</v>
      </c>
      <c r="G32" s="19" t="s">
        <v>54</v>
      </c>
      <c r="H32" s="19" t="s">
        <v>48</v>
      </c>
      <c r="I32" s="19">
        <v>174.0</v>
      </c>
      <c r="J32" s="19">
        <v>58.0</v>
      </c>
      <c r="K32" s="20">
        <v>19.0</v>
      </c>
      <c r="L32" s="20">
        <f>SUMIFS('3월 단양 개인별 STAT'!L:L, '3월 단양 개인별 STAT'!$D:$D, $D32, '3월 단양 개인별 STAT'!$E:$E, $E32) + SUMIFS('4월 삼척 개인별 STAT'!L:L, '4월 삼척 개인별 STAT'!$D:$D, $D32, '4월 삼척 개인별 STAT'!$E:$E, $E32)</f>
        <v>3</v>
      </c>
      <c r="M32" s="20">
        <f>SUMIFS('3월 단양 개인별 STAT'!M:M, '3월 단양 개인별 STAT'!$D:$D, $D32, '3월 단양 개인별 STAT'!$E:$E, $E32) + SUMIFS('4월 삼척 개인별 STAT'!M:M, '4월 삼척 개인별 STAT'!$D:$D, $D32, '4월 삼척 개인별 STAT'!$E:$E, $E32)</f>
        <v>11</v>
      </c>
      <c r="N32" s="20">
        <f>SUMIFS('3월 단양 개인별 STAT'!N:N, '3월 단양 개인별 STAT'!$D:$D, $D32, '3월 단양 개인별 STAT'!$E:$E, $E32) + SUMIFS('4월 삼척 개인별 STAT'!N:N, '4월 삼척 개인별 STAT'!$D:$D, $D32, '4월 삼척 개인별 STAT'!$E:$E, $E32)</f>
        <v>7</v>
      </c>
      <c r="O32" s="20">
        <f>SUMIFS('3월 단양 개인별 STAT'!O:O, '3월 단양 개인별 STAT'!$D:$D, $D32, '3월 단양 개인별 STAT'!$E:$E, $E32) + SUMIFS('4월 삼척 개인별 STAT'!O:O, '4월 삼척 개인별 STAT'!$D:$D, $D32, '4월 삼척 개인별 STAT'!$E:$E, $E32)</f>
        <v>94</v>
      </c>
      <c r="P32" s="20">
        <f>SUMIFS('3월 단양 개인별 STAT'!P:P, '3월 단양 개인별 STAT'!$D:$D, $D32, '3월 단양 개인별 STAT'!$E:$E, $E32) + SUMIFS('4월 삼척 개인별 STAT'!P:P, '4월 삼척 개인별 STAT'!$D:$D, $D32, '4월 삼척 개인별 STAT'!$E:$E, $E32)</f>
        <v>5</v>
      </c>
      <c r="Q32" s="20">
        <f>SUMIFS('3월 단양 개인별 STAT'!Q:Q, '3월 단양 개인별 STAT'!$D:$D, $D32, '3월 단양 개인별 STAT'!$E:$E, $E32) + SUMIFS('4월 삼척 개인별 STAT'!Q:Q, '4월 삼척 개인별 STAT'!$D:$D, $D32, '4월 삼척 개인별 STAT'!$E:$E, $E32)</f>
        <v>0</v>
      </c>
      <c r="R32" s="21">
        <f t="shared" si="3"/>
        <v>12</v>
      </c>
      <c r="S32" s="22">
        <f t="shared" si="4"/>
        <v>0.58</v>
      </c>
      <c r="T32" s="20">
        <f>SUMIFS('3월 단양 개인별 STAT'!T:T, '3월 단양 개인별 STAT'!$D:$D, $D32, '3월 단양 개인별 STAT'!$E:$E, $E32) + SUMIFS('4월 삼척 개인별 STAT'!T:T, '4월 삼척 개인별 STAT'!$D:$D, $D32, '4월 삼척 개인별 STAT'!$E:$E, $E32)</f>
        <v>6</v>
      </c>
      <c r="U32" s="20">
        <f>SUMIFS('3월 단양 개인별 STAT'!U:U, '3월 단양 개인별 STAT'!$D:$D, $D32, '3월 단양 개인별 STAT'!$E:$E, $E32) + SUMIFS('4월 삼척 개인별 STAT'!U:U, '4월 삼척 개인별 STAT'!$D:$D, $D32, '4월 삼척 개인별 STAT'!$E:$E, $E32)</f>
        <v>1</v>
      </c>
      <c r="V32" s="20">
        <f>SUMIFS('3월 단양 개인별 STAT'!V:V, '3월 단양 개인별 STAT'!$D:$D, $D32, '3월 단양 개인별 STAT'!$E:$E, $E32) + SUMIFS('4월 삼척 개인별 STAT'!V:V, '4월 삼척 개인별 STAT'!$D:$D, $D32, '4월 삼척 개인별 STAT'!$E:$E, $E32)</f>
        <v>5</v>
      </c>
      <c r="W32" s="20">
        <f>SUMIFS('3월 단양 개인별 STAT'!W:W, '3월 단양 개인별 STAT'!$D:$D, $D32, '3월 단양 개인별 STAT'!$E:$E, $E32) + SUMIFS('4월 삼척 개인별 STAT'!W:W, '4월 삼척 개인별 STAT'!$D:$D, $D32, '4월 삼척 개인별 STAT'!$E:$E, $E32)</f>
        <v>30</v>
      </c>
      <c r="X32" s="20">
        <f>SUMIFS('3월 단양 개인별 STAT'!X:X, '3월 단양 개인별 STAT'!$D:$D, $D32, '3월 단양 개인별 STAT'!$E:$E, $E32) + SUMIFS('4월 삼척 개인별 STAT'!X:X, '4월 삼척 개인별 STAT'!$D:$D, $D32, '4월 삼척 개인별 STAT'!$E:$E, $E32)</f>
        <v>3</v>
      </c>
      <c r="Y32" s="20">
        <f>SUMIFS('3월 단양 개인별 STAT'!Y:Y, '3월 단양 개인별 STAT'!$D:$D, $D32, '3월 단양 개인별 STAT'!$E:$E, $E32) + SUMIFS('4월 삼척 개인별 STAT'!Y:Y, '4월 삼척 개인별 STAT'!$D:$D, $D32, '4월 삼척 개인별 STAT'!$E:$E, $E32)</f>
        <v>3</v>
      </c>
      <c r="Z32" s="21">
        <f t="shared" si="5"/>
        <v>36</v>
      </c>
      <c r="AA32" s="20">
        <f>SUMIFS('3월 단양 개인별 STAT'!AA:AA, '3월 단양 개인별 STAT'!$D:$D, $D32, '3월 단양 개인별 STAT'!$E:$E, $E32) + SUMIFS('4월 삼척 개인별 STAT'!AA:AA, '4월 삼척 개인별 STAT'!$D:$D, $D32, '4월 삼척 개인별 STAT'!$E:$E, $E32)</f>
        <v>3</v>
      </c>
      <c r="AB32" s="21">
        <f t="shared" si="6"/>
        <v>16</v>
      </c>
      <c r="AC32" s="23">
        <f t="shared" si="7"/>
        <v>19.75</v>
      </c>
      <c r="AD32" s="21">
        <f t="shared" si="8"/>
        <v>3</v>
      </c>
      <c r="AE32" s="20">
        <f>SUMIFS('3월 단양 개인별 STAT'!AE:AE, '3월 단양 개인별 STAT'!$D:$D, $D32, '3월 단양 개인별 STAT'!$E:$E, $E32) + SUMIFS('4월 삼척 개인별 STAT'!AE:AE, '4월 삼척 개인별 STAT'!$D:$D, $D32, '4월 삼척 개인별 STAT'!$E:$E, $E32)</f>
        <v>0</v>
      </c>
      <c r="AF32" s="20">
        <f>SUMIFS('3월 단양 개인별 STAT'!AF:AF, '3월 단양 개인별 STAT'!$D:$D, $D32, '3월 단양 개인별 STAT'!$E:$E, $E32) + SUMIFS('4월 삼척 개인별 STAT'!AF:AF, '4월 삼척 개인별 STAT'!$D:$D, $D32, '4월 삼척 개인별 STAT'!$E:$E, $E32)</f>
        <v>3</v>
      </c>
      <c r="AG32" s="24">
        <f t="shared" si="9"/>
        <v>0</v>
      </c>
      <c r="AH32" s="20">
        <f>SUMIFS('3월 단양 개인별 STAT'!AH:AH, '3월 단양 개인별 STAT'!$D:$D, $D32, '3월 단양 개인별 STAT'!$E:$E, $E32) + SUMIFS('4월 삼척 개인별 STAT'!AH:AH, '4월 삼척 개인별 STAT'!$D:$D, $D32, '4월 삼척 개인별 STAT'!$E:$E, $E32)</f>
        <v>22</v>
      </c>
      <c r="AI32" s="22" t="str">
        <f t="shared" si="10"/>
        <v>2</v>
      </c>
      <c r="AJ32" s="25"/>
      <c r="AK32" s="26"/>
      <c r="AL32" s="27">
        <f t="shared" si="11"/>
        <v>0.6363636364</v>
      </c>
      <c r="AM32" s="27">
        <f t="shared" si="30"/>
        <v>1.090909091</v>
      </c>
      <c r="AN32" s="28">
        <f t="shared" si="13"/>
        <v>0.5833333333</v>
      </c>
      <c r="AO32" s="27">
        <f t="shared" si="14"/>
        <v>0.5454545455</v>
      </c>
      <c r="AP32" s="27">
        <f t="shared" si="15"/>
        <v>0.2727272727</v>
      </c>
      <c r="AQ32" s="27">
        <f t="shared" ref="AQ32:AR32" si="46">iferror(AB32/$M32,"-")</f>
        <v>1.454545455</v>
      </c>
      <c r="AR32" s="27">
        <f t="shared" si="46"/>
        <v>1.795454545</v>
      </c>
      <c r="AS32" s="29">
        <f t="shared" si="17"/>
        <v>0.2727272727</v>
      </c>
      <c r="AT32" s="29" t="str">
        <f t="shared" si="18"/>
        <v>2</v>
      </c>
      <c r="AU32" s="26"/>
      <c r="AV32" s="26"/>
      <c r="AW32" s="26"/>
      <c r="AX32" s="26"/>
    </row>
    <row r="33">
      <c r="B33" s="17">
        <v>30.0</v>
      </c>
      <c r="C33" s="18">
        <f t="shared" si="2"/>
        <v>1</v>
      </c>
      <c r="D33" s="19" t="s">
        <v>83</v>
      </c>
      <c r="E33" s="19" t="s">
        <v>84</v>
      </c>
      <c r="F33" s="19">
        <v>2.0</v>
      </c>
      <c r="G33" s="19" t="s">
        <v>47</v>
      </c>
      <c r="H33" s="19" t="s">
        <v>48</v>
      </c>
      <c r="I33" s="19">
        <v>174.0</v>
      </c>
      <c r="J33" s="19">
        <v>63.0</v>
      </c>
      <c r="K33" s="20">
        <v>1.0</v>
      </c>
      <c r="L33" s="20">
        <f>SUMIFS('3월 단양 개인별 STAT'!L:L, '3월 단양 개인별 STAT'!$D:$D, $D33, '3월 단양 개인별 STAT'!$E:$E, $E33) + SUMIFS('4월 삼척 개인별 STAT'!L:L, '4월 삼척 개인별 STAT'!$D:$D, $D33, '4월 삼척 개인별 STAT'!$E:$E, $E33)</f>
        <v>2</v>
      </c>
      <c r="M33" s="20">
        <f>SUMIFS('3월 단양 개인별 STAT'!M:M, '3월 단양 개인별 STAT'!$D:$D, $D33, '3월 단양 개인별 STAT'!$E:$E, $E33) + SUMIFS('4월 삼척 개인별 STAT'!M:M, '4월 삼척 개인별 STAT'!$D:$D, $D33, '4월 삼척 개인별 STAT'!$E:$E, $E33)</f>
        <v>3</v>
      </c>
      <c r="N33" s="20">
        <f>SUMIFS('3월 단양 개인별 STAT'!N:N, '3월 단양 개인별 STAT'!$D:$D, $D33, '3월 단양 개인별 STAT'!$E:$E, $E33) + SUMIFS('4월 삼척 개인별 STAT'!N:N, '4월 삼척 개인별 STAT'!$D:$D, $D33, '4월 삼척 개인별 STAT'!$E:$E, $E33)</f>
        <v>0</v>
      </c>
      <c r="O33" s="20">
        <f>SUMIFS('3월 단양 개인별 STAT'!O:O, '3월 단양 개인별 STAT'!$D:$D, $D33, '3월 단양 개인별 STAT'!$E:$E, $E33) + SUMIFS('4월 삼척 개인별 STAT'!O:O, '4월 삼척 개인별 STAT'!$D:$D, $D33, '4월 삼척 개인별 STAT'!$E:$E, $E33)</f>
        <v>0</v>
      </c>
      <c r="P33" s="20">
        <f>SUMIFS('3월 단양 개인별 STAT'!P:P, '3월 단양 개인별 STAT'!$D:$D, $D33, '3월 단양 개인별 STAT'!$E:$E, $E33) + SUMIFS('4월 삼척 개인별 STAT'!P:P, '4월 삼척 개인별 STAT'!$D:$D, $D33, '4월 삼척 개인별 STAT'!$E:$E, $E33)</f>
        <v>1</v>
      </c>
      <c r="Q33" s="20">
        <f>SUMIFS('3월 단양 개인별 STAT'!Q:Q, '3월 단양 개인별 STAT'!$D:$D, $D33, '3월 단양 개인별 STAT'!$E:$E, $E33) + SUMIFS('4월 삼척 개인별 STAT'!Q:Q, '4월 삼척 개인별 STAT'!$D:$D, $D33, '4월 삼척 개인별 STAT'!$E:$E, $E33)</f>
        <v>0</v>
      </c>
      <c r="R33" s="21">
        <f t="shared" si="3"/>
        <v>1</v>
      </c>
      <c r="S33" s="22" t="str">
        <f t="shared" si="4"/>
        <v>-</v>
      </c>
      <c r="T33" s="20">
        <f>SUMIFS('3월 단양 개인별 STAT'!T:T, '3월 단양 개인별 STAT'!$D:$D, $D33, '3월 단양 개인별 STAT'!$E:$E, $E33) + SUMIFS('4월 삼척 개인별 STAT'!T:T, '4월 삼척 개인별 STAT'!$D:$D, $D33, '4월 삼척 개인별 STAT'!$E:$E, $E33)</f>
        <v>0</v>
      </c>
      <c r="U33" s="20">
        <f>SUMIFS('3월 단양 개인별 STAT'!U:U, '3월 단양 개인별 STAT'!$D:$D, $D33, '3월 단양 개인별 STAT'!$E:$E, $E33) + SUMIFS('4월 삼척 개인별 STAT'!U:U, '4월 삼척 개인별 STAT'!$D:$D, $D33, '4월 삼척 개인별 STAT'!$E:$E, $E33)</f>
        <v>0</v>
      </c>
      <c r="V33" s="20">
        <f>SUMIFS('3월 단양 개인별 STAT'!V:V, '3월 단양 개인별 STAT'!$D:$D, $D33, '3월 단양 개인별 STAT'!$E:$E, $E33) + SUMIFS('4월 삼척 개인별 STAT'!V:V, '4월 삼척 개인별 STAT'!$D:$D, $D33, '4월 삼척 개인별 STAT'!$E:$E, $E33)</f>
        <v>0</v>
      </c>
      <c r="W33" s="20">
        <f>SUMIFS('3월 단양 개인별 STAT'!W:W, '3월 단양 개인별 STAT'!$D:$D, $D33, '3월 단양 개인별 STAT'!$E:$E, $E33) + SUMIFS('4월 삼척 개인별 STAT'!W:W, '4월 삼척 개인별 STAT'!$D:$D, $D33, '4월 삼척 개인별 STAT'!$E:$E, $E33)</f>
        <v>0</v>
      </c>
      <c r="X33" s="20">
        <f>SUMIFS('3월 단양 개인별 STAT'!X:X, '3월 단양 개인별 STAT'!$D:$D, $D33, '3월 단양 개인별 STAT'!$E:$E, $E33) + SUMIFS('4월 삼척 개인별 STAT'!X:X, '4월 삼척 개인별 STAT'!$D:$D, $D33, '4월 삼척 개인별 STAT'!$E:$E, $E33)</f>
        <v>0</v>
      </c>
      <c r="Y33" s="20">
        <f>SUMIFS('3월 단양 개인별 STAT'!Y:Y, '3월 단양 개인별 STAT'!$D:$D, $D33, '3월 단양 개인별 STAT'!$E:$E, $E33) + SUMIFS('4월 삼척 개인별 STAT'!Y:Y, '4월 삼척 개인별 STAT'!$D:$D, $D33, '4월 삼척 개인별 STAT'!$E:$E, $E33)</f>
        <v>0</v>
      </c>
      <c r="Z33" s="30" t="str">
        <f t="shared" si="5"/>
        <v>-</v>
      </c>
      <c r="AA33" s="20">
        <f>SUMIFS('3월 단양 개인별 STAT'!AA:AA, '3월 단양 개인별 STAT'!$D:$D, $D33, '3월 단양 개인별 STAT'!$E:$E, $E33) + SUMIFS('4월 삼척 개인별 STAT'!AA:AA, '4월 삼척 개인별 STAT'!$D:$D, $D33, '4월 삼척 개인별 STAT'!$E:$E, $E33)</f>
        <v>0</v>
      </c>
      <c r="AB33" s="30" t="str">
        <f t="shared" si="6"/>
        <v>-</v>
      </c>
      <c r="AC33" s="23">
        <f t="shared" si="7"/>
        <v>0</v>
      </c>
      <c r="AD33" s="21">
        <f t="shared" si="8"/>
        <v>2</v>
      </c>
      <c r="AE33" s="20">
        <f>SUMIFS('3월 단양 개인별 STAT'!AE:AE, '3월 단양 개인별 STAT'!$D:$D, $D33, '3월 단양 개인별 STAT'!$E:$E, $E33) + SUMIFS('4월 삼척 개인별 STAT'!AE:AE, '4월 삼척 개인별 STAT'!$D:$D, $D33, '4월 삼척 개인별 STAT'!$E:$E, $E33)</f>
        <v>2</v>
      </c>
      <c r="AF33" s="20">
        <f>SUMIFS('3월 단양 개인별 STAT'!AF:AF, '3월 단양 개인별 STAT'!$D:$D, $D33, '3월 단양 개인별 STAT'!$E:$E, $E33) + SUMIFS('4월 삼척 개인별 STAT'!AF:AF, '4월 삼척 개인별 STAT'!$D:$D, $D33, '4월 삼척 개인별 STAT'!$E:$E, $E33)</f>
        <v>0</v>
      </c>
      <c r="AG33" s="24">
        <f t="shared" si="9"/>
        <v>100</v>
      </c>
      <c r="AH33" s="20">
        <f>SUMIFS('3월 단양 개인별 STAT'!AH:AH, '3월 단양 개인별 STAT'!$D:$D, $D33, '3월 단양 개인별 STAT'!$E:$E, $E33) + SUMIFS('4월 삼척 개인별 STAT'!AH:AH, '4월 삼척 개인별 STAT'!$D:$D, $D33, '4월 삼척 개인별 STAT'!$E:$E, $E33)</f>
        <v>2</v>
      </c>
      <c r="AI33" s="22" t="str">
        <f t="shared" si="10"/>
        <v>0.67</v>
      </c>
      <c r="AJ33" s="25"/>
      <c r="AK33" s="26"/>
      <c r="AL33" s="27">
        <f t="shared" si="11"/>
        <v>0</v>
      </c>
      <c r="AM33" s="27">
        <f t="shared" si="30"/>
        <v>0.3333333333</v>
      </c>
      <c r="AN33" s="28">
        <f t="shared" si="13"/>
        <v>0</v>
      </c>
      <c r="AO33" s="27">
        <f t="shared" si="14"/>
        <v>0</v>
      </c>
      <c r="AP33" s="27">
        <f t="shared" si="15"/>
        <v>0</v>
      </c>
      <c r="AQ33" s="27" t="str">
        <f t="shared" ref="AQ33:AR33" si="47">iferror(AB33/$M33,"-")</f>
        <v>-</v>
      </c>
      <c r="AR33" s="27">
        <f t="shared" si="47"/>
        <v>0</v>
      </c>
      <c r="AS33" s="29">
        <f t="shared" si="17"/>
        <v>0</v>
      </c>
      <c r="AT33" s="29" t="str">
        <f t="shared" si="18"/>
        <v>0.67</v>
      </c>
      <c r="AU33" s="26"/>
      <c r="AV33" s="26"/>
      <c r="AW33" s="26"/>
      <c r="AX33" s="26"/>
    </row>
    <row r="34">
      <c r="B34" s="17">
        <v>31.0</v>
      </c>
      <c r="C34" s="18">
        <f t="shared" si="2"/>
        <v>2</v>
      </c>
      <c r="D34" s="19" t="s">
        <v>83</v>
      </c>
      <c r="E34" s="19" t="s">
        <v>85</v>
      </c>
      <c r="F34" s="19">
        <v>2.0</v>
      </c>
      <c r="G34" s="19" t="s">
        <v>52</v>
      </c>
      <c r="H34" s="19" t="s">
        <v>57</v>
      </c>
      <c r="I34" s="19">
        <v>174.0</v>
      </c>
      <c r="J34" s="19">
        <v>58.0</v>
      </c>
      <c r="K34" s="20">
        <v>2.0</v>
      </c>
      <c r="L34" s="20">
        <f>SUMIFS('3월 단양 개인별 STAT'!L:L, '3월 단양 개인별 STAT'!$D:$D, $D34, '3월 단양 개인별 STAT'!$E:$E, $E34) + SUMIFS('4월 삼척 개인별 STAT'!L:L, '4월 삼척 개인별 STAT'!$D:$D, $D34, '4월 삼척 개인별 STAT'!$E:$E, $E34)</f>
        <v>6</v>
      </c>
      <c r="M34" s="20">
        <f>SUMIFS('3월 단양 개인별 STAT'!M:M, '3월 단양 개인별 STAT'!$D:$D, $D34, '3월 단양 개인별 STAT'!$E:$E, $E34) + SUMIFS('4월 삼척 개인별 STAT'!M:M, '4월 삼척 개인별 STAT'!$D:$D, $D34, '4월 삼척 개인별 STAT'!$E:$E, $E34)</f>
        <v>20</v>
      </c>
      <c r="N34" s="20">
        <f>SUMIFS('3월 단양 개인별 STAT'!N:N, '3월 단양 개인별 STAT'!$D:$D, $D34, '3월 단양 개인별 STAT'!$E:$E, $E34) + SUMIFS('4월 삼척 개인별 STAT'!N:N, '4월 삼척 개인별 STAT'!$D:$D, $D34, '4월 삼척 개인별 STAT'!$E:$E, $E34)</f>
        <v>37</v>
      </c>
      <c r="O34" s="20">
        <f>SUMIFS('3월 단양 개인별 STAT'!O:O, '3월 단양 개인별 STAT'!$D:$D, $D34, '3월 단양 개인별 STAT'!$E:$E, $E34) + SUMIFS('4월 삼척 개인별 STAT'!O:O, '4월 삼척 개인별 STAT'!$D:$D, $D34, '4월 삼척 개인별 STAT'!$E:$E, $E34)</f>
        <v>3</v>
      </c>
      <c r="P34" s="20">
        <f>SUMIFS('3월 단양 개인별 STAT'!P:P, '3월 단양 개인별 STAT'!$D:$D, $D34, '3월 단양 개인별 STAT'!$E:$E, $E34) + SUMIFS('4월 삼척 개인별 STAT'!P:P, '4월 삼척 개인별 STAT'!$D:$D, $D34, '4월 삼척 개인별 STAT'!$E:$E, $E34)</f>
        <v>35</v>
      </c>
      <c r="Q34" s="20">
        <f>SUMIFS('3월 단양 개인별 STAT'!Q:Q, '3월 단양 개인별 STAT'!$D:$D, $D34, '3월 단양 개인별 STAT'!$E:$E, $E34) + SUMIFS('4월 삼척 개인별 STAT'!Q:Q, '4월 삼척 개인별 STAT'!$D:$D, $D34, '4월 삼척 개인별 STAT'!$E:$E, $E34)</f>
        <v>18</v>
      </c>
      <c r="R34" s="21">
        <f t="shared" si="3"/>
        <v>90</v>
      </c>
      <c r="S34" s="22">
        <f t="shared" si="4"/>
        <v>0.21</v>
      </c>
      <c r="T34" s="20">
        <f>SUMIFS('3월 단양 개인별 STAT'!T:T, '3월 단양 개인별 STAT'!$D:$D, $D34, '3월 단양 개인별 STAT'!$E:$E, $E34) + SUMIFS('4월 삼척 개인별 STAT'!T:T, '4월 삼척 개인별 STAT'!$D:$D, $D34, '4월 삼척 개인별 STAT'!$E:$E, $E34)</f>
        <v>3</v>
      </c>
      <c r="U34" s="20">
        <f>SUMIFS('3월 단양 개인별 STAT'!U:U, '3월 단양 개인별 STAT'!$D:$D, $D34, '3월 단양 개인별 STAT'!$E:$E, $E34) + SUMIFS('4월 삼척 개인별 STAT'!U:U, '4월 삼척 개인별 STAT'!$D:$D, $D34, '4월 삼척 개인별 STAT'!$E:$E, $E34)</f>
        <v>0</v>
      </c>
      <c r="V34" s="20">
        <f>SUMIFS('3월 단양 개인별 STAT'!V:V, '3월 단양 개인별 STAT'!$D:$D, $D34, '3월 단양 개인별 STAT'!$E:$E, $E34) + SUMIFS('4월 삼척 개인별 STAT'!V:V, '4월 삼척 개인별 STAT'!$D:$D, $D34, '4월 삼척 개인별 STAT'!$E:$E, $E34)</f>
        <v>1</v>
      </c>
      <c r="W34" s="20">
        <f>SUMIFS('3월 단양 개인별 STAT'!W:W, '3월 단양 개인별 STAT'!$D:$D, $D34, '3월 단양 개인별 STAT'!$E:$E, $E34) + SUMIFS('4월 삼척 개인별 STAT'!W:W, '4월 삼척 개인별 STAT'!$D:$D, $D34, '4월 삼척 개인별 STAT'!$E:$E, $E34)</f>
        <v>41</v>
      </c>
      <c r="X34" s="20">
        <f>SUMIFS('3월 단양 개인별 STAT'!X:X, '3월 단양 개인별 STAT'!$D:$D, $D34, '3월 단양 개인별 STAT'!$E:$E, $E34) + SUMIFS('4월 삼척 개인별 STAT'!X:X, '4월 삼척 개인별 STAT'!$D:$D, $D34, '4월 삼척 개인별 STAT'!$E:$E, $E34)</f>
        <v>7</v>
      </c>
      <c r="Y34" s="20">
        <f>SUMIFS('3월 단양 개인별 STAT'!Y:Y, '3월 단양 개인별 STAT'!$D:$D, $D34, '3월 단양 개인별 STAT'!$E:$E, $E34) + SUMIFS('4월 삼척 개인별 STAT'!Y:Y, '4월 삼척 개인별 STAT'!$D:$D, $D34, '4월 삼척 개인별 STAT'!$E:$E, $E34)</f>
        <v>9</v>
      </c>
      <c r="Z34" s="21">
        <f t="shared" si="5"/>
        <v>57</v>
      </c>
      <c r="AA34" s="20">
        <f>SUMIFS('3월 단양 개인별 STAT'!AA:AA, '3월 단양 개인별 STAT'!$D:$D, $D34, '3월 단양 개인별 STAT'!$E:$E, $E34) + SUMIFS('4월 삼척 개인별 STAT'!AA:AA, '4월 삼척 개인별 STAT'!$D:$D, $D34, '4월 삼척 개인별 STAT'!$E:$E, $E34)</f>
        <v>3</v>
      </c>
      <c r="AB34" s="21">
        <f t="shared" si="6"/>
        <v>47</v>
      </c>
      <c r="AC34" s="23">
        <f t="shared" si="7"/>
        <v>47.75</v>
      </c>
      <c r="AD34" s="21">
        <f t="shared" si="8"/>
        <v>90</v>
      </c>
      <c r="AE34" s="20">
        <f>SUMIFS('3월 단양 개인별 STAT'!AE:AE, '3월 단양 개인별 STAT'!$D:$D, $D34, '3월 단양 개인별 STAT'!$E:$E, $E34) + SUMIFS('4월 삼척 개인별 STAT'!AE:AE, '4월 삼척 개인별 STAT'!$D:$D, $D34, '4월 삼척 개인별 STAT'!$E:$E, $E34)</f>
        <v>70</v>
      </c>
      <c r="AF34" s="20">
        <f>SUMIFS('3월 단양 개인별 STAT'!AF:AF, '3월 단양 개인별 STAT'!$D:$D, $D34, '3월 단양 개인별 STAT'!$E:$E, $E34) + SUMIFS('4월 삼척 개인별 STAT'!AF:AF, '4월 삼척 개인별 STAT'!$D:$D, $D34, '4월 삼척 개인별 STAT'!$E:$E, $E34)</f>
        <v>20</v>
      </c>
      <c r="AG34" s="24">
        <f t="shared" si="9"/>
        <v>77.77777778</v>
      </c>
      <c r="AH34" s="20">
        <f>SUMIFS('3월 단양 개인별 STAT'!AH:AH, '3월 단양 개인별 STAT'!$D:$D, $D34, '3월 단양 개인별 STAT'!$E:$E, $E34) + SUMIFS('4월 삼척 개인별 STAT'!AH:AH, '4월 삼척 개인별 STAT'!$D:$D, $D34, '4월 삼척 개인별 STAT'!$E:$E, $E34)</f>
        <v>41</v>
      </c>
      <c r="AI34" s="22" t="str">
        <f t="shared" si="10"/>
        <v>2.05</v>
      </c>
      <c r="AJ34" s="25"/>
      <c r="AK34" s="26"/>
      <c r="AL34" s="27">
        <f t="shared" si="11"/>
        <v>1.85</v>
      </c>
      <c r="AM34" s="27">
        <f t="shared" si="30"/>
        <v>4.5</v>
      </c>
      <c r="AN34" s="28">
        <f t="shared" si="13"/>
        <v>0.4111111111</v>
      </c>
      <c r="AO34" s="27">
        <f t="shared" si="14"/>
        <v>0.15</v>
      </c>
      <c r="AP34" s="27">
        <f t="shared" si="15"/>
        <v>0.35</v>
      </c>
      <c r="AQ34" s="27">
        <f t="shared" ref="AQ34:AR34" si="48">iferror(AB34/$M34,"-")</f>
        <v>2.35</v>
      </c>
      <c r="AR34" s="27">
        <f t="shared" si="48"/>
        <v>2.3875</v>
      </c>
      <c r="AS34" s="29">
        <f t="shared" si="17"/>
        <v>1</v>
      </c>
      <c r="AT34" s="29" t="str">
        <f t="shared" si="18"/>
        <v>2.05</v>
      </c>
      <c r="AU34" s="26"/>
      <c r="AV34" s="26"/>
      <c r="AW34" s="26"/>
      <c r="AX34" s="26"/>
    </row>
    <row r="35">
      <c r="B35" s="17">
        <v>32.0</v>
      </c>
      <c r="C35" s="18">
        <f t="shared" si="2"/>
        <v>3</v>
      </c>
      <c r="D35" s="19" t="s">
        <v>83</v>
      </c>
      <c r="E35" s="19" t="s">
        <v>86</v>
      </c>
      <c r="F35" s="19">
        <v>2.0</v>
      </c>
      <c r="G35" s="19" t="s">
        <v>57</v>
      </c>
      <c r="H35" s="19" t="s">
        <v>52</v>
      </c>
      <c r="I35" s="19">
        <v>172.0</v>
      </c>
      <c r="J35" s="19">
        <v>59.0</v>
      </c>
      <c r="K35" s="20">
        <v>3.0</v>
      </c>
      <c r="L35" s="20">
        <f>SUMIFS('3월 단양 개인별 STAT'!L:L, '3월 단양 개인별 STAT'!$D:$D, $D35, '3월 단양 개인별 STAT'!$E:$E, $E35) + SUMIFS('4월 삼척 개인별 STAT'!L:L, '4월 삼척 개인별 STAT'!$D:$D, $D35, '4월 삼척 개인별 STAT'!$E:$E, $E35)</f>
        <v>6</v>
      </c>
      <c r="M35" s="20">
        <f>SUMIFS('3월 단양 개인별 STAT'!M:M, '3월 단양 개인별 STAT'!$D:$D, $D35, '3월 단양 개인별 STAT'!$E:$E, $E35) + SUMIFS('4월 삼척 개인별 STAT'!M:M, '4월 삼척 개인별 STAT'!$D:$D, $D35, '4월 삼척 개인별 STAT'!$E:$E, $E35)</f>
        <v>17</v>
      </c>
      <c r="N35" s="20">
        <f>SUMIFS('3월 단양 개인별 STAT'!N:N, '3월 단양 개인별 STAT'!$D:$D, $D35, '3월 단양 개인별 STAT'!$E:$E, $E35) + SUMIFS('4월 삼척 개인별 STAT'!N:N, '4월 삼척 개인별 STAT'!$D:$D, $D35, '4월 삼척 개인별 STAT'!$E:$E, $E35)</f>
        <v>19</v>
      </c>
      <c r="O35" s="20">
        <f>SUMIFS('3월 단양 개인별 STAT'!O:O, '3월 단양 개인별 STAT'!$D:$D, $D35, '3월 단양 개인별 STAT'!$E:$E, $E35) + SUMIFS('4월 삼척 개인별 STAT'!O:O, '4월 삼척 개인별 STAT'!$D:$D, $D35, '4월 삼척 개인별 STAT'!$E:$E, $E35)</f>
        <v>3</v>
      </c>
      <c r="P35" s="20">
        <f>SUMIFS('3월 단양 개인별 STAT'!P:P, '3월 단양 개인별 STAT'!$D:$D, $D35, '3월 단양 개인별 STAT'!$E:$E, $E35) + SUMIFS('4월 삼척 개인별 STAT'!P:P, '4월 삼척 개인별 STAT'!$D:$D, $D35, '4월 삼척 개인별 STAT'!$E:$E, $E35)</f>
        <v>29</v>
      </c>
      <c r="Q35" s="20">
        <f>SUMIFS('3월 단양 개인별 STAT'!Q:Q, '3월 단양 개인별 STAT'!$D:$D, $D35, '3월 단양 개인별 STAT'!$E:$E, $E35) + SUMIFS('4월 삼척 개인별 STAT'!Q:Q, '4월 삼척 개인별 STAT'!$D:$D, $D35, '4월 삼척 개인별 STAT'!$E:$E, $E35)</f>
        <v>10</v>
      </c>
      <c r="R35" s="21">
        <f t="shared" si="3"/>
        <v>58</v>
      </c>
      <c r="S35" s="22">
        <f t="shared" si="4"/>
        <v>0.16</v>
      </c>
      <c r="T35" s="20">
        <f>SUMIFS('3월 단양 개인별 STAT'!T:T, '3월 단양 개인별 STAT'!$D:$D, $D35, '3월 단양 개인별 STAT'!$E:$E, $E35) + SUMIFS('4월 삼척 개인별 STAT'!T:T, '4월 삼척 개인별 STAT'!$D:$D, $D35, '4월 삼척 개인별 STAT'!$E:$E, $E35)</f>
        <v>1</v>
      </c>
      <c r="U35" s="20">
        <f>SUMIFS('3월 단양 개인별 STAT'!U:U, '3월 단양 개인별 STAT'!$D:$D, $D35, '3월 단양 개인별 STAT'!$E:$E, $E35) + SUMIFS('4월 삼척 개인별 STAT'!U:U, '4월 삼척 개인별 STAT'!$D:$D, $D35, '4월 삼척 개인별 STAT'!$E:$E, $E35)</f>
        <v>0</v>
      </c>
      <c r="V35" s="20">
        <f>SUMIFS('3월 단양 개인별 STAT'!V:V, '3월 단양 개인별 STAT'!$D:$D, $D35, '3월 단양 개인별 STAT'!$E:$E, $E35) + SUMIFS('4월 삼척 개인별 STAT'!V:V, '4월 삼척 개인별 STAT'!$D:$D, $D35, '4월 삼척 개인별 STAT'!$E:$E, $E35)</f>
        <v>0</v>
      </c>
      <c r="W35" s="20">
        <f>SUMIFS('3월 단양 개인별 STAT'!W:W, '3월 단양 개인별 STAT'!$D:$D, $D35, '3월 단양 개인별 STAT'!$E:$E, $E35) + SUMIFS('4월 삼척 개인별 STAT'!W:W, '4월 삼척 개인별 STAT'!$D:$D, $D35, '4월 삼척 개인별 STAT'!$E:$E, $E35)</f>
        <v>34</v>
      </c>
      <c r="X35" s="20">
        <f>SUMIFS('3월 단양 개인별 STAT'!X:X, '3월 단양 개인별 STAT'!$D:$D, $D35, '3월 단양 개인별 STAT'!$E:$E, $E35) + SUMIFS('4월 삼척 개인별 STAT'!X:X, '4월 삼척 개인별 STAT'!$D:$D, $D35, '4월 삼척 개인별 STAT'!$E:$E, $E35)</f>
        <v>5</v>
      </c>
      <c r="Y35" s="20">
        <f>SUMIFS('3월 단양 개인별 STAT'!Y:Y, '3월 단양 개인별 STAT'!$D:$D, $D35, '3월 단양 개인별 STAT'!$E:$E, $E35) + SUMIFS('4월 삼척 개인별 STAT'!Y:Y, '4월 삼척 개인별 STAT'!$D:$D, $D35, '4월 삼척 개인별 STAT'!$E:$E, $E35)</f>
        <v>2</v>
      </c>
      <c r="Z35" s="21">
        <f t="shared" si="5"/>
        <v>41</v>
      </c>
      <c r="AA35" s="20">
        <f>SUMIFS('3월 단양 개인별 STAT'!AA:AA, '3월 단양 개인별 STAT'!$D:$D, $D35, '3월 단양 개인별 STAT'!$E:$E, $E35) + SUMIFS('4월 삼척 개인별 STAT'!AA:AA, '4월 삼척 개인별 STAT'!$D:$D, $D35, '4월 삼척 개인별 STAT'!$E:$E, $E35)</f>
        <v>4</v>
      </c>
      <c r="AB35" s="21">
        <f t="shared" si="6"/>
        <v>25</v>
      </c>
      <c r="AC35" s="23">
        <f t="shared" si="7"/>
        <v>25</v>
      </c>
      <c r="AD35" s="21">
        <f t="shared" si="8"/>
        <v>34</v>
      </c>
      <c r="AE35" s="20">
        <f>SUMIFS('3월 단양 개인별 STAT'!AE:AE, '3월 단양 개인별 STAT'!$D:$D, $D35, '3월 단양 개인별 STAT'!$E:$E, $E35) + SUMIFS('4월 삼척 개인별 STAT'!AE:AE, '4월 삼척 개인별 STAT'!$D:$D, $D35, '4월 삼척 개인별 STAT'!$E:$E, $E35)</f>
        <v>26</v>
      </c>
      <c r="AF35" s="20">
        <f>SUMIFS('3월 단양 개인별 STAT'!AF:AF, '3월 단양 개인별 STAT'!$D:$D, $D35, '3월 단양 개인별 STAT'!$E:$E, $E35) + SUMIFS('4월 삼척 개인별 STAT'!AF:AF, '4월 삼척 개인별 STAT'!$D:$D, $D35, '4월 삼척 개인별 STAT'!$E:$E, $E35)</f>
        <v>8</v>
      </c>
      <c r="AG35" s="24">
        <f t="shared" si="9"/>
        <v>76.47058824</v>
      </c>
      <c r="AH35" s="20">
        <f>SUMIFS('3월 단양 개인별 STAT'!AH:AH, '3월 단양 개인별 STAT'!$D:$D, $D35, '3월 단양 개인별 STAT'!$E:$E, $E35) + SUMIFS('4월 삼척 개인별 STAT'!AH:AH, '4월 삼척 개인별 STAT'!$D:$D, $D35, '4월 삼척 개인별 STAT'!$E:$E, $E35)</f>
        <v>33</v>
      </c>
      <c r="AI35" s="22" t="str">
        <f t="shared" si="10"/>
        <v>1.94</v>
      </c>
      <c r="AJ35" s="25"/>
      <c r="AK35" s="26"/>
      <c r="AL35" s="27">
        <f t="shared" si="11"/>
        <v>1.117647059</v>
      </c>
      <c r="AM35" s="27">
        <f t="shared" si="30"/>
        <v>3.411764706</v>
      </c>
      <c r="AN35" s="28">
        <f t="shared" si="13"/>
        <v>0.3275862069</v>
      </c>
      <c r="AO35" s="27">
        <f t="shared" si="14"/>
        <v>0.05882352941</v>
      </c>
      <c r="AP35" s="27">
        <f t="shared" si="15"/>
        <v>0.2941176471</v>
      </c>
      <c r="AQ35" s="27">
        <f t="shared" ref="AQ35:AR35" si="49">iferror(AB35/$M35,"-")</f>
        <v>1.470588235</v>
      </c>
      <c r="AR35" s="27">
        <f t="shared" si="49"/>
        <v>1.470588235</v>
      </c>
      <c r="AS35" s="29">
        <f t="shared" si="17"/>
        <v>0.4705882353</v>
      </c>
      <c r="AT35" s="29" t="str">
        <f t="shared" si="18"/>
        <v>1.94</v>
      </c>
      <c r="AU35" s="26"/>
      <c r="AV35" s="26"/>
      <c r="AW35" s="26"/>
      <c r="AX35" s="26"/>
    </row>
    <row r="36">
      <c r="B36" s="17">
        <v>33.0</v>
      </c>
      <c r="C36" s="18">
        <f t="shared" si="2"/>
        <v>4</v>
      </c>
      <c r="D36" s="19" t="s">
        <v>83</v>
      </c>
      <c r="E36" s="19" t="s">
        <v>87</v>
      </c>
      <c r="F36" s="19">
        <v>1.0</v>
      </c>
      <c r="G36" s="19" t="s">
        <v>52</v>
      </c>
      <c r="H36" s="19" t="s">
        <v>50</v>
      </c>
      <c r="I36" s="19">
        <v>164.0</v>
      </c>
      <c r="J36" s="19">
        <v>48.0</v>
      </c>
      <c r="K36" s="20">
        <v>4.0</v>
      </c>
      <c r="L36" s="20">
        <f>SUMIFS('3월 단양 개인별 STAT'!L:L, '3월 단양 개인별 STAT'!$D:$D, $D36, '3월 단양 개인별 STAT'!$E:$E, $E36) + SUMIFS('4월 삼척 개인별 STAT'!L:L, '4월 삼척 개인별 STAT'!$D:$D, $D36, '4월 삼척 개인별 STAT'!$E:$E, $E36)</f>
        <v>5</v>
      </c>
      <c r="M36" s="20">
        <f>SUMIFS('3월 단양 개인별 STAT'!M:M, '3월 단양 개인별 STAT'!$D:$D, $D36, '3월 단양 개인별 STAT'!$E:$E, $E36) + SUMIFS('4월 삼척 개인별 STAT'!M:M, '4월 삼척 개인별 STAT'!$D:$D, $D36, '4월 삼척 개인별 STAT'!$E:$E, $E36)</f>
        <v>7</v>
      </c>
      <c r="N36" s="20">
        <f>SUMIFS('3월 단양 개인별 STAT'!N:N, '3월 단양 개인별 STAT'!$D:$D, $D36, '3월 단양 개인별 STAT'!$E:$E, $E36) + SUMIFS('4월 삼척 개인별 STAT'!N:N, '4월 삼척 개인별 STAT'!$D:$D, $D36, '4월 삼척 개인별 STAT'!$E:$E, $E36)</f>
        <v>0</v>
      </c>
      <c r="O36" s="20">
        <f>SUMIFS('3월 단양 개인별 STAT'!O:O, '3월 단양 개인별 STAT'!$D:$D, $D36, '3월 단양 개인별 STAT'!$E:$E, $E36) + SUMIFS('4월 삼척 개인별 STAT'!O:O, '4월 삼척 개인별 STAT'!$D:$D, $D36, '4월 삼척 개인별 STAT'!$E:$E, $E36)</f>
        <v>1</v>
      </c>
      <c r="P36" s="20">
        <f>SUMIFS('3월 단양 개인별 STAT'!P:P, '3월 단양 개인별 STAT'!$D:$D, $D36, '3월 단양 개인별 STAT'!$E:$E, $E36) + SUMIFS('4월 삼척 개인별 STAT'!P:P, '4월 삼척 개인별 STAT'!$D:$D, $D36, '4월 삼척 개인별 STAT'!$E:$E, $E36)</f>
        <v>0</v>
      </c>
      <c r="Q36" s="20">
        <f>SUMIFS('3월 단양 개인별 STAT'!Q:Q, '3월 단양 개인별 STAT'!$D:$D, $D36, '3월 단양 개인별 STAT'!$E:$E, $E36) + SUMIFS('4월 삼척 개인별 STAT'!Q:Q, '4월 삼척 개인별 STAT'!$D:$D, $D36, '4월 삼척 개인별 STAT'!$E:$E, $E36)</f>
        <v>0</v>
      </c>
      <c r="R36" s="30" t="str">
        <f t="shared" si="3"/>
        <v>-</v>
      </c>
      <c r="S36" s="22" t="str">
        <f t="shared" si="4"/>
        <v>-</v>
      </c>
      <c r="T36" s="20">
        <f>SUMIFS('3월 단양 개인별 STAT'!T:T, '3월 단양 개인별 STAT'!$D:$D, $D36, '3월 단양 개인별 STAT'!$E:$E, $E36) + SUMIFS('4월 삼척 개인별 STAT'!T:T, '4월 삼척 개인별 STAT'!$D:$D, $D36, '4월 삼척 개인별 STAT'!$E:$E, $E36)</f>
        <v>0</v>
      </c>
      <c r="U36" s="20">
        <f>SUMIFS('3월 단양 개인별 STAT'!U:U, '3월 단양 개인별 STAT'!$D:$D, $D36, '3월 단양 개인별 STAT'!$E:$E, $E36) + SUMIFS('4월 삼척 개인별 STAT'!U:U, '4월 삼척 개인별 STAT'!$D:$D, $D36, '4월 삼척 개인별 STAT'!$E:$E, $E36)</f>
        <v>0</v>
      </c>
      <c r="V36" s="20">
        <f>SUMIFS('3월 단양 개인별 STAT'!V:V, '3월 단양 개인별 STAT'!$D:$D, $D36, '3월 단양 개인별 STAT'!$E:$E, $E36) + SUMIFS('4월 삼척 개인별 STAT'!V:V, '4월 삼척 개인별 STAT'!$D:$D, $D36, '4월 삼척 개인별 STAT'!$E:$E, $E36)</f>
        <v>0</v>
      </c>
      <c r="W36" s="20">
        <f>SUMIFS('3월 단양 개인별 STAT'!W:W, '3월 단양 개인별 STAT'!$D:$D, $D36, '3월 단양 개인별 STAT'!$E:$E, $E36) + SUMIFS('4월 삼척 개인별 STAT'!W:W, '4월 삼척 개인별 STAT'!$D:$D, $D36, '4월 삼척 개인별 STAT'!$E:$E, $E36)</f>
        <v>1</v>
      </c>
      <c r="X36" s="20">
        <f>SUMIFS('3월 단양 개인별 STAT'!X:X, '3월 단양 개인별 STAT'!$D:$D, $D36, '3월 단양 개인별 STAT'!$E:$E, $E36) + SUMIFS('4월 삼척 개인별 STAT'!X:X, '4월 삼척 개인별 STAT'!$D:$D, $D36, '4월 삼척 개인별 STAT'!$E:$E, $E36)</f>
        <v>0</v>
      </c>
      <c r="Y36" s="20">
        <f>SUMIFS('3월 단양 개인별 STAT'!Y:Y, '3월 단양 개인별 STAT'!$D:$D, $D36, '3월 단양 개인별 STAT'!$E:$E, $E36) + SUMIFS('4월 삼척 개인별 STAT'!Y:Y, '4월 삼척 개인별 STAT'!$D:$D, $D36, '4월 삼척 개인별 STAT'!$E:$E, $E36)</f>
        <v>0</v>
      </c>
      <c r="Z36" s="21">
        <f t="shared" si="5"/>
        <v>1</v>
      </c>
      <c r="AA36" s="20">
        <f>SUMIFS('3월 단양 개인별 STAT'!AA:AA, '3월 단양 개인별 STAT'!$D:$D, $D36, '3월 단양 개인별 STAT'!$E:$E, $E36) + SUMIFS('4월 삼척 개인별 STAT'!AA:AA, '4월 삼척 개인별 STAT'!$D:$D, $D36, '4월 삼척 개인별 STAT'!$E:$E, $E36)</f>
        <v>0</v>
      </c>
      <c r="AB36" s="30" t="str">
        <f t="shared" si="6"/>
        <v>-</v>
      </c>
      <c r="AC36" s="23">
        <f t="shared" si="7"/>
        <v>0</v>
      </c>
      <c r="AD36" s="21">
        <f t="shared" si="8"/>
        <v>14</v>
      </c>
      <c r="AE36" s="20">
        <f>SUMIFS('3월 단양 개인별 STAT'!AE:AE, '3월 단양 개인별 STAT'!$D:$D, $D36, '3월 단양 개인별 STAT'!$E:$E, $E36) + SUMIFS('4월 삼척 개인별 STAT'!AE:AE, '4월 삼척 개인별 STAT'!$D:$D, $D36, '4월 삼척 개인별 STAT'!$E:$E, $E36)</f>
        <v>14</v>
      </c>
      <c r="AF36" s="20">
        <f>SUMIFS('3월 단양 개인별 STAT'!AF:AF, '3월 단양 개인별 STAT'!$D:$D, $D36, '3월 단양 개인별 STAT'!$E:$E, $E36) + SUMIFS('4월 삼척 개인별 STAT'!AF:AF, '4월 삼척 개인별 STAT'!$D:$D, $D36, '4월 삼척 개인별 STAT'!$E:$E, $E36)</f>
        <v>0</v>
      </c>
      <c r="AG36" s="24">
        <f t="shared" si="9"/>
        <v>100</v>
      </c>
      <c r="AH36" s="20">
        <f>SUMIFS('3월 단양 개인별 STAT'!AH:AH, '3월 단양 개인별 STAT'!$D:$D, $D36, '3월 단양 개인별 STAT'!$E:$E, $E36) + SUMIFS('4월 삼척 개인별 STAT'!AH:AH, '4월 삼척 개인별 STAT'!$D:$D, $D36, '4월 삼척 개인별 STAT'!$E:$E, $E36)</f>
        <v>5</v>
      </c>
      <c r="AI36" s="22" t="str">
        <f t="shared" si="10"/>
        <v>0.71</v>
      </c>
      <c r="AJ36" s="25"/>
      <c r="AK36" s="26"/>
      <c r="AL36" s="27">
        <f t="shared" si="11"/>
        <v>0</v>
      </c>
      <c r="AM36" s="27" t="str">
        <f t="shared" si="30"/>
        <v>-</v>
      </c>
      <c r="AN36" s="28" t="str">
        <f t="shared" si="13"/>
        <v>-</v>
      </c>
      <c r="AO36" s="27">
        <f t="shared" si="14"/>
        <v>0</v>
      </c>
      <c r="AP36" s="27">
        <f t="shared" si="15"/>
        <v>0</v>
      </c>
      <c r="AQ36" s="27" t="str">
        <f t="shared" ref="AQ36:AR36" si="50">iferror(AB36/$M36,"-")</f>
        <v>-</v>
      </c>
      <c r="AR36" s="27">
        <f t="shared" si="50"/>
        <v>0</v>
      </c>
      <c r="AS36" s="29">
        <f t="shared" si="17"/>
        <v>0</v>
      </c>
      <c r="AT36" s="29" t="str">
        <f t="shared" si="18"/>
        <v>0.71</v>
      </c>
      <c r="AU36" s="26"/>
      <c r="AV36" s="26"/>
      <c r="AW36" s="26"/>
      <c r="AX36" s="26"/>
    </row>
    <row r="37">
      <c r="B37" s="17">
        <v>34.0</v>
      </c>
      <c r="C37" s="18">
        <f t="shared" si="2"/>
        <v>5</v>
      </c>
      <c r="D37" s="19" t="s">
        <v>83</v>
      </c>
      <c r="E37" s="19" t="s">
        <v>88</v>
      </c>
      <c r="F37" s="19">
        <v>3.0</v>
      </c>
      <c r="G37" s="19" t="s">
        <v>52</v>
      </c>
      <c r="H37" s="19" t="s">
        <v>57</v>
      </c>
      <c r="I37" s="19">
        <v>179.0</v>
      </c>
      <c r="J37" s="19">
        <v>58.0</v>
      </c>
      <c r="K37" s="20">
        <v>5.0</v>
      </c>
      <c r="L37" s="20">
        <f>SUMIFS('3월 단양 개인별 STAT'!L:L, '3월 단양 개인별 STAT'!$D:$D, $D37, '3월 단양 개인별 STAT'!$E:$E, $E37) + SUMIFS('4월 삼척 개인별 STAT'!L:L, '4월 삼척 개인별 STAT'!$D:$D, $D37, '4월 삼척 개인별 STAT'!$E:$E, $E37)</f>
        <v>6</v>
      </c>
      <c r="M37" s="20">
        <f>SUMIFS('3월 단양 개인별 STAT'!M:M, '3월 단양 개인별 STAT'!$D:$D, $D37, '3월 단양 개인별 STAT'!$E:$E, $E37) + SUMIFS('4월 삼척 개인별 STAT'!M:M, '4월 삼척 개인별 STAT'!$D:$D, $D37, '4월 삼척 개인별 STAT'!$E:$E, $E37)</f>
        <v>14</v>
      </c>
      <c r="N37" s="20">
        <f>SUMIFS('3월 단양 개인별 STAT'!N:N, '3월 단양 개인별 STAT'!$D:$D, $D37, '3월 단양 개인별 STAT'!$E:$E, $E37) + SUMIFS('4월 삼척 개인별 STAT'!N:N, '4월 삼척 개인별 STAT'!$D:$D, $D37, '4월 삼척 개인별 STAT'!$E:$E, $E37)</f>
        <v>20</v>
      </c>
      <c r="O37" s="20">
        <f>SUMIFS('3월 단양 개인별 STAT'!O:O, '3월 단양 개인별 STAT'!$D:$D, $D37, '3월 단양 개인별 STAT'!$E:$E, $E37) + SUMIFS('4월 삼척 개인별 STAT'!O:O, '4월 삼척 개인별 STAT'!$D:$D, $D37, '4월 삼척 개인별 STAT'!$E:$E, $E37)</f>
        <v>1</v>
      </c>
      <c r="P37" s="20">
        <f>SUMIFS('3월 단양 개인별 STAT'!P:P, '3월 단양 개인별 STAT'!$D:$D, $D37, '3월 단양 개인별 STAT'!$E:$E, $E37) + SUMIFS('4월 삼척 개인별 STAT'!P:P, '4월 삼척 개인별 STAT'!$D:$D, $D37, '4월 삼척 개인별 STAT'!$E:$E, $E37)</f>
        <v>38</v>
      </c>
      <c r="Q37" s="20">
        <f>SUMIFS('3월 단양 개인별 STAT'!Q:Q, '3월 단양 개인별 STAT'!$D:$D, $D37, '3월 단양 개인별 STAT'!$E:$E, $E37) + SUMIFS('4월 삼척 개인별 STAT'!Q:Q, '4월 삼척 개인별 STAT'!$D:$D, $D37, '4월 삼척 개인별 STAT'!$E:$E, $E37)</f>
        <v>23</v>
      </c>
      <c r="R37" s="21">
        <f t="shared" si="3"/>
        <v>81</v>
      </c>
      <c r="S37" s="22">
        <f t="shared" si="4"/>
        <v>-0.04</v>
      </c>
      <c r="T37" s="20">
        <f>SUMIFS('3월 단양 개인별 STAT'!T:T, '3월 단양 개인별 STAT'!$D:$D, $D37, '3월 단양 개인별 STAT'!$E:$E, $E37) + SUMIFS('4월 삼척 개인별 STAT'!T:T, '4월 삼척 개인별 STAT'!$D:$D, $D37, '4월 삼척 개인별 STAT'!$E:$E, $E37)</f>
        <v>1</v>
      </c>
      <c r="U37" s="20">
        <f>SUMIFS('3월 단양 개인별 STAT'!U:U, '3월 단양 개인별 STAT'!$D:$D, $D37, '3월 단양 개인별 STAT'!$E:$E, $E37) + SUMIFS('4월 삼척 개인별 STAT'!U:U, '4월 삼척 개인별 STAT'!$D:$D, $D37, '4월 삼척 개인별 STAT'!$E:$E, $E37)</f>
        <v>1</v>
      </c>
      <c r="V37" s="20">
        <f>SUMIFS('3월 단양 개인별 STAT'!V:V, '3월 단양 개인별 STAT'!$D:$D, $D37, '3월 단양 개인별 STAT'!$E:$E, $E37) + SUMIFS('4월 삼척 개인별 STAT'!V:V, '4월 삼척 개인별 STAT'!$D:$D, $D37, '4월 삼척 개인별 STAT'!$E:$E, $E37)</f>
        <v>1</v>
      </c>
      <c r="W37" s="20">
        <f>SUMIFS('3월 단양 개인별 STAT'!W:W, '3월 단양 개인별 STAT'!$D:$D, $D37, '3월 단양 개인별 STAT'!$E:$E, $E37) + SUMIFS('4월 삼척 개인별 STAT'!W:W, '4월 삼척 개인별 STAT'!$D:$D, $D37, '4월 삼척 개인별 STAT'!$E:$E, $E37)</f>
        <v>25</v>
      </c>
      <c r="X37" s="20">
        <f>SUMIFS('3월 단양 개인별 STAT'!X:X, '3월 단양 개인별 STAT'!$D:$D, $D37, '3월 단양 개인별 STAT'!$E:$E, $E37) + SUMIFS('4월 삼척 개인별 STAT'!X:X, '4월 삼척 개인별 STAT'!$D:$D, $D37, '4월 삼척 개인별 STAT'!$E:$E, $E37)</f>
        <v>2</v>
      </c>
      <c r="Y37" s="20">
        <f>SUMIFS('3월 단양 개인별 STAT'!Y:Y, '3월 단양 개인별 STAT'!$D:$D, $D37, '3월 단양 개인별 STAT'!$E:$E, $E37) + SUMIFS('4월 삼척 개인별 STAT'!Y:Y, '4월 삼척 개인별 STAT'!$D:$D, $D37, '4월 삼척 개인별 STAT'!$E:$E, $E37)</f>
        <v>6</v>
      </c>
      <c r="Z37" s="21">
        <f t="shared" si="5"/>
        <v>33</v>
      </c>
      <c r="AA37" s="20">
        <f>SUMIFS('3월 단양 개인별 STAT'!AA:AA, '3월 단양 개인별 STAT'!$D:$D, $D37, '3월 단양 개인별 STAT'!$E:$E, $E37) + SUMIFS('4월 삼척 개인별 STAT'!AA:AA, '4월 삼척 개인별 STAT'!$D:$D, $D37, '4월 삼척 개인별 STAT'!$E:$E, $E37)</f>
        <v>1</v>
      </c>
      <c r="AB37" s="21">
        <f t="shared" si="6"/>
        <v>23</v>
      </c>
      <c r="AC37" s="23">
        <f t="shared" si="7"/>
        <v>23.75</v>
      </c>
      <c r="AD37" s="21">
        <f t="shared" si="8"/>
        <v>35</v>
      </c>
      <c r="AE37" s="20">
        <f>SUMIFS('3월 단양 개인별 STAT'!AE:AE, '3월 단양 개인별 STAT'!$D:$D, $D37, '3월 단양 개인별 STAT'!$E:$E, $E37) + SUMIFS('4월 삼척 개인별 STAT'!AE:AE, '4월 삼척 개인별 STAT'!$D:$D, $D37, '4월 삼척 개인별 STAT'!$E:$E, $E37)</f>
        <v>30</v>
      </c>
      <c r="AF37" s="20">
        <f>SUMIFS('3월 단양 개인별 STAT'!AF:AF, '3월 단양 개인별 STAT'!$D:$D, $D37, '3월 단양 개인별 STAT'!$E:$E, $E37) + SUMIFS('4월 삼척 개인별 STAT'!AF:AF, '4월 삼척 개인별 STAT'!$D:$D, $D37, '4월 삼척 개인별 STAT'!$E:$E, $E37)</f>
        <v>5</v>
      </c>
      <c r="AG37" s="24">
        <f t="shared" si="9"/>
        <v>85.71428571</v>
      </c>
      <c r="AH37" s="20">
        <f>SUMIFS('3월 단양 개인별 STAT'!AH:AH, '3월 단양 개인별 STAT'!$D:$D, $D37, '3월 단양 개인별 STAT'!$E:$E, $E37) + SUMIFS('4월 삼척 개인별 STAT'!AH:AH, '4월 삼척 개인별 STAT'!$D:$D, $D37, '4월 삼척 개인별 STAT'!$E:$E, $E37)</f>
        <v>10</v>
      </c>
      <c r="AI37" s="22" t="str">
        <f t="shared" si="10"/>
        <v>0.71</v>
      </c>
      <c r="AJ37" s="25"/>
      <c r="AK37" s="26"/>
      <c r="AL37" s="27">
        <f t="shared" si="11"/>
        <v>1.428571429</v>
      </c>
      <c r="AM37" s="27">
        <f t="shared" si="30"/>
        <v>5.785714286</v>
      </c>
      <c r="AN37" s="28">
        <f t="shared" si="13"/>
        <v>0.2469135802</v>
      </c>
      <c r="AO37" s="27">
        <f t="shared" si="14"/>
        <v>0.07142857143</v>
      </c>
      <c r="AP37" s="27">
        <f t="shared" si="15"/>
        <v>0.1428571429</v>
      </c>
      <c r="AQ37" s="27">
        <f t="shared" ref="AQ37:AR37" si="51">iferror(AB37/$M37,"-")</f>
        <v>1.642857143</v>
      </c>
      <c r="AR37" s="27">
        <f t="shared" si="51"/>
        <v>1.696428571</v>
      </c>
      <c r="AS37" s="29">
        <f t="shared" si="17"/>
        <v>0.3571428571</v>
      </c>
      <c r="AT37" s="29" t="str">
        <f t="shared" si="18"/>
        <v>0.71</v>
      </c>
      <c r="AU37" s="26"/>
      <c r="AV37" s="26"/>
      <c r="AW37" s="26"/>
      <c r="AX37" s="26"/>
    </row>
    <row r="38">
      <c r="B38" s="17">
        <v>35.0</v>
      </c>
      <c r="C38" s="18">
        <f t="shared" si="2"/>
        <v>6</v>
      </c>
      <c r="D38" s="19" t="s">
        <v>83</v>
      </c>
      <c r="E38" s="19" t="s">
        <v>89</v>
      </c>
      <c r="F38" s="19">
        <v>1.0</v>
      </c>
      <c r="G38" s="19" t="s">
        <v>57</v>
      </c>
      <c r="H38" s="19" t="s">
        <v>50</v>
      </c>
      <c r="I38" s="19">
        <v>161.0</v>
      </c>
      <c r="J38" s="19">
        <v>50.0</v>
      </c>
      <c r="K38" s="20">
        <v>6.0</v>
      </c>
      <c r="L38" s="20">
        <f>SUMIFS('3월 단양 개인별 STAT'!L:L, '3월 단양 개인별 STAT'!$D:$D, $D38, '3월 단양 개인별 STAT'!$E:$E, $E38) + SUMIFS('4월 삼척 개인별 STAT'!L:L, '4월 삼척 개인별 STAT'!$D:$D, $D38, '4월 삼척 개인별 STAT'!$E:$E, $E38)</f>
        <v>5</v>
      </c>
      <c r="M38" s="20">
        <f>SUMIFS('3월 단양 개인별 STAT'!M:M, '3월 단양 개인별 STAT'!$D:$D, $D38, '3월 단양 개인별 STAT'!$E:$E, $E38) + SUMIFS('4월 삼척 개인별 STAT'!M:M, '4월 삼척 개인별 STAT'!$D:$D, $D38, '4월 삼척 개인별 STAT'!$E:$E, $E38)</f>
        <v>7</v>
      </c>
      <c r="N38" s="20">
        <f>SUMIFS('3월 단양 개인별 STAT'!N:N, '3월 단양 개인별 STAT'!$D:$D, $D38, '3월 단양 개인별 STAT'!$E:$E, $E38) + SUMIFS('4월 삼척 개인별 STAT'!N:N, '4월 삼척 개인별 STAT'!$D:$D, $D38, '4월 삼척 개인별 STAT'!$E:$E, $E38)</f>
        <v>0</v>
      </c>
      <c r="O38" s="20">
        <f>SUMIFS('3월 단양 개인별 STAT'!O:O, '3월 단양 개인별 STAT'!$D:$D, $D38, '3월 단양 개인별 STAT'!$E:$E, $E38) + SUMIFS('4월 삼척 개인별 STAT'!O:O, '4월 삼척 개인별 STAT'!$D:$D, $D38, '4월 삼척 개인별 STAT'!$E:$E, $E38)</f>
        <v>1</v>
      </c>
      <c r="P38" s="20">
        <f>SUMIFS('3월 단양 개인별 STAT'!P:P, '3월 단양 개인별 STAT'!$D:$D, $D38, '3월 단양 개인별 STAT'!$E:$E, $E38) + SUMIFS('4월 삼척 개인별 STAT'!P:P, '4월 삼척 개인별 STAT'!$D:$D, $D38, '4월 삼척 개인별 STAT'!$E:$E, $E38)</f>
        <v>0</v>
      </c>
      <c r="Q38" s="20">
        <f>SUMIFS('3월 단양 개인별 STAT'!Q:Q, '3월 단양 개인별 STAT'!$D:$D, $D38, '3월 단양 개인별 STAT'!$E:$E, $E38) + SUMIFS('4월 삼척 개인별 STAT'!Q:Q, '4월 삼척 개인별 STAT'!$D:$D, $D38, '4월 삼척 개인별 STAT'!$E:$E, $E38)</f>
        <v>0</v>
      </c>
      <c r="R38" s="30" t="str">
        <f t="shared" si="3"/>
        <v>-</v>
      </c>
      <c r="S38" s="22" t="str">
        <f t="shared" si="4"/>
        <v>-</v>
      </c>
      <c r="T38" s="20">
        <f>SUMIFS('3월 단양 개인별 STAT'!T:T, '3월 단양 개인별 STAT'!$D:$D, $D38, '3월 단양 개인별 STAT'!$E:$E, $E38) + SUMIFS('4월 삼척 개인별 STAT'!T:T, '4월 삼척 개인별 STAT'!$D:$D, $D38, '4월 삼척 개인별 STAT'!$E:$E, $E38)</f>
        <v>0</v>
      </c>
      <c r="U38" s="20">
        <f>SUMIFS('3월 단양 개인별 STAT'!U:U, '3월 단양 개인별 STAT'!$D:$D, $D38, '3월 단양 개인별 STAT'!$E:$E, $E38) + SUMIFS('4월 삼척 개인별 STAT'!U:U, '4월 삼척 개인별 STAT'!$D:$D, $D38, '4월 삼척 개인별 STAT'!$E:$E, $E38)</f>
        <v>0</v>
      </c>
      <c r="V38" s="20">
        <f>SUMIFS('3월 단양 개인별 STAT'!V:V, '3월 단양 개인별 STAT'!$D:$D, $D38, '3월 단양 개인별 STAT'!$E:$E, $E38) + SUMIFS('4월 삼척 개인별 STAT'!V:V, '4월 삼척 개인별 STAT'!$D:$D, $D38, '4월 삼척 개인별 STAT'!$E:$E, $E38)</f>
        <v>0</v>
      </c>
      <c r="W38" s="20">
        <f>SUMIFS('3월 단양 개인별 STAT'!W:W, '3월 단양 개인별 STAT'!$D:$D, $D38, '3월 단양 개인별 STAT'!$E:$E, $E38) + SUMIFS('4월 삼척 개인별 STAT'!W:W, '4월 삼척 개인별 STAT'!$D:$D, $D38, '4월 삼척 개인별 STAT'!$E:$E, $E38)</f>
        <v>0</v>
      </c>
      <c r="X38" s="20">
        <f>SUMIFS('3월 단양 개인별 STAT'!X:X, '3월 단양 개인별 STAT'!$D:$D, $D38, '3월 단양 개인별 STAT'!$E:$E, $E38) + SUMIFS('4월 삼척 개인별 STAT'!X:X, '4월 삼척 개인별 STAT'!$D:$D, $D38, '4월 삼척 개인별 STAT'!$E:$E, $E38)</f>
        <v>0</v>
      </c>
      <c r="Y38" s="20">
        <f>SUMIFS('3월 단양 개인별 STAT'!Y:Y, '3월 단양 개인별 STAT'!$D:$D, $D38, '3월 단양 개인별 STAT'!$E:$E, $E38) + SUMIFS('4월 삼척 개인별 STAT'!Y:Y, '4월 삼척 개인별 STAT'!$D:$D, $D38, '4월 삼척 개인별 STAT'!$E:$E, $E38)</f>
        <v>1</v>
      </c>
      <c r="Z38" s="21">
        <f t="shared" si="5"/>
        <v>1</v>
      </c>
      <c r="AA38" s="20">
        <f>SUMIFS('3월 단양 개인별 STAT'!AA:AA, '3월 단양 개인별 STAT'!$D:$D, $D38, '3월 단양 개인별 STAT'!$E:$E, $E38) + SUMIFS('4월 삼척 개인별 STAT'!AA:AA, '4월 삼척 개인별 STAT'!$D:$D, $D38, '4월 삼척 개인별 STAT'!$E:$E, $E38)</f>
        <v>0</v>
      </c>
      <c r="AB38" s="30" t="str">
        <f t="shared" si="6"/>
        <v>-</v>
      </c>
      <c r="AC38" s="23">
        <f t="shared" si="7"/>
        <v>0</v>
      </c>
      <c r="AD38" s="21">
        <f t="shared" si="8"/>
        <v>12</v>
      </c>
      <c r="AE38" s="20">
        <f>SUMIFS('3월 단양 개인별 STAT'!AE:AE, '3월 단양 개인별 STAT'!$D:$D, $D38, '3월 단양 개인별 STAT'!$E:$E, $E38) + SUMIFS('4월 삼척 개인별 STAT'!AE:AE, '4월 삼척 개인별 STAT'!$D:$D, $D38, '4월 삼척 개인별 STAT'!$E:$E, $E38)</f>
        <v>11</v>
      </c>
      <c r="AF38" s="20">
        <f>SUMIFS('3월 단양 개인별 STAT'!AF:AF, '3월 단양 개인별 STAT'!$D:$D, $D38, '3월 단양 개인별 STAT'!$E:$E, $E38) + SUMIFS('4월 삼척 개인별 STAT'!AF:AF, '4월 삼척 개인별 STAT'!$D:$D, $D38, '4월 삼척 개인별 STAT'!$E:$E, $E38)</f>
        <v>1</v>
      </c>
      <c r="AG38" s="24">
        <f t="shared" si="9"/>
        <v>91.66666667</v>
      </c>
      <c r="AH38" s="20">
        <f>SUMIFS('3월 단양 개인별 STAT'!AH:AH, '3월 단양 개인별 STAT'!$D:$D, $D38, '3월 단양 개인별 STAT'!$E:$E, $E38) + SUMIFS('4월 삼척 개인별 STAT'!AH:AH, '4월 삼척 개인별 STAT'!$D:$D, $D38, '4월 삼척 개인별 STAT'!$E:$E, $E38)</f>
        <v>4</v>
      </c>
      <c r="AI38" s="22" t="str">
        <f t="shared" si="10"/>
        <v>0.57</v>
      </c>
      <c r="AJ38" s="25"/>
      <c r="AK38" s="26"/>
      <c r="AL38" s="27">
        <f t="shared" si="11"/>
        <v>0</v>
      </c>
      <c r="AM38" s="27" t="str">
        <f t="shared" si="30"/>
        <v>-</v>
      </c>
      <c r="AN38" s="28" t="str">
        <f t="shared" si="13"/>
        <v>-</v>
      </c>
      <c r="AO38" s="27">
        <f t="shared" si="14"/>
        <v>0</v>
      </c>
      <c r="AP38" s="27">
        <f t="shared" si="15"/>
        <v>0</v>
      </c>
      <c r="AQ38" s="27" t="str">
        <f t="shared" ref="AQ38:AR38" si="52">iferror(AB38/$M38,"-")</f>
        <v>-</v>
      </c>
      <c r="AR38" s="27">
        <f t="shared" si="52"/>
        <v>0</v>
      </c>
      <c r="AS38" s="29">
        <f t="shared" si="17"/>
        <v>0.1428571429</v>
      </c>
      <c r="AT38" s="29" t="str">
        <f t="shared" si="18"/>
        <v>0.57</v>
      </c>
      <c r="AU38" s="26"/>
      <c r="AV38" s="26"/>
      <c r="AW38" s="26"/>
      <c r="AX38" s="26"/>
    </row>
    <row r="39">
      <c r="B39" s="17">
        <v>36.0</v>
      </c>
      <c r="C39" s="18">
        <f t="shared" si="2"/>
        <v>7</v>
      </c>
      <c r="D39" s="19" t="s">
        <v>83</v>
      </c>
      <c r="E39" s="19" t="s">
        <v>90</v>
      </c>
      <c r="F39" s="19">
        <v>3.0</v>
      </c>
      <c r="G39" s="19" t="s">
        <v>50</v>
      </c>
      <c r="H39" s="19" t="s">
        <v>48</v>
      </c>
      <c r="I39" s="19">
        <v>162.0</v>
      </c>
      <c r="J39" s="19">
        <v>56.0</v>
      </c>
      <c r="K39" s="20">
        <v>7.0</v>
      </c>
      <c r="L39" s="20">
        <f>SUMIFS('3월 단양 개인별 STAT'!L:L, '3월 단양 개인별 STAT'!$D:$D, $D39, '3월 단양 개인별 STAT'!$E:$E, $E39) + SUMIFS('4월 삼척 개인별 STAT'!L:L, '4월 삼척 개인별 STAT'!$D:$D, $D39, '4월 삼척 개인별 STAT'!$E:$E, $E39)</f>
        <v>6</v>
      </c>
      <c r="M39" s="20">
        <f>SUMIFS('3월 단양 개인별 STAT'!M:M, '3월 단양 개인별 STAT'!$D:$D, $D39, '3월 단양 개인별 STAT'!$E:$E, $E39) + SUMIFS('4월 삼척 개인별 STAT'!M:M, '4월 삼척 개인별 STAT'!$D:$D, $D39, '4월 삼척 개인별 STAT'!$E:$E, $E39)</f>
        <v>24</v>
      </c>
      <c r="N39" s="20">
        <f>SUMIFS('3월 단양 개인별 STAT'!N:N, '3월 단양 개인별 STAT'!$D:$D, $D39, '3월 단양 개인별 STAT'!$E:$E, $E39) + SUMIFS('4월 삼척 개인별 STAT'!N:N, '4월 삼척 개인별 STAT'!$D:$D, $D39, '4월 삼척 개인별 STAT'!$E:$E, $E39)</f>
        <v>0</v>
      </c>
      <c r="O39" s="20">
        <f>SUMIFS('3월 단양 개인별 STAT'!O:O, '3월 단양 개인별 STAT'!$D:$D, $D39, '3월 단양 개인별 STAT'!$E:$E, $E39) + SUMIFS('4월 삼척 개인별 STAT'!O:O, '4월 삼척 개인별 STAT'!$D:$D, $D39, '4월 삼척 개인별 STAT'!$E:$E, $E39)</f>
        <v>11</v>
      </c>
      <c r="P39" s="20">
        <f>SUMIFS('3월 단양 개인별 STAT'!P:P, '3월 단양 개인별 STAT'!$D:$D, $D39, '3월 단양 개인별 STAT'!$E:$E, $E39) + SUMIFS('4월 삼척 개인별 STAT'!P:P, '4월 삼척 개인별 STAT'!$D:$D, $D39, '4월 삼척 개인별 STAT'!$E:$E, $E39)</f>
        <v>0</v>
      </c>
      <c r="Q39" s="20">
        <f>SUMIFS('3월 단양 개인별 STAT'!Q:Q, '3월 단양 개인별 STAT'!$D:$D, $D39, '3월 단양 개인별 STAT'!$E:$E, $E39) + SUMIFS('4월 삼척 개인별 STAT'!Q:Q, '4월 삼척 개인별 STAT'!$D:$D, $D39, '4월 삼척 개인별 STAT'!$E:$E, $E39)</f>
        <v>0</v>
      </c>
      <c r="R39" s="30" t="str">
        <f t="shared" si="3"/>
        <v>-</v>
      </c>
      <c r="S39" s="22" t="str">
        <f t="shared" si="4"/>
        <v>-</v>
      </c>
      <c r="T39" s="20">
        <f>SUMIFS('3월 단양 개인별 STAT'!T:T, '3월 단양 개인별 STAT'!$D:$D, $D39, '3월 단양 개인별 STAT'!$E:$E, $E39) + SUMIFS('4월 삼척 개인별 STAT'!T:T, '4월 삼척 개인별 STAT'!$D:$D, $D39, '4월 삼척 개인별 STAT'!$E:$E, $E39)</f>
        <v>0</v>
      </c>
      <c r="U39" s="20">
        <f>SUMIFS('3월 단양 개인별 STAT'!U:U, '3월 단양 개인별 STAT'!$D:$D, $D39, '3월 단양 개인별 STAT'!$E:$E, $E39) + SUMIFS('4월 삼척 개인별 STAT'!U:U, '4월 삼척 개인별 STAT'!$D:$D, $D39, '4월 삼척 개인별 STAT'!$E:$E, $E39)</f>
        <v>0</v>
      </c>
      <c r="V39" s="20">
        <f>SUMIFS('3월 단양 개인별 STAT'!V:V, '3월 단양 개인별 STAT'!$D:$D, $D39, '3월 단양 개인별 STAT'!$E:$E, $E39) + SUMIFS('4월 삼척 개인별 STAT'!V:V, '4월 삼척 개인별 STAT'!$D:$D, $D39, '4월 삼척 개인별 STAT'!$E:$E, $E39)</f>
        <v>0</v>
      </c>
      <c r="W39" s="20">
        <f>SUMIFS('3월 단양 개인별 STAT'!W:W, '3월 단양 개인별 STAT'!$D:$D, $D39, '3월 단양 개인별 STAT'!$E:$E, $E39) + SUMIFS('4월 삼척 개인별 STAT'!W:W, '4월 삼척 개인별 STAT'!$D:$D, $D39, '4월 삼척 개인별 STAT'!$E:$E, $E39)</f>
        <v>0</v>
      </c>
      <c r="X39" s="20">
        <f>SUMIFS('3월 단양 개인별 STAT'!X:X, '3월 단양 개인별 STAT'!$D:$D, $D39, '3월 단양 개인별 STAT'!$E:$E, $E39) + SUMIFS('4월 삼척 개인별 STAT'!X:X, '4월 삼척 개인별 STAT'!$D:$D, $D39, '4월 삼척 개인별 STAT'!$E:$E, $E39)</f>
        <v>0</v>
      </c>
      <c r="Y39" s="20">
        <f>SUMIFS('3월 단양 개인별 STAT'!Y:Y, '3월 단양 개인별 STAT'!$D:$D, $D39, '3월 단양 개인별 STAT'!$E:$E, $E39) + SUMIFS('4월 삼척 개인별 STAT'!Y:Y, '4월 삼척 개인별 STAT'!$D:$D, $D39, '4월 삼척 개인별 STAT'!$E:$E, $E39)</f>
        <v>0</v>
      </c>
      <c r="Z39" s="30" t="str">
        <f t="shared" si="5"/>
        <v>-</v>
      </c>
      <c r="AA39" s="20">
        <f>SUMIFS('3월 단양 개인별 STAT'!AA:AA, '3월 단양 개인별 STAT'!$D:$D, $D39, '3월 단양 개인별 STAT'!$E:$E, $E39) + SUMIFS('4월 삼척 개인별 STAT'!AA:AA, '4월 삼척 개인별 STAT'!$D:$D, $D39, '4월 삼척 개인별 STAT'!$E:$E, $E39)</f>
        <v>1</v>
      </c>
      <c r="AB39" s="30" t="str">
        <f t="shared" si="6"/>
        <v>-</v>
      </c>
      <c r="AC39" s="23">
        <f t="shared" si="7"/>
        <v>0</v>
      </c>
      <c r="AD39" s="21">
        <f t="shared" si="8"/>
        <v>111</v>
      </c>
      <c r="AE39" s="20">
        <f>SUMIFS('3월 단양 개인별 STAT'!AE:AE, '3월 단양 개인별 STAT'!$D:$D, $D39, '3월 단양 개인별 STAT'!$E:$E, $E39) + SUMIFS('4월 삼척 개인별 STAT'!AE:AE, '4월 삼척 개인별 STAT'!$D:$D, $D39, '4월 삼척 개인별 STAT'!$E:$E, $E39)</f>
        <v>97</v>
      </c>
      <c r="AF39" s="20">
        <f>SUMIFS('3월 단양 개인별 STAT'!AF:AF, '3월 단양 개인별 STAT'!$D:$D, $D39, '3월 단양 개인별 STAT'!$E:$E, $E39) + SUMIFS('4월 삼척 개인별 STAT'!AF:AF, '4월 삼척 개인별 STAT'!$D:$D, $D39, '4월 삼척 개인별 STAT'!$E:$E, $E39)</f>
        <v>14</v>
      </c>
      <c r="AG39" s="24">
        <f t="shared" si="9"/>
        <v>87.38738739</v>
      </c>
      <c r="AH39" s="20">
        <f>SUMIFS('3월 단양 개인별 STAT'!AH:AH, '3월 단양 개인별 STAT'!$D:$D, $D39, '3월 단양 개인별 STAT'!$E:$E, $E39) + SUMIFS('4월 삼척 개인별 STAT'!AH:AH, '4월 삼척 개인별 STAT'!$D:$D, $D39, '4월 삼척 개인별 STAT'!$E:$E, $E39)</f>
        <v>62</v>
      </c>
      <c r="AI39" s="22" t="str">
        <f t="shared" si="10"/>
        <v>2.58</v>
      </c>
      <c r="AJ39" s="25"/>
      <c r="AK39" s="26"/>
      <c r="AL39" s="27">
        <f t="shared" si="11"/>
        <v>0</v>
      </c>
      <c r="AM39" s="27" t="str">
        <f t="shared" si="30"/>
        <v>-</v>
      </c>
      <c r="AN39" s="28" t="str">
        <f t="shared" si="13"/>
        <v>-</v>
      </c>
      <c r="AO39" s="27">
        <f t="shared" si="14"/>
        <v>0</v>
      </c>
      <c r="AP39" s="27">
        <f t="shared" si="15"/>
        <v>0</v>
      </c>
      <c r="AQ39" s="27" t="str">
        <f t="shared" ref="AQ39:AR39" si="53">iferror(AB39/$M39,"-")</f>
        <v>-</v>
      </c>
      <c r="AR39" s="27">
        <f t="shared" si="53"/>
        <v>0</v>
      </c>
      <c r="AS39" s="29">
        <f t="shared" si="17"/>
        <v>0.5833333333</v>
      </c>
      <c r="AT39" s="29" t="str">
        <f t="shared" si="18"/>
        <v>2.58</v>
      </c>
      <c r="AU39" s="26"/>
      <c r="AV39" s="26"/>
      <c r="AW39" s="26"/>
      <c r="AX39" s="26"/>
    </row>
    <row r="40">
      <c r="B40" s="17">
        <v>37.0</v>
      </c>
      <c r="C40" s="18">
        <f t="shared" si="2"/>
        <v>8</v>
      </c>
      <c r="D40" s="19" t="s">
        <v>83</v>
      </c>
      <c r="E40" s="19" t="s">
        <v>91</v>
      </c>
      <c r="F40" s="19">
        <v>1.0</v>
      </c>
      <c r="G40" s="19" t="s">
        <v>54</v>
      </c>
      <c r="H40" s="19" t="s">
        <v>57</v>
      </c>
      <c r="I40" s="19">
        <v>168.0</v>
      </c>
      <c r="J40" s="19">
        <v>59.0</v>
      </c>
      <c r="K40" s="20">
        <v>8.0</v>
      </c>
      <c r="L40" s="20">
        <f>SUMIFS('3월 단양 개인별 STAT'!L:L, '3월 단양 개인별 STAT'!$D:$D, $D40, '3월 단양 개인별 STAT'!$E:$E, $E40) + SUMIFS('4월 삼척 개인별 STAT'!L:L, '4월 삼척 개인별 STAT'!$D:$D, $D40, '4월 삼척 개인별 STAT'!$E:$E, $E40)</f>
        <v>2</v>
      </c>
      <c r="M40" s="20">
        <f>SUMIFS('3월 단양 개인별 STAT'!M:M, '3월 단양 개인별 STAT'!$D:$D, $D40, '3월 단양 개인별 STAT'!$E:$E, $E40) + SUMIFS('4월 삼척 개인별 STAT'!M:M, '4월 삼척 개인별 STAT'!$D:$D, $D40, '4월 삼척 개인별 STAT'!$E:$E, $E40)</f>
        <v>2</v>
      </c>
      <c r="N40" s="20">
        <f>SUMIFS('3월 단양 개인별 STAT'!N:N, '3월 단양 개인별 STAT'!$D:$D, $D40, '3월 단양 개인별 STAT'!$E:$E, $E40) + SUMIFS('4월 삼척 개인별 STAT'!N:N, '4월 삼척 개인별 STAT'!$D:$D, $D40, '4월 삼척 개인별 STAT'!$E:$E, $E40)</f>
        <v>0</v>
      </c>
      <c r="O40" s="20">
        <f>SUMIFS('3월 단양 개인별 STAT'!O:O, '3월 단양 개인별 STAT'!$D:$D, $D40, '3월 단양 개인별 STAT'!$E:$E, $E40) + SUMIFS('4월 삼척 개인별 STAT'!O:O, '4월 삼척 개인별 STAT'!$D:$D, $D40, '4월 삼척 개인별 STAT'!$E:$E, $E40)</f>
        <v>0</v>
      </c>
      <c r="P40" s="20">
        <f>SUMIFS('3월 단양 개인별 STAT'!P:P, '3월 단양 개인별 STAT'!$D:$D, $D40, '3월 단양 개인별 STAT'!$E:$E, $E40) + SUMIFS('4월 삼척 개인별 STAT'!P:P, '4월 삼척 개인별 STAT'!$D:$D, $D40, '4월 삼척 개인별 STAT'!$E:$E, $E40)</f>
        <v>1</v>
      </c>
      <c r="Q40" s="20">
        <f>SUMIFS('3월 단양 개인별 STAT'!Q:Q, '3월 단양 개인별 STAT'!$D:$D, $D40, '3월 단양 개인별 STAT'!$E:$E, $E40) + SUMIFS('4월 삼척 개인별 STAT'!Q:Q, '4월 삼척 개인별 STAT'!$D:$D, $D40, '4월 삼척 개인별 STAT'!$E:$E, $E40)</f>
        <v>0</v>
      </c>
      <c r="R40" s="21">
        <f t="shared" si="3"/>
        <v>1</v>
      </c>
      <c r="S40" s="22" t="str">
        <f t="shared" si="4"/>
        <v>-</v>
      </c>
      <c r="T40" s="20">
        <f>SUMIFS('3월 단양 개인별 STAT'!T:T, '3월 단양 개인별 STAT'!$D:$D, $D40, '3월 단양 개인별 STAT'!$E:$E, $E40) + SUMIFS('4월 삼척 개인별 STAT'!T:T, '4월 삼척 개인별 STAT'!$D:$D, $D40, '4월 삼척 개인별 STAT'!$E:$E, $E40)</f>
        <v>0</v>
      </c>
      <c r="U40" s="20">
        <f>SUMIFS('3월 단양 개인별 STAT'!U:U, '3월 단양 개인별 STAT'!$D:$D, $D40, '3월 단양 개인별 STAT'!$E:$E, $E40) + SUMIFS('4월 삼척 개인별 STAT'!U:U, '4월 삼척 개인별 STAT'!$D:$D, $D40, '4월 삼척 개인별 STAT'!$E:$E, $E40)</f>
        <v>0</v>
      </c>
      <c r="V40" s="20">
        <f>SUMIFS('3월 단양 개인별 STAT'!V:V, '3월 단양 개인별 STAT'!$D:$D, $D40, '3월 단양 개인별 STAT'!$E:$E, $E40) + SUMIFS('4월 삼척 개인별 STAT'!V:V, '4월 삼척 개인별 STAT'!$D:$D, $D40, '4월 삼척 개인별 STAT'!$E:$E, $E40)</f>
        <v>0</v>
      </c>
      <c r="W40" s="20">
        <f>SUMIFS('3월 단양 개인별 STAT'!W:W, '3월 단양 개인별 STAT'!$D:$D, $D40, '3월 단양 개인별 STAT'!$E:$E, $E40) + SUMIFS('4월 삼척 개인별 STAT'!W:W, '4월 삼척 개인별 STAT'!$D:$D, $D40, '4월 삼척 개인별 STAT'!$E:$E, $E40)</f>
        <v>2</v>
      </c>
      <c r="X40" s="20">
        <f>SUMIFS('3월 단양 개인별 STAT'!X:X, '3월 단양 개인별 STAT'!$D:$D, $D40, '3월 단양 개인별 STAT'!$E:$E, $E40) + SUMIFS('4월 삼척 개인별 STAT'!X:X, '4월 삼척 개인별 STAT'!$D:$D, $D40, '4월 삼척 개인별 STAT'!$E:$E, $E40)</f>
        <v>0</v>
      </c>
      <c r="Y40" s="20">
        <f>SUMIFS('3월 단양 개인별 STAT'!Y:Y, '3월 단양 개인별 STAT'!$D:$D, $D40, '3월 단양 개인별 STAT'!$E:$E, $E40) + SUMIFS('4월 삼척 개인별 STAT'!Y:Y, '4월 삼척 개인별 STAT'!$D:$D, $D40, '4월 삼척 개인별 STAT'!$E:$E, $E40)</f>
        <v>0</v>
      </c>
      <c r="Z40" s="21">
        <f t="shared" si="5"/>
        <v>2</v>
      </c>
      <c r="AA40" s="20">
        <f>SUMIFS('3월 단양 개인별 STAT'!AA:AA, '3월 단양 개인별 STAT'!$D:$D, $D40, '3월 단양 개인별 STAT'!$E:$E, $E40) + SUMIFS('4월 삼척 개인별 STAT'!AA:AA, '4월 삼척 개인별 STAT'!$D:$D, $D40, '4월 삼척 개인별 STAT'!$E:$E, $E40)</f>
        <v>0</v>
      </c>
      <c r="AB40" s="30" t="str">
        <f t="shared" si="6"/>
        <v>-</v>
      </c>
      <c r="AC40" s="23">
        <f t="shared" si="7"/>
        <v>0</v>
      </c>
      <c r="AD40" s="30" t="str">
        <f t="shared" si="8"/>
        <v>-</v>
      </c>
      <c r="AE40" s="20">
        <f>SUMIFS('3월 단양 개인별 STAT'!AE:AE, '3월 단양 개인별 STAT'!$D:$D, $D40, '3월 단양 개인별 STAT'!$E:$E, $E40) + SUMIFS('4월 삼척 개인별 STAT'!AE:AE, '4월 삼척 개인별 STAT'!$D:$D, $D40, '4월 삼척 개인별 STAT'!$E:$E, $E40)</f>
        <v>0</v>
      </c>
      <c r="AF40" s="20">
        <f>SUMIFS('3월 단양 개인별 STAT'!AF:AF, '3월 단양 개인별 STAT'!$D:$D, $D40, '3월 단양 개인별 STAT'!$E:$E, $E40) + SUMIFS('4월 삼척 개인별 STAT'!AF:AF, '4월 삼척 개인별 STAT'!$D:$D, $D40, '4월 삼척 개인별 STAT'!$E:$E, $E40)</f>
        <v>0</v>
      </c>
      <c r="AG40" s="24" t="str">
        <f t="shared" si="9"/>
        <v>-</v>
      </c>
      <c r="AH40" s="20">
        <f>SUMIFS('3월 단양 개인별 STAT'!AH:AH, '3월 단양 개인별 STAT'!$D:$D, $D40, '3월 단양 개인별 STAT'!$E:$E, $E40) + SUMIFS('4월 삼척 개인별 STAT'!AH:AH, '4월 삼척 개인별 STAT'!$D:$D, $D40, '4월 삼척 개인별 STAT'!$E:$E, $E40)</f>
        <v>1</v>
      </c>
      <c r="AI40" s="22" t="str">
        <f t="shared" si="10"/>
        <v>0.50</v>
      </c>
      <c r="AJ40" s="25"/>
      <c r="AK40" s="26"/>
      <c r="AL40" s="27">
        <f t="shared" si="11"/>
        <v>0</v>
      </c>
      <c r="AM40" s="27">
        <f t="shared" si="30"/>
        <v>0.5</v>
      </c>
      <c r="AN40" s="28">
        <f t="shared" si="13"/>
        <v>0</v>
      </c>
      <c r="AO40" s="27">
        <f t="shared" si="14"/>
        <v>0</v>
      </c>
      <c r="AP40" s="27">
        <f t="shared" si="15"/>
        <v>0</v>
      </c>
      <c r="AQ40" s="27" t="str">
        <f t="shared" ref="AQ40:AR40" si="54">iferror(AB40/$M40,"-")</f>
        <v>-</v>
      </c>
      <c r="AR40" s="27">
        <f t="shared" si="54"/>
        <v>0</v>
      </c>
      <c r="AS40" s="29">
        <f t="shared" si="17"/>
        <v>0</v>
      </c>
      <c r="AT40" s="29" t="str">
        <f t="shared" si="18"/>
        <v>0.50</v>
      </c>
      <c r="AU40" s="26"/>
      <c r="AV40" s="26"/>
      <c r="AW40" s="26"/>
      <c r="AX40" s="26"/>
    </row>
    <row r="41">
      <c r="B41" s="17">
        <v>38.0</v>
      </c>
      <c r="C41" s="18">
        <f t="shared" si="2"/>
        <v>9</v>
      </c>
      <c r="D41" s="19" t="s">
        <v>83</v>
      </c>
      <c r="E41" s="19" t="s">
        <v>92</v>
      </c>
      <c r="F41" s="19">
        <v>3.0</v>
      </c>
      <c r="G41" s="19" t="s">
        <v>54</v>
      </c>
      <c r="H41" s="19" t="s">
        <v>57</v>
      </c>
      <c r="I41" s="19">
        <v>167.0</v>
      </c>
      <c r="J41" s="19">
        <v>53.0</v>
      </c>
      <c r="K41" s="20">
        <v>9.0</v>
      </c>
      <c r="L41" s="20">
        <f>SUMIFS('3월 단양 개인별 STAT'!L:L, '3월 단양 개인별 STAT'!$D:$D, $D41, '3월 단양 개인별 STAT'!$E:$E, $E41) + SUMIFS('4월 삼척 개인별 STAT'!L:L, '4월 삼척 개인별 STAT'!$D:$D, $D41, '4월 삼척 개인별 STAT'!$E:$E, $E41)</f>
        <v>6</v>
      </c>
      <c r="M41" s="20">
        <f>SUMIFS('3월 단양 개인별 STAT'!M:M, '3월 단양 개인별 STAT'!$D:$D, $D41, '3월 단양 개인별 STAT'!$E:$E, $E41) + SUMIFS('4월 삼척 개인별 STAT'!M:M, '4월 삼척 개인별 STAT'!$D:$D, $D41, '4월 삼척 개인별 STAT'!$E:$E, $E41)</f>
        <v>17</v>
      </c>
      <c r="N41" s="20">
        <f>SUMIFS('3월 단양 개인별 STAT'!N:N, '3월 단양 개인별 STAT'!$D:$D, $D41, '3월 단양 개인별 STAT'!$E:$E, $E41) + SUMIFS('4월 삼척 개인별 STAT'!N:N, '4월 삼척 개인별 STAT'!$D:$D, $D41, '4월 삼척 개인별 STAT'!$E:$E, $E41)</f>
        <v>2</v>
      </c>
      <c r="O41" s="20">
        <f>SUMIFS('3월 단양 개인별 STAT'!O:O, '3월 단양 개인별 STAT'!$D:$D, $D41, '3월 단양 개인별 STAT'!$E:$E, $E41) + SUMIFS('4월 삼척 개인별 STAT'!O:O, '4월 삼척 개인별 STAT'!$D:$D, $D41, '4월 삼척 개인별 STAT'!$E:$E, $E41)</f>
        <v>123</v>
      </c>
      <c r="P41" s="20">
        <f>SUMIFS('3월 단양 개인별 STAT'!P:P, '3월 단양 개인별 STAT'!$D:$D, $D41, '3월 단양 개인별 STAT'!$E:$E, $E41) + SUMIFS('4월 삼척 개인별 STAT'!P:P, '4월 삼척 개인별 STAT'!$D:$D, $D41, '4월 삼척 개인별 STAT'!$E:$E, $E41)</f>
        <v>8</v>
      </c>
      <c r="Q41" s="20">
        <f>SUMIFS('3월 단양 개인별 STAT'!Q:Q, '3월 단양 개인별 STAT'!$D:$D, $D41, '3월 단양 개인별 STAT'!$E:$E, $E41) + SUMIFS('4월 삼척 개인별 STAT'!Q:Q, '4월 삼척 개인별 STAT'!$D:$D, $D41, '4월 삼척 개인별 STAT'!$E:$E, $E41)</f>
        <v>2</v>
      </c>
      <c r="R41" s="21">
        <f t="shared" si="3"/>
        <v>12</v>
      </c>
      <c r="S41" s="22" t="str">
        <f t="shared" si="4"/>
        <v>-</v>
      </c>
      <c r="T41" s="20">
        <f>SUMIFS('3월 단양 개인별 STAT'!T:T, '3월 단양 개인별 STAT'!$D:$D, $D41, '3월 단양 개인별 STAT'!$E:$E, $E41) + SUMIFS('4월 삼척 개인별 STAT'!T:T, '4월 삼척 개인별 STAT'!$D:$D, $D41, '4월 삼척 개인별 STAT'!$E:$E, $E41)</f>
        <v>0</v>
      </c>
      <c r="U41" s="20">
        <f>SUMIFS('3월 단양 개인별 STAT'!U:U, '3월 단양 개인별 STAT'!$D:$D, $D41, '3월 단양 개인별 STAT'!$E:$E, $E41) + SUMIFS('4월 삼척 개인별 STAT'!U:U, '4월 삼척 개인별 STAT'!$D:$D, $D41, '4월 삼척 개인별 STAT'!$E:$E, $E41)</f>
        <v>0</v>
      </c>
      <c r="V41" s="20">
        <f>SUMIFS('3월 단양 개인별 STAT'!V:V, '3월 단양 개인별 STAT'!$D:$D, $D41, '3월 단양 개인별 STAT'!$E:$E, $E41) + SUMIFS('4월 삼척 개인별 STAT'!V:V, '4월 삼척 개인별 STAT'!$D:$D, $D41, '4월 삼척 개인별 STAT'!$E:$E, $E41)</f>
        <v>0</v>
      </c>
      <c r="W41" s="20">
        <f>SUMIFS('3월 단양 개인별 STAT'!W:W, '3월 단양 개인별 STAT'!$D:$D, $D41, '3월 단양 개인별 STAT'!$E:$E, $E41) + SUMIFS('4월 삼척 개인별 STAT'!W:W, '4월 삼척 개인별 STAT'!$D:$D, $D41, '4월 삼척 개인별 STAT'!$E:$E, $E41)</f>
        <v>37</v>
      </c>
      <c r="X41" s="20">
        <f>SUMIFS('3월 단양 개인별 STAT'!X:X, '3월 단양 개인별 STAT'!$D:$D, $D41, '3월 단양 개인별 STAT'!$E:$E, $E41) + SUMIFS('4월 삼척 개인별 STAT'!X:X, '4월 삼척 개인별 STAT'!$D:$D, $D41, '4월 삼척 개인별 STAT'!$E:$E, $E41)</f>
        <v>1</v>
      </c>
      <c r="Y41" s="20">
        <f>SUMIFS('3월 단양 개인별 STAT'!Y:Y, '3월 단양 개인별 STAT'!$D:$D, $D41, '3월 단양 개인별 STAT'!$E:$E, $E41) + SUMIFS('4월 삼척 개인별 STAT'!Y:Y, '4월 삼척 개인별 STAT'!$D:$D, $D41, '4월 삼척 개인별 STAT'!$E:$E, $E41)</f>
        <v>1</v>
      </c>
      <c r="Z41" s="21">
        <f t="shared" si="5"/>
        <v>39</v>
      </c>
      <c r="AA41" s="20">
        <f>SUMIFS('3월 단양 개인별 STAT'!AA:AA, '3월 단양 개인별 STAT'!$D:$D, $D41, '3월 단양 개인별 STAT'!$E:$E, $E41) + SUMIFS('4월 삼척 개인별 STAT'!AA:AA, '4월 삼척 개인별 STAT'!$D:$D, $D41, '4월 삼척 개인별 STAT'!$E:$E, $E41)</f>
        <v>5</v>
      </c>
      <c r="AB41" s="21">
        <f t="shared" si="6"/>
        <v>3</v>
      </c>
      <c r="AC41" s="23">
        <f t="shared" si="7"/>
        <v>3</v>
      </c>
      <c r="AD41" s="21">
        <f t="shared" si="8"/>
        <v>8</v>
      </c>
      <c r="AE41" s="20">
        <f>SUMIFS('3월 단양 개인별 STAT'!AE:AE, '3월 단양 개인별 STAT'!$D:$D, $D41, '3월 단양 개인별 STAT'!$E:$E, $E41) + SUMIFS('4월 삼척 개인별 STAT'!AE:AE, '4월 삼척 개인별 STAT'!$D:$D, $D41, '4월 삼척 개인별 STAT'!$E:$E, $E41)</f>
        <v>3</v>
      </c>
      <c r="AF41" s="20">
        <f>SUMIFS('3월 단양 개인별 STAT'!AF:AF, '3월 단양 개인별 STAT'!$D:$D, $D41, '3월 단양 개인별 STAT'!$E:$E, $E41) + SUMIFS('4월 삼척 개인별 STAT'!AF:AF, '4월 삼척 개인별 STAT'!$D:$D, $D41, '4월 삼척 개인별 STAT'!$E:$E, $E41)</f>
        <v>5</v>
      </c>
      <c r="AG41" s="24">
        <f t="shared" si="9"/>
        <v>37.5</v>
      </c>
      <c r="AH41" s="20">
        <f>SUMIFS('3월 단양 개인별 STAT'!AH:AH, '3월 단양 개인별 STAT'!$D:$D, $D41, '3월 단양 개인별 STAT'!$E:$E, $E41) + SUMIFS('4월 삼척 개인별 STAT'!AH:AH, '4월 삼척 개인별 STAT'!$D:$D, $D41, '4월 삼척 개인별 STAT'!$E:$E, $E41)</f>
        <v>18</v>
      </c>
      <c r="AI41" s="22" t="str">
        <f t="shared" si="10"/>
        <v>1.06</v>
      </c>
      <c r="AJ41" s="25"/>
      <c r="AK41" s="26"/>
      <c r="AL41" s="27">
        <f t="shared" si="11"/>
        <v>0.1176470588</v>
      </c>
      <c r="AM41" s="27">
        <f t="shared" si="30"/>
        <v>0.7058823529</v>
      </c>
      <c r="AN41" s="28">
        <f t="shared" si="13"/>
        <v>0.1666666667</v>
      </c>
      <c r="AO41" s="27">
        <f t="shared" si="14"/>
        <v>0</v>
      </c>
      <c r="AP41" s="27">
        <f t="shared" si="15"/>
        <v>0.05882352941</v>
      </c>
      <c r="AQ41" s="27">
        <f t="shared" ref="AQ41:AR41" si="55">iferror(AB41/$M41,"-")</f>
        <v>0.1764705882</v>
      </c>
      <c r="AR41" s="27">
        <f t="shared" si="55"/>
        <v>0.1764705882</v>
      </c>
      <c r="AS41" s="29">
        <f t="shared" si="17"/>
        <v>0.2941176471</v>
      </c>
      <c r="AT41" s="29" t="str">
        <f t="shared" si="18"/>
        <v>1.06</v>
      </c>
      <c r="AU41" s="26"/>
      <c r="AV41" s="26"/>
      <c r="AW41" s="26"/>
      <c r="AX41" s="26"/>
    </row>
    <row r="42">
      <c r="B42" s="17">
        <v>39.0</v>
      </c>
      <c r="C42" s="18">
        <f t="shared" si="2"/>
        <v>10</v>
      </c>
      <c r="D42" s="19" t="s">
        <v>83</v>
      </c>
      <c r="E42" s="19" t="s">
        <v>93</v>
      </c>
      <c r="F42" s="19">
        <v>1.0</v>
      </c>
      <c r="G42" s="19" t="s">
        <v>47</v>
      </c>
      <c r="H42" s="19" t="s">
        <v>52</v>
      </c>
      <c r="I42" s="19">
        <v>180.0</v>
      </c>
      <c r="J42" s="19">
        <v>67.0</v>
      </c>
      <c r="K42" s="20">
        <v>10.0</v>
      </c>
      <c r="L42" s="20">
        <f>SUMIFS('3월 단양 개인별 STAT'!L:L, '3월 단양 개인별 STAT'!$D:$D, $D42, '3월 단양 개인별 STAT'!$E:$E, $E42) + SUMIFS('4월 삼척 개인별 STAT'!L:L, '4월 삼척 개인별 STAT'!$D:$D, $D42, '4월 삼척 개인별 STAT'!$E:$E, $E42)</f>
        <v>5</v>
      </c>
      <c r="M42" s="20">
        <f>SUMIFS('3월 단양 개인별 STAT'!M:M, '3월 단양 개인별 STAT'!$D:$D, $D42, '3월 단양 개인별 STAT'!$E:$E, $E42) + SUMIFS('4월 삼척 개인별 STAT'!M:M, '4월 삼척 개인별 STAT'!$D:$D, $D42, '4월 삼척 개인별 STAT'!$E:$E, $E42)</f>
        <v>14</v>
      </c>
      <c r="N42" s="20">
        <f>SUMIFS('3월 단양 개인별 STAT'!N:N, '3월 단양 개인별 STAT'!$D:$D, $D42, '3월 단양 개인별 STAT'!$E:$E, $E42) + SUMIFS('4월 삼척 개인별 STAT'!N:N, '4월 삼척 개인별 STAT'!$D:$D, $D42, '4월 삼척 개인별 STAT'!$E:$E, $E42)</f>
        <v>11</v>
      </c>
      <c r="O42" s="20">
        <f>SUMIFS('3월 단양 개인별 STAT'!O:O, '3월 단양 개인별 STAT'!$D:$D, $D42, '3월 단양 개인별 STAT'!$E:$E, $E42) + SUMIFS('4월 삼척 개인별 STAT'!O:O, '4월 삼척 개인별 STAT'!$D:$D, $D42, '4월 삼척 개인별 STAT'!$E:$E, $E42)</f>
        <v>1</v>
      </c>
      <c r="P42" s="20">
        <f>SUMIFS('3월 단양 개인별 STAT'!P:P, '3월 단양 개인별 STAT'!$D:$D, $D42, '3월 단양 개인별 STAT'!$E:$E, $E42) + SUMIFS('4월 삼척 개인별 STAT'!P:P, '4월 삼척 개인별 STAT'!$D:$D, $D42, '4월 삼척 개인별 STAT'!$E:$E, $E42)</f>
        <v>15</v>
      </c>
      <c r="Q42" s="20">
        <f>SUMIFS('3월 단양 개인별 STAT'!Q:Q, '3월 단양 개인별 STAT'!$D:$D, $D42, '3월 단양 개인별 STAT'!$E:$E, $E42) + SUMIFS('4월 삼척 개인별 STAT'!Q:Q, '4월 삼척 개인별 STAT'!$D:$D, $D42, '4월 삼척 개인별 STAT'!$E:$E, $E42)</f>
        <v>4</v>
      </c>
      <c r="R42" s="21">
        <f t="shared" si="3"/>
        <v>30</v>
      </c>
      <c r="S42" s="22">
        <f t="shared" si="4"/>
        <v>0.23</v>
      </c>
      <c r="T42" s="20">
        <f>SUMIFS('3월 단양 개인별 STAT'!T:T, '3월 단양 개인별 STAT'!$D:$D, $D42, '3월 단양 개인별 STAT'!$E:$E, $E42) + SUMIFS('4월 삼척 개인별 STAT'!T:T, '4월 삼척 개인별 STAT'!$D:$D, $D42, '4월 삼척 개인별 STAT'!$E:$E, $E42)</f>
        <v>8</v>
      </c>
      <c r="U42" s="20">
        <f>SUMIFS('3월 단양 개인별 STAT'!U:U, '3월 단양 개인별 STAT'!$D:$D, $D42, '3월 단양 개인별 STAT'!$E:$E, $E42) + SUMIFS('4월 삼척 개인별 STAT'!U:U, '4월 삼척 개인별 STAT'!$D:$D, $D42, '4월 삼척 개인별 STAT'!$E:$E, $E42)</f>
        <v>1</v>
      </c>
      <c r="V42" s="20">
        <f>SUMIFS('3월 단양 개인별 STAT'!V:V, '3월 단양 개인별 STAT'!$D:$D, $D42, '3월 단양 개인별 STAT'!$E:$E, $E42) + SUMIFS('4월 삼척 개인별 STAT'!V:V, '4월 삼척 개인별 STAT'!$D:$D, $D42, '4월 삼척 개인별 STAT'!$E:$E, $E42)</f>
        <v>4</v>
      </c>
      <c r="W42" s="20">
        <f>SUMIFS('3월 단양 개인별 STAT'!W:W, '3월 단양 개인별 STAT'!$D:$D, $D42, '3월 단양 개인별 STAT'!$E:$E, $E42) + SUMIFS('4월 삼척 개인별 STAT'!W:W, '4월 삼척 개인별 STAT'!$D:$D, $D42, '4월 삼척 개인별 STAT'!$E:$E, $E42)</f>
        <v>30</v>
      </c>
      <c r="X42" s="20">
        <f>SUMIFS('3월 단양 개인별 STAT'!X:X, '3월 단양 개인별 STAT'!$D:$D, $D42, '3월 단양 개인별 STAT'!$E:$E, $E42) + SUMIFS('4월 삼척 개인별 STAT'!X:X, '4월 삼척 개인별 STAT'!$D:$D, $D42, '4월 삼척 개인별 STAT'!$E:$E, $E42)</f>
        <v>4</v>
      </c>
      <c r="Y42" s="20">
        <f>SUMIFS('3월 단양 개인별 STAT'!Y:Y, '3월 단양 개인별 STAT'!$D:$D, $D42, '3월 단양 개인별 STAT'!$E:$E, $E42) + SUMIFS('4월 삼척 개인별 STAT'!Y:Y, '4월 삼척 개인별 STAT'!$D:$D, $D42, '4월 삼척 개인별 STAT'!$E:$E, $E42)</f>
        <v>13</v>
      </c>
      <c r="Z42" s="21">
        <f t="shared" si="5"/>
        <v>47</v>
      </c>
      <c r="AA42" s="20">
        <f>SUMIFS('3월 단양 개인별 STAT'!AA:AA, '3월 단양 개인별 STAT'!$D:$D, $D42, '3월 단양 개인별 STAT'!$E:$E, $E42) + SUMIFS('4월 삼척 개인별 STAT'!AA:AA, '4월 삼척 개인별 STAT'!$D:$D, $D42, '4월 삼척 개인별 STAT'!$E:$E, $E42)</f>
        <v>0</v>
      </c>
      <c r="AB42" s="21">
        <f t="shared" si="6"/>
        <v>23</v>
      </c>
      <c r="AC42" s="23">
        <f t="shared" si="7"/>
        <v>26</v>
      </c>
      <c r="AD42" s="21">
        <f t="shared" si="8"/>
        <v>16</v>
      </c>
      <c r="AE42" s="20">
        <f>SUMIFS('3월 단양 개인별 STAT'!AE:AE, '3월 단양 개인별 STAT'!$D:$D, $D42, '3월 단양 개인별 STAT'!$E:$E, $E42) + SUMIFS('4월 삼척 개인별 STAT'!AE:AE, '4월 삼척 개인별 STAT'!$D:$D, $D42, '4월 삼척 개인별 STAT'!$E:$E, $E42)</f>
        <v>15</v>
      </c>
      <c r="AF42" s="20">
        <f>SUMIFS('3월 단양 개인별 STAT'!AF:AF, '3월 단양 개인별 STAT'!$D:$D, $D42, '3월 단양 개인별 STAT'!$E:$E, $E42) + SUMIFS('4월 삼척 개인별 STAT'!AF:AF, '4월 삼척 개인별 STAT'!$D:$D, $D42, '4월 삼척 개인별 STAT'!$E:$E, $E42)</f>
        <v>1</v>
      </c>
      <c r="AG42" s="24">
        <f t="shared" si="9"/>
        <v>93.75</v>
      </c>
      <c r="AH42" s="20">
        <f>SUMIFS('3월 단양 개인별 STAT'!AH:AH, '3월 단양 개인별 STAT'!$D:$D, $D42, '3월 단양 개인별 STAT'!$E:$E, $E42) + SUMIFS('4월 삼척 개인별 STAT'!AH:AH, '4월 삼척 개인별 STAT'!$D:$D, $D42, '4월 삼척 개인별 STAT'!$E:$E, $E42)</f>
        <v>6</v>
      </c>
      <c r="AI42" s="22" t="str">
        <f t="shared" si="10"/>
        <v>0.43</v>
      </c>
      <c r="AJ42" s="25"/>
      <c r="AK42" s="26"/>
      <c r="AL42" s="27">
        <f t="shared" si="11"/>
        <v>0.7857142857</v>
      </c>
      <c r="AM42" s="27">
        <f t="shared" si="30"/>
        <v>2.142857143</v>
      </c>
      <c r="AN42" s="28">
        <f t="shared" si="13"/>
        <v>0.3666666667</v>
      </c>
      <c r="AO42" s="27">
        <f t="shared" si="14"/>
        <v>0.5714285714</v>
      </c>
      <c r="AP42" s="27">
        <f t="shared" si="15"/>
        <v>0.2857142857</v>
      </c>
      <c r="AQ42" s="27">
        <f t="shared" ref="AQ42:AR42" si="56">iferror(AB42/$M42,"-")</f>
        <v>1.642857143</v>
      </c>
      <c r="AR42" s="27">
        <f t="shared" si="56"/>
        <v>1.857142857</v>
      </c>
      <c r="AS42" s="29">
        <f t="shared" si="17"/>
        <v>0.07142857143</v>
      </c>
      <c r="AT42" s="29" t="str">
        <f t="shared" si="18"/>
        <v>0.43</v>
      </c>
      <c r="AU42" s="26"/>
      <c r="AV42" s="26"/>
      <c r="AW42" s="26"/>
      <c r="AX42" s="26"/>
    </row>
    <row r="43">
      <c r="B43" s="17">
        <v>40.0</v>
      </c>
      <c r="C43" s="18">
        <f t="shared" si="2"/>
        <v>11</v>
      </c>
      <c r="D43" s="19" t="s">
        <v>83</v>
      </c>
      <c r="E43" s="19" t="s">
        <v>94</v>
      </c>
      <c r="F43" s="19">
        <v>3.0</v>
      </c>
      <c r="G43" s="19" t="s">
        <v>54</v>
      </c>
      <c r="H43" s="19" t="s">
        <v>48</v>
      </c>
      <c r="I43" s="19">
        <v>177.0</v>
      </c>
      <c r="J43" s="19">
        <v>72.0</v>
      </c>
      <c r="K43" s="20">
        <v>11.0</v>
      </c>
      <c r="L43" s="20">
        <f>SUMIFS('3월 단양 개인별 STAT'!L:L, '3월 단양 개인별 STAT'!$D:$D, $D43, '3월 단양 개인별 STAT'!$E:$E, $E43) + SUMIFS('4월 삼척 개인별 STAT'!L:L, '4월 삼척 개인별 STAT'!$D:$D, $D43, '4월 삼척 개인별 STAT'!$E:$E, $E43)</f>
        <v>4</v>
      </c>
      <c r="M43" s="20">
        <f>SUMIFS('3월 단양 개인별 STAT'!M:M, '3월 단양 개인별 STAT'!$D:$D, $D43, '3월 단양 개인별 STAT'!$E:$E, $E43) + SUMIFS('4월 삼척 개인별 STAT'!M:M, '4월 삼척 개인별 STAT'!$D:$D, $D43, '4월 삼척 개인별 STAT'!$E:$E, $E43)</f>
        <v>11</v>
      </c>
      <c r="N43" s="20">
        <f>SUMIFS('3월 단양 개인별 STAT'!N:N, '3월 단양 개인별 STAT'!$D:$D, $D43, '3월 단양 개인별 STAT'!$E:$E, $E43) + SUMIFS('4월 삼척 개인별 STAT'!N:N, '4월 삼척 개인별 STAT'!$D:$D, $D43, '4월 삼척 개인별 STAT'!$E:$E, $E43)</f>
        <v>0</v>
      </c>
      <c r="O43" s="20">
        <f>SUMIFS('3월 단양 개인별 STAT'!O:O, '3월 단양 개인별 STAT'!$D:$D, $D43, '3월 단양 개인별 STAT'!$E:$E, $E43) + SUMIFS('4월 삼척 개인별 STAT'!O:O, '4월 삼척 개인별 STAT'!$D:$D, $D43, '4월 삼척 개인별 STAT'!$E:$E, $E43)</f>
        <v>82</v>
      </c>
      <c r="P43" s="20">
        <f>SUMIFS('3월 단양 개인별 STAT'!P:P, '3월 단양 개인별 STAT'!$D:$D, $D43, '3월 단양 개인별 STAT'!$E:$E, $E43) + SUMIFS('4월 삼척 개인별 STAT'!P:P, '4월 삼척 개인별 STAT'!$D:$D, $D43, '4월 삼척 개인별 STAT'!$E:$E, $E43)</f>
        <v>3</v>
      </c>
      <c r="Q43" s="20">
        <f>SUMIFS('3월 단양 개인별 STAT'!Q:Q, '3월 단양 개인별 STAT'!$D:$D, $D43, '3월 단양 개인별 STAT'!$E:$E, $E43) + SUMIFS('4월 삼척 개인별 STAT'!Q:Q, '4월 삼척 개인별 STAT'!$D:$D, $D43, '4월 삼척 개인별 STAT'!$E:$E, $E43)</f>
        <v>0</v>
      </c>
      <c r="R43" s="21">
        <f t="shared" si="3"/>
        <v>3</v>
      </c>
      <c r="S43" s="22" t="str">
        <f t="shared" si="4"/>
        <v>-</v>
      </c>
      <c r="T43" s="20">
        <f>SUMIFS('3월 단양 개인별 STAT'!T:T, '3월 단양 개인별 STAT'!$D:$D, $D43, '3월 단양 개인별 STAT'!$E:$E, $E43) + SUMIFS('4월 삼척 개인별 STAT'!T:T, '4월 삼척 개인별 STAT'!$D:$D, $D43, '4월 삼척 개인별 STAT'!$E:$E, $E43)</f>
        <v>3</v>
      </c>
      <c r="U43" s="20">
        <f>SUMIFS('3월 단양 개인별 STAT'!U:U, '3월 단양 개인별 STAT'!$D:$D, $D43, '3월 단양 개인별 STAT'!$E:$E, $E43) + SUMIFS('4월 삼척 개인별 STAT'!U:U, '4월 삼척 개인별 STAT'!$D:$D, $D43, '4월 삼척 개인별 STAT'!$E:$E, $E43)</f>
        <v>0</v>
      </c>
      <c r="V43" s="20">
        <f>SUMIFS('3월 단양 개인별 STAT'!V:V, '3월 단양 개인별 STAT'!$D:$D, $D43, '3월 단양 개인별 STAT'!$E:$E, $E43) + SUMIFS('4월 삼척 개인별 STAT'!V:V, '4월 삼척 개인별 STAT'!$D:$D, $D43, '4월 삼척 개인별 STAT'!$E:$E, $E43)</f>
        <v>4</v>
      </c>
      <c r="W43" s="20">
        <f>SUMIFS('3월 단양 개인별 STAT'!W:W, '3월 단양 개인별 STAT'!$D:$D, $D43, '3월 단양 개인별 STAT'!$E:$E, $E43) + SUMIFS('4월 삼척 개인별 STAT'!W:W, '4월 삼척 개인별 STAT'!$D:$D, $D43, '4월 삼척 개인별 STAT'!$E:$E, $E43)</f>
        <v>27</v>
      </c>
      <c r="X43" s="20">
        <f>SUMIFS('3월 단양 개인별 STAT'!X:X, '3월 단양 개인별 STAT'!$D:$D, $D43, '3월 단양 개인별 STAT'!$E:$E, $E43) + SUMIFS('4월 삼척 개인별 STAT'!X:X, '4월 삼척 개인별 STAT'!$D:$D, $D43, '4월 삼척 개인별 STAT'!$E:$E, $E43)</f>
        <v>3</v>
      </c>
      <c r="Y43" s="20">
        <f>SUMIFS('3월 단양 개인별 STAT'!Y:Y, '3월 단양 개인별 STAT'!$D:$D, $D43, '3월 단양 개인별 STAT'!$E:$E, $E43) + SUMIFS('4월 삼척 개인별 STAT'!Y:Y, '4월 삼척 개인별 STAT'!$D:$D, $D43, '4월 삼척 개인별 STAT'!$E:$E, $E43)</f>
        <v>1</v>
      </c>
      <c r="Z43" s="21">
        <f t="shared" si="5"/>
        <v>31</v>
      </c>
      <c r="AA43" s="20">
        <f>SUMIFS('3월 단양 개인별 STAT'!AA:AA, '3월 단양 개인별 STAT'!$D:$D, $D43, '3월 단양 개인별 STAT'!$E:$E, $E43) + SUMIFS('4월 삼척 개인별 STAT'!AA:AA, '4월 삼척 개인별 STAT'!$D:$D, $D43, '4월 삼척 개인별 STAT'!$E:$E, $E43)</f>
        <v>2</v>
      </c>
      <c r="AB43" s="21">
        <f t="shared" si="6"/>
        <v>6</v>
      </c>
      <c r="AC43" s="23">
        <f t="shared" si="7"/>
        <v>9</v>
      </c>
      <c r="AD43" s="21">
        <f t="shared" si="8"/>
        <v>4</v>
      </c>
      <c r="AE43" s="20">
        <f>SUMIFS('3월 단양 개인별 STAT'!AE:AE, '3월 단양 개인별 STAT'!$D:$D, $D43, '3월 단양 개인별 STAT'!$E:$E, $E43) + SUMIFS('4월 삼척 개인별 STAT'!AE:AE, '4월 삼척 개인별 STAT'!$D:$D, $D43, '4월 삼척 개인별 STAT'!$E:$E, $E43)</f>
        <v>2</v>
      </c>
      <c r="AF43" s="20">
        <f>SUMIFS('3월 단양 개인별 STAT'!AF:AF, '3월 단양 개인별 STAT'!$D:$D, $D43, '3월 단양 개인별 STAT'!$E:$E, $E43) + SUMIFS('4월 삼척 개인별 STAT'!AF:AF, '4월 삼척 개인별 STAT'!$D:$D, $D43, '4월 삼척 개인별 STAT'!$E:$E, $E43)</f>
        <v>2</v>
      </c>
      <c r="AG43" s="24">
        <f t="shared" si="9"/>
        <v>50</v>
      </c>
      <c r="AH43" s="20">
        <f>SUMIFS('3월 단양 개인별 STAT'!AH:AH, '3월 단양 개인별 STAT'!$D:$D, $D43, '3월 단양 개인별 STAT'!$E:$E, $E43) + SUMIFS('4월 삼척 개인별 STAT'!AH:AH, '4월 삼척 개인별 STAT'!$D:$D, $D43, '4월 삼척 개인별 STAT'!$E:$E, $E43)</f>
        <v>9</v>
      </c>
      <c r="AI43" s="22" t="str">
        <f t="shared" si="10"/>
        <v>0.82</v>
      </c>
      <c r="AJ43" s="25"/>
      <c r="AK43" s="26"/>
      <c r="AL43" s="27">
        <f t="shared" si="11"/>
        <v>0</v>
      </c>
      <c r="AM43" s="27">
        <f t="shared" si="30"/>
        <v>0.2727272727</v>
      </c>
      <c r="AN43" s="28">
        <f t="shared" si="13"/>
        <v>0</v>
      </c>
      <c r="AO43" s="27">
        <f t="shared" si="14"/>
        <v>0.2727272727</v>
      </c>
      <c r="AP43" s="27">
        <f t="shared" si="15"/>
        <v>0.2727272727</v>
      </c>
      <c r="AQ43" s="27">
        <f t="shared" ref="AQ43:AR43" si="57">iferror(AB43/$M43,"-")</f>
        <v>0.5454545455</v>
      </c>
      <c r="AR43" s="27">
        <f t="shared" si="57"/>
        <v>0.8181818182</v>
      </c>
      <c r="AS43" s="29">
        <f t="shared" si="17"/>
        <v>0.1818181818</v>
      </c>
      <c r="AT43" s="29" t="str">
        <f t="shared" si="18"/>
        <v>0.82</v>
      </c>
      <c r="AU43" s="26"/>
      <c r="AV43" s="26"/>
      <c r="AW43" s="26"/>
      <c r="AX43" s="26"/>
    </row>
    <row r="44">
      <c r="B44" s="17">
        <v>41.0</v>
      </c>
      <c r="C44" s="18">
        <f t="shared" si="2"/>
        <v>12</v>
      </c>
      <c r="D44" s="19" t="s">
        <v>83</v>
      </c>
      <c r="E44" s="19" t="s">
        <v>95</v>
      </c>
      <c r="F44" s="19">
        <v>3.0</v>
      </c>
      <c r="G44" s="19" t="s">
        <v>52</v>
      </c>
      <c r="H44" s="19" t="s">
        <v>48</v>
      </c>
      <c r="I44" s="19">
        <v>178.0</v>
      </c>
      <c r="J44" s="19">
        <v>62.0</v>
      </c>
      <c r="K44" s="20">
        <v>15.0</v>
      </c>
      <c r="L44" s="20">
        <f>SUMIFS('3월 단양 개인별 STAT'!L:L, '3월 단양 개인별 STAT'!$D:$D, $D44, '3월 단양 개인별 STAT'!$E:$E, $E44) + SUMIFS('4월 삼척 개인별 STAT'!L:L, '4월 삼척 개인별 STAT'!$D:$D, $D44, '4월 삼척 개인별 STAT'!$E:$E, $E44)</f>
        <v>6</v>
      </c>
      <c r="M44" s="20">
        <f>SUMIFS('3월 단양 개인별 STAT'!M:M, '3월 단양 개인별 STAT'!$D:$D, $D44, '3월 단양 개인별 STAT'!$E:$E, $E44) + SUMIFS('4월 삼척 개인별 STAT'!M:M, '4월 삼척 개인별 STAT'!$D:$D, $D44, '4월 삼척 개인별 STAT'!$E:$E, $E44)</f>
        <v>24</v>
      </c>
      <c r="N44" s="20">
        <f>SUMIFS('3월 단양 개인별 STAT'!N:N, '3월 단양 개인별 STAT'!$D:$D, $D44, '3월 단양 개인별 STAT'!$E:$E, $E44) + SUMIFS('4월 삼척 개인별 STAT'!N:N, '4월 삼척 개인별 STAT'!$D:$D, $D44, '4월 삼척 개인별 STAT'!$E:$E, $E44)</f>
        <v>91</v>
      </c>
      <c r="O44" s="20">
        <f>SUMIFS('3월 단양 개인별 STAT'!O:O, '3월 단양 개인별 STAT'!$D:$D, $D44, '3월 단양 개인별 STAT'!$E:$E, $E44) + SUMIFS('4월 삼척 개인별 STAT'!O:O, '4월 삼척 개인별 STAT'!$D:$D, $D44, '4월 삼척 개인별 STAT'!$E:$E, $E44)</f>
        <v>2</v>
      </c>
      <c r="P44" s="20">
        <f>SUMIFS('3월 단양 개인별 STAT'!P:P, '3월 단양 개인별 STAT'!$D:$D, $D44, '3월 단양 개인별 STAT'!$E:$E, $E44) + SUMIFS('4월 삼척 개인별 STAT'!P:P, '4월 삼척 개인별 STAT'!$D:$D, $D44, '4월 삼척 개인별 STAT'!$E:$E, $E44)</f>
        <v>111</v>
      </c>
      <c r="Q44" s="20">
        <f>SUMIFS('3월 단양 개인별 STAT'!Q:Q, '3월 단양 개인별 STAT'!$D:$D, $D44, '3월 단양 개인별 STAT'!$E:$E, $E44) + SUMIFS('4월 삼척 개인별 STAT'!Q:Q, '4월 삼척 개인별 STAT'!$D:$D, $D44, '4월 삼척 개인별 STAT'!$E:$E, $E44)</f>
        <v>26</v>
      </c>
      <c r="R44" s="21">
        <f t="shared" si="3"/>
        <v>228</v>
      </c>
      <c r="S44" s="22">
        <f t="shared" si="4"/>
        <v>0.29</v>
      </c>
      <c r="T44" s="20">
        <f>SUMIFS('3월 단양 개인별 STAT'!T:T, '3월 단양 개인별 STAT'!$D:$D, $D44, '3월 단양 개인별 STAT'!$E:$E, $E44) + SUMIFS('4월 삼척 개인별 STAT'!T:T, '4월 삼척 개인별 STAT'!$D:$D, $D44, '4월 삼척 개인별 STAT'!$E:$E, $E44)</f>
        <v>4</v>
      </c>
      <c r="U44" s="20">
        <f>SUMIFS('3월 단양 개인별 STAT'!U:U, '3월 단양 개인별 STAT'!$D:$D, $D44, '3월 단양 개인별 STAT'!$E:$E, $E44) + SUMIFS('4월 삼척 개인별 STAT'!U:U, '4월 삼척 개인별 STAT'!$D:$D, $D44, '4월 삼척 개인별 STAT'!$E:$E, $E44)</f>
        <v>0</v>
      </c>
      <c r="V44" s="20">
        <f>SUMIFS('3월 단양 개인별 STAT'!V:V, '3월 단양 개인별 STAT'!$D:$D, $D44, '3월 단양 개인별 STAT'!$E:$E, $E44) + SUMIFS('4월 삼척 개인별 STAT'!V:V, '4월 삼척 개인별 STAT'!$D:$D, $D44, '4월 삼척 개인별 STAT'!$E:$E, $E44)</f>
        <v>2</v>
      </c>
      <c r="W44" s="20">
        <f>SUMIFS('3월 단양 개인별 STAT'!W:W, '3월 단양 개인별 STAT'!$D:$D, $D44, '3월 단양 개인별 STAT'!$E:$E, $E44) + SUMIFS('4월 삼척 개인별 STAT'!W:W, '4월 삼척 개인별 STAT'!$D:$D, $D44, '4월 삼척 개인별 STAT'!$E:$E, $E44)</f>
        <v>62</v>
      </c>
      <c r="X44" s="20">
        <f>SUMIFS('3월 단양 개인별 STAT'!X:X, '3월 단양 개인별 STAT'!$D:$D, $D44, '3월 단양 개인별 STAT'!$E:$E, $E44) + SUMIFS('4월 삼척 개인별 STAT'!X:X, '4월 삼척 개인별 STAT'!$D:$D, $D44, '4월 삼척 개인별 STAT'!$E:$E, $E44)</f>
        <v>9</v>
      </c>
      <c r="Y44" s="20">
        <f>SUMIFS('3월 단양 개인별 STAT'!Y:Y, '3월 단양 개인별 STAT'!$D:$D, $D44, '3월 단양 개인별 STAT'!$E:$E, $E44) + SUMIFS('4월 삼척 개인별 STAT'!Y:Y, '4월 삼척 개인별 STAT'!$D:$D, $D44, '4월 삼척 개인별 STAT'!$E:$E, $E44)</f>
        <v>10</v>
      </c>
      <c r="Z44" s="21">
        <f t="shared" si="5"/>
        <v>81</v>
      </c>
      <c r="AA44" s="20">
        <f>SUMIFS('3월 단양 개인별 STAT'!AA:AA, '3월 단양 개인별 STAT'!$D:$D, $D44, '3월 단양 개인별 STAT'!$E:$E, $E44) + SUMIFS('4월 삼척 개인별 STAT'!AA:AA, '4월 삼척 개인별 STAT'!$D:$D, $D44, '4월 삼척 개인별 STAT'!$E:$E, $E44)</f>
        <v>2</v>
      </c>
      <c r="AB44" s="21">
        <f t="shared" si="6"/>
        <v>104</v>
      </c>
      <c r="AC44" s="23">
        <f t="shared" si="7"/>
        <v>105.5</v>
      </c>
      <c r="AD44" s="21">
        <f t="shared" si="8"/>
        <v>84</v>
      </c>
      <c r="AE44" s="20">
        <f>SUMIFS('3월 단양 개인별 STAT'!AE:AE, '3월 단양 개인별 STAT'!$D:$D, $D44, '3월 단양 개인별 STAT'!$E:$E, $E44) + SUMIFS('4월 삼척 개인별 STAT'!AE:AE, '4월 삼척 개인별 STAT'!$D:$D, $D44, '4월 삼척 개인별 STAT'!$E:$E, $E44)</f>
        <v>70</v>
      </c>
      <c r="AF44" s="20">
        <f>SUMIFS('3월 단양 개인별 STAT'!AF:AF, '3월 단양 개인별 STAT'!$D:$D, $D44, '3월 단양 개인별 STAT'!$E:$E, $E44) + SUMIFS('4월 삼척 개인별 STAT'!AF:AF, '4월 삼척 개인별 STAT'!$D:$D, $D44, '4월 삼척 개인별 STAT'!$E:$E, $E44)</f>
        <v>14</v>
      </c>
      <c r="AG44" s="24">
        <f t="shared" si="9"/>
        <v>83.33333333</v>
      </c>
      <c r="AH44" s="20">
        <f>SUMIFS('3월 단양 개인별 STAT'!AH:AH, '3월 단양 개인별 STAT'!$D:$D, $D44, '3월 단양 개인별 STAT'!$E:$E, $E44) + SUMIFS('4월 삼척 개인별 STAT'!AH:AH, '4월 삼척 개인별 STAT'!$D:$D, $D44, '4월 삼척 개인별 STAT'!$E:$E, $E44)</f>
        <v>37</v>
      </c>
      <c r="AI44" s="22" t="str">
        <f t="shared" si="10"/>
        <v>1.54</v>
      </c>
      <c r="AJ44" s="25"/>
      <c r="AK44" s="26"/>
      <c r="AL44" s="27">
        <f t="shared" si="11"/>
        <v>3.791666667</v>
      </c>
      <c r="AM44" s="27">
        <f t="shared" si="30"/>
        <v>9.5</v>
      </c>
      <c r="AN44" s="28">
        <f t="shared" si="13"/>
        <v>0.399122807</v>
      </c>
      <c r="AO44" s="27">
        <f t="shared" si="14"/>
        <v>0.1666666667</v>
      </c>
      <c r="AP44" s="27">
        <f t="shared" si="15"/>
        <v>0.375</v>
      </c>
      <c r="AQ44" s="27">
        <f t="shared" ref="AQ44:AR44" si="58">iferror(AB44/$M44,"-")</f>
        <v>4.333333333</v>
      </c>
      <c r="AR44" s="27">
        <f t="shared" si="58"/>
        <v>4.395833333</v>
      </c>
      <c r="AS44" s="29">
        <f t="shared" si="17"/>
        <v>0.5833333333</v>
      </c>
      <c r="AT44" s="29" t="str">
        <f t="shared" si="18"/>
        <v>1.54</v>
      </c>
      <c r="AU44" s="26"/>
      <c r="AV44" s="26"/>
      <c r="AW44" s="26"/>
      <c r="AX44" s="26"/>
    </row>
    <row r="45">
      <c r="B45" s="17">
        <v>42.0</v>
      </c>
      <c r="C45" s="18">
        <f t="shared" si="2"/>
        <v>13</v>
      </c>
      <c r="D45" s="19" t="s">
        <v>83</v>
      </c>
      <c r="E45" s="19" t="s">
        <v>96</v>
      </c>
      <c r="F45" s="19">
        <v>1.0</v>
      </c>
      <c r="G45" s="19" t="s">
        <v>57</v>
      </c>
      <c r="H45" s="19" t="s">
        <v>48</v>
      </c>
      <c r="I45" s="19">
        <v>170.0</v>
      </c>
      <c r="J45" s="19">
        <v>73.0</v>
      </c>
      <c r="K45" s="20">
        <v>16.0</v>
      </c>
      <c r="L45" s="20">
        <f>SUMIFS('3월 단양 개인별 STAT'!L:L, '3월 단양 개인별 STAT'!$D:$D, $D45, '3월 단양 개인별 STAT'!$E:$E, $E45) + SUMIFS('4월 삼척 개인별 STAT'!L:L, '4월 삼척 개인별 STAT'!$D:$D, $D45, '4월 삼척 개인별 STAT'!$E:$E, $E45)</f>
        <v>1</v>
      </c>
      <c r="M45" s="20">
        <f>SUMIFS('3월 단양 개인별 STAT'!M:M, '3월 단양 개인별 STAT'!$D:$D, $D45, '3월 단양 개인별 STAT'!$E:$E, $E45) + SUMIFS('4월 삼척 개인별 STAT'!M:M, '4월 삼척 개인별 STAT'!$D:$D, $D45, '4월 삼척 개인별 STAT'!$E:$E, $E45)</f>
        <v>1</v>
      </c>
      <c r="N45" s="20">
        <f>SUMIFS('3월 단양 개인별 STAT'!N:N, '3월 단양 개인별 STAT'!$D:$D, $D45, '3월 단양 개인별 STAT'!$E:$E, $E45) + SUMIFS('4월 삼척 개인별 STAT'!N:N, '4월 삼척 개인별 STAT'!$D:$D, $D45, '4월 삼척 개인별 STAT'!$E:$E, $E45)</f>
        <v>0</v>
      </c>
      <c r="O45" s="20">
        <f>SUMIFS('3월 단양 개인별 STAT'!O:O, '3월 단양 개인별 STAT'!$D:$D, $D45, '3월 단양 개인별 STAT'!$E:$E, $E45) + SUMIFS('4월 삼척 개인별 STAT'!O:O, '4월 삼척 개인별 STAT'!$D:$D, $D45, '4월 삼척 개인별 STAT'!$E:$E, $E45)</f>
        <v>0</v>
      </c>
      <c r="P45" s="20">
        <f>SUMIFS('3월 단양 개인별 STAT'!P:P, '3월 단양 개인별 STAT'!$D:$D, $D45, '3월 단양 개인별 STAT'!$E:$E, $E45) + SUMIFS('4월 삼척 개인별 STAT'!P:P, '4월 삼척 개인별 STAT'!$D:$D, $D45, '4월 삼척 개인별 STAT'!$E:$E, $E45)</f>
        <v>1</v>
      </c>
      <c r="Q45" s="20">
        <f>SUMIFS('3월 단양 개인별 STAT'!Q:Q, '3월 단양 개인별 STAT'!$D:$D, $D45, '3월 단양 개인별 STAT'!$E:$E, $E45) + SUMIFS('4월 삼척 개인별 STAT'!Q:Q, '4월 삼척 개인별 STAT'!$D:$D, $D45, '4월 삼척 개인별 STAT'!$E:$E, $E45)</f>
        <v>0</v>
      </c>
      <c r="R45" s="21">
        <f t="shared" si="3"/>
        <v>1</v>
      </c>
      <c r="S45" s="22" t="str">
        <f t="shared" si="4"/>
        <v>-</v>
      </c>
      <c r="T45" s="20">
        <f>SUMIFS('3월 단양 개인별 STAT'!T:T, '3월 단양 개인별 STAT'!$D:$D, $D45, '3월 단양 개인별 STAT'!$E:$E, $E45) + SUMIFS('4월 삼척 개인별 STAT'!T:T, '4월 삼척 개인별 STAT'!$D:$D, $D45, '4월 삼척 개인별 STAT'!$E:$E, $E45)</f>
        <v>0</v>
      </c>
      <c r="U45" s="20">
        <f>SUMIFS('3월 단양 개인별 STAT'!U:U, '3월 단양 개인별 STAT'!$D:$D, $D45, '3월 단양 개인별 STAT'!$E:$E, $E45) + SUMIFS('4월 삼척 개인별 STAT'!U:U, '4월 삼척 개인별 STAT'!$D:$D, $D45, '4월 삼척 개인별 STAT'!$E:$E, $E45)</f>
        <v>0</v>
      </c>
      <c r="V45" s="20">
        <f>SUMIFS('3월 단양 개인별 STAT'!V:V, '3월 단양 개인별 STAT'!$D:$D, $D45, '3월 단양 개인별 STAT'!$E:$E, $E45) + SUMIFS('4월 삼척 개인별 STAT'!V:V, '4월 삼척 개인별 STAT'!$D:$D, $D45, '4월 삼척 개인별 STAT'!$E:$E, $E45)</f>
        <v>0</v>
      </c>
      <c r="W45" s="20">
        <f>SUMIFS('3월 단양 개인별 STAT'!W:W, '3월 단양 개인별 STAT'!$D:$D, $D45, '3월 단양 개인별 STAT'!$E:$E, $E45) + SUMIFS('4월 삼척 개인별 STAT'!W:W, '4월 삼척 개인별 STAT'!$D:$D, $D45, '4월 삼척 개인별 STAT'!$E:$E, $E45)</f>
        <v>0</v>
      </c>
      <c r="X45" s="20">
        <f>SUMIFS('3월 단양 개인별 STAT'!X:X, '3월 단양 개인별 STAT'!$D:$D, $D45, '3월 단양 개인별 STAT'!$E:$E, $E45) + SUMIFS('4월 삼척 개인별 STAT'!X:X, '4월 삼척 개인별 STAT'!$D:$D, $D45, '4월 삼척 개인별 STAT'!$E:$E, $E45)</f>
        <v>0</v>
      </c>
      <c r="Y45" s="20">
        <f>SUMIFS('3월 단양 개인별 STAT'!Y:Y, '3월 단양 개인별 STAT'!$D:$D, $D45, '3월 단양 개인별 STAT'!$E:$E, $E45) + SUMIFS('4월 삼척 개인별 STAT'!Y:Y, '4월 삼척 개인별 STAT'!$D:$D, $D45, '4월 삼척 개인별 STAT'!$E:$E, $E45)</f>
        <v>0</v>
      </c>
      <c r="Z45" s="30" t="str">
        <f t="shared" si="5"/>
        <v>-</v>
      </c>
      <c r="AA45" s="20">
        <f>SUMIFS('3월 단양 개인별 STAT'!AA:AA, '3월 단양 개인별 STAT'!$D:$D, $D45, '3월 단양 개인별 STAT'!$E:$E, $E45) + SUMIFS('4월 삼척 개인별 STAT'!AA:AA, '4월 삼척 개인별 STAT'!$D:$D, $D45, '4월 삼척 개인별 STAT'!$E:$E, $E45)</f>
        <v>0</v>
      </c>
      <c r="AB45" s="30" t="str">
        <f t="shared" si="6"/>
        <v>-</v>
      </c>
      <c r="AC45" s="23">
        <f t="shared" si="7"/>
        <v>0</v>
      </c>
      <c r="AD45" s="30" t="str">
        <f t="shared" si="8"/>
        <v>-</v>
      </c>
      <c r="AE45" s="20">
        <f>SUMIFS('3월 단양 개인별 STAT'!AE:AE, '3월 단양 개인별 STAT'!$D:$D, $D45, '3월 단양 개인별 STAT'!$E:$E, $E45) + SUMIFS('4월 삼척 개인별 STAT'!AE:AE, '4월 삼척 개인별 STAT'!$D:$D, $D45, '4월 삼척 개인별 STAT'!$E:$E, $E45)</f>
        <v>0</v>
      </c>
      <c r="AF45" s="20">
        <f>SUMIFS('3월 단양 개인별 STAT'!AF:AF, '3월 단양 개인별 STAT'!$D:$D, $D45, '3월 단양 개인별 STAT'!$E:$E, $E45) + SUMIFS('4월 삼척 개인별 STAT'!AF:AF, '4월 삼척 개인별 STAT'!$D:$D, $D45, '4월 삼척 개인별 STAT'!$E:$E, $E45)</f>
        <v>0</v>
      </c>
      <c r="AG45" s="24" t="str">
        <f t="shared" si="9"/>
        <v>-</v>
      </c>
      <c r="AH45" s="20">
        <f>SUMIFS('3월 단양 개인별 STAT'!AH:AH, '3월 단양 개인별 STAT'!$D:$D, $D45, '3월 단양 개인별 STAT'!$E:$E, $E45) + SUMIFS('4월 삼척 개인별 STAT'!AH:AH, '4월 삼척 개인별 STAT'!$D:$D, $D45, '4월 삼척 개인별 STAT'!$E:$E, $E45)</f>
        <v>0</v>
      </c>
      <c r="AI45" s="22" t="str">
        <f t="shared" si="10"/>
        <v>0</v>
      </c>
      <c r="AJ45" s="25"/>
      <c r="AK45" s="26"/>
      <c r="AL45" s="27">
        <f t="shared" si="11"/>
        <v>0</v>
      </c>
      <c r="AM45" s="27">
        <f t="shared" si="30"/>
        <v>1</v>
      </c>
      <c r="AN45" s="28">
        <f t="shared" si="13"/>
        <v>0</v>
      </c>
      <c r="AO45" s="27">
        <f t="shared" si="14"/>
        <v>0</v>
      </c>
      <c r="AP45" s="27">
        <f t="shared" si="15"/>
        <v>0</v>
      </c>
      <c r="AQ45" s="27" t="str">
        <f t="shared" ref="AQ45:AR45" si="59">iferror(AB45/$M45,"-")</f>
        <v>-</v>
      </c>
      <c r="AR45" s="27">
        <f t="shared" si="59"/>
        <v>0</v>
      </c>
      <c r="AS45" s="29">
        <f t="shared" si="17"/>
        <v>0</v>
      </c>
      <c r="AT45" s="29" t="str">
        <f t="shared" si="18"/>
        <v>0</v>
      </c>
      <c r="AU45" s="26"/>
      <c r="AV45" s="26"/>
      <c r="AW45" s="26"/>
      <c r="AX45" s="26"/>
    </row>
    <row r="46">
      <c r="B46" s="17">
        <v>43.0</v>
      </c>
      <c r="C46" s="18">
        <f t="shared" si="2"/>
        <v>14</v>
      </c>
      <c r="D46" s="19" t="s">
        <v>83</v>
      </c>
      <c r="E46" s="19" t="s">
        <v>97</v>
      </c>
      <c r="F46" s="19">
        <v>3.0</v>
      </c>
      <c r="G46" s="19" t="s">
        <v>47</v>
      </c>
      <c r="H46" s="19" t="s">
        <v>48</v>
      </c>
      <c r="I46" s="19">
        <v>174.0</v>
      </c>
      <c r="J46" s="19">
        <v>60.0</v>
      </c>
      <c r="K46" s="20">
        <v>17.0</v>
      </c>
      <c r="L46" s="20">
        <f>SUMIFS('3월 단양 개인별 STAT'!L:L, '3월 단양 개인별 STAT'!$D:$D, $D46, '3월 단양 개인별 STAT'!$E:$E, $E46) + SUMIFS('4월 삼척 개인별 STAT'!L:L, '4월 삼척 개인별 STAT'!$D:$D, $D46, '4월 삼척 개인별 STAT'!$E:$E, $E46)</f>
        <v>6</v>
      </c>
      <c r="M46" s="20">
        <f>SUMIFS('3월 단양 개인별 STAT'!M:M, '3월 단양 개인별 STAT'!$D:$D, $D46, '3월 단양 개인별 STAT'!$E:$E, $E46) + SUMIFS('4월 삼척 개인별 STAT'!M:M, '4월 삼척 개인별 STAT'!$D:$D, $D46, '4월 삼척 개인별 STAT'!$E:$E, $E46)</f>
        <v>24</v>
      </c>
      <c r="N46" s="20">
        <f>SUMIFS('3월 단양 개인별 STAT'!N:N, '3월 단양 개인별 STAT'!$D:$D, $D46, '3월 단양 개인별 STAT'!$E:$E, $E46) + SUMIFS('4월 삼척 개인별 STAT'!N:N, '4월 삼척 개인별 STAT'!$D:$D, $D46, '4월 삼척 개인별 STAT'!$E:$E, $E46)</f>
        <v>34</v>
      </c>
      <c r="O46" s="20">
        <f>SUMIFS('3월 단양 개인별 STAT'!O:O, '3월 단양 개인별 STAT'!$D:$D, $D46, '3월 단양 개인별 STAT'!$E:$E, $E46) + SUMIFS('4월 삼척 개인별 STAT'!O:O, '4월 삼척 개인별 STAT'!$D:$D, $D46, '4월 삼척 개인별 STAT'!$E:$E, $E46)</f>
        <v>2</v>
      </c>
      <c r="P46" s="20">
        <f>SUMIFS('3월 단양 개인별 STAT'!P:P, '3월 단양 개인별 STAT'!$D:$D, $D46, '3월 단양 개인별 STAT'!$E:$E, $E46) + SUMIFS('4월 삼척 개인별 STAT'!P:P, '4월 삼척 개인별 STAT'!$D:$D, $D46, '4월 삼척 개인별 STAT'!$E:$E, $E46)</f>
        <v>37</v>
      </c>
      <c r="Q46" s="20">
        <f>SUMIFS('3월 단양 개인별 STAT'!Q:Q, '3월 단양 개인별 STAT'!$D:$D, $D46, '3월 단양 개인별 STAT'!$E:$E, $E46) + SUMIFS('4월 삼척 개인별 STAT'!Q:Q, '4월 삼척 개인별 STAT'!$D:$D, $D46, '4월 삼척 개인별 STAT'!$E:$E, $E46)</f>
        <v>18</v>
      </c>
      <c r="R46" s="21">
        <f t="shared" si="3"/>
        <v>89</v>
      </c>
      <c r="S46" s="22">
        <f t="shared" si="4"/>
        <v>0.18</v>
      </c>
      <c r="T46" s="20">
        <f>SUMIFS('3월 단양 개인별 STAT'!T:T, '3월 단양 개인별 STAT'!$D:$D, $D46, '3월 단양 개인별 STAT'!$E:$E, $E46) + SUMIFS('4월 삼척 개인별 STAT'!T:T, '4월 삼척 개인별 STAT'!$D:$D, $D46, '4월 삼척 개인별 STAT'!$E:$E, $E46)</f>
        <v>4</v>
      </c>
      <c r="U46" s="20">
        <f>SUMIFS('3월 단양 개인별 STAT'!U:U, '3월 단양 개인별 STAT'!$D:$D, $D46, '3월 단양 개인별 STAT'!$E:$E, $E46) + SUMIFS('4월 삼척 개인별 STAT'!U:U, '4월 삼척 개인별 STAT'!$D:$D, $D46, '4월 삼척 개인별 STAT'!$E:$E, $E46)</f>
        <v>0</v>
      </c>
      <c r="V46" s="20">
        <f>SUMIFS('3월 단양 개인별 STAT'!V:V, '3월 단양 개인별 STAT'!$D:$D, $D46, '3월 단양 개인별 STAT'!$E:$E, $E46) + SUMIFS('4월 삼척 개인별 STAT'!V:V, '4월 삼척 개인별 STAT'!$D:$D, $D46, '4월 삼척 개인별 STAT'!$E:$E, $E46)</f>
        <v>6</v>
      </c>
      <c r="W46" s="20">
        <f>SUMIFS('3월 단양 개인별 STAT'!W:W, '3월 단양 개인별 STAT'!$D:$D, $D46, '3월 단양 개인별 STAT'!$E:$E, $E46) + SUMIFS('4월 삼척 개인별 STAT'!W:W, '4월 삼척 개인별 STAT'!$D:$D, $D46, '4월 삼척 개인별 STAT'!$E:$E, $E46)</f>
        <v>68</v>
      </c>
      <c r="X46" s="20">
        <f>SUMIFS('3월 단양 개인별 STAT'!X:X, '3월 단양 개인별 STAT'!$D:$D, $D46, '3월 단양 개인별 STAT'!$E:$E, $E46) + SUMIFS('4월 삼척 개인별 STAT'!X:X, '4월 삼척 개인별 STAT'!$D:$D, $D46, '4월 삼척 개인별 STAT'!$E:$E, $E46)</f>
        <v>7</v>
      </c>
      <c r="Y46" s="20">
        <f>SUMIFS('3월 단양 개인별 STAT'!Y:Y, '3월 단양 개인별 STAT'!$D:$D, $D46, '3월 단양 개인별 STAT'!$E:$E, $E46) + SUMIFS('4월 삼척 개인별 STAT'!Y:Y, '4월 삼척 개인별 STAT'!$D:$D, $D46, '4월 삼척 개인별 STAT'!$E:$E, $E46)</f>
        <v>5</v>
      </c>
      <c r="Z46" s="21">
        <f t="shared" si="5"/>
        <v>80</v>
      </c>
      <c r="AA46" s="20">
        <f>SUMIFS('3월 단양 개인별 STAT'!AA:AA, '3월 단양 개인별 STAT'!$D:$D, $D46, '3월 단양 개인별 STAT'!$E:$E, $E46) + SUMIFS('4월 삼척 개인별 STAT'!AA:AA, '4월 삼척 개인별 STAT'!$D:$D, $D46, '4월 삼척 개인별 STAT'!$E:$E, $E46)</f>
        <v>1</v>
      </c>
      <c r="AB46" s="21">
        <f t="shared" si="6"/>
        <v>45</v>
      </c>
      <c r="AC46" s="23">
        <f t="shared" si="7"/>
        <v>49.5</v>
      </c>
      <c r="AD46" s="21">
        <f t="shared" si="8"/>
        <v>5</v>
      </c>
      <c r="AE46" s="20">
        <f>SUMIFS('3월 단양 개인별 STAT'!AE:AE, '3월 단양 개인별 STAT'!$D:$D, $D46, '3월 단양 개인별 STAT'!$E:$E, $E46) + SUMIFS('4월 삼척 개인별 STAT'!AE:AE, '4월 삼척 개인별 STAT'!$D:$D, $D46, '4월 삼척 개인별 STAT'!$E:$E, $E46)</f>
        <v>3</v>
      </c>
      <c r="AF46" s="20">
        <f>SUMIFS('3월 단양 개인별 STAT'!AF:AF, '3월 단양 개인별 STAT'!$D:$D, $D46, '3월 단양 개인별 STAT'!$E:$E, $E46) + SUMIFS('4월 삼척 개인별 STAT'!AF:AF, '4월 삼척 개인별 STAT'!$D:$D, $D46, '4월 삼척 개인별 STAT'!$E:$E, $E46)</f>
        <v>2</v>
      </c>
      <c r="AG46" s="24">
        <f t="shared" si="9"/>
        <v>60</v>
      </c>
      <c r="AH46" s="20">
        <f>SUMIFS('3월 단양 개인별 STAT'!AH:AH, '3월 단양 개인별 STAT'!$D:$D, $D46, '3월 단양 개인별 STAT'!$E:$E, $E46) + SUMIFS('4월 삼척 개인별 STAT'!AH:AH, '4월 삼척 개인별 STAT'!$D:$D, $D46, '4월 삼척 개인별 STAT'!$E:$E, $E46)</f>
        <v>7</v>
      </c>
      <c r="AI46" s="22" t="str">
        <f t="shared" si="10"/>
        <v>0.29</v>
      </c>
      <c r="AJ46" s="25"/>
      <c r="AK46" s="26"/>
      <c r="AL46" s="27">
        <f t="shared" si="11"/>
        <v>1.416666667</v>
      </c>
      <c r="AM46" s="27">
        <f t="shared" si="30"/>
        <v>3.708333333</v>
      </c>
      <c r="AN46" s="28">
        <f t="shared" si="13"/>
        <v>0.3820224719</v>
      </c>
      <c r="AO46" s="27">
        <f t="shared" si="14"/>
        <v>0.1666666667</v>
      </c>
      <c r="AP46" s="27">
        <f t="shared" si="15"/>
        <v>0.2916666667</v>
      </c>
      <c r="AQ46" s="27">
        <f t="shared" ref="AQ46:AR46" si="60">iferror(AB46/$M46,"-")</f>
        <v>1.875</v>
      </c>
      <c r="AR46" s="27">
        <f t="shared" si="60"/>
        <v>2.0625</v>
      </c>
      <c r="AS46" s="29">
        <f t="shared" si="17"/>
        <v>0.08333333333</v>
      </c>
      <c r="AT46" s="29" t="str">
        <f t="shared" si="18"/>
        <v>0.29</v>
      </c>
      <c r="AU46" s="26"/>
      <c r="AV46" s="26"/>
      <c r="AW46" s="26"/>
      <c r="AX46" s="26"/>
    </row>
    <row r="47">
      <c r="B47" s="17">
        <v>44.0</v>
      </c>
      <c r="C47" s="18">
        <f t="shared" si="2"/>
        <v>15</v>
      </c>
      <c r="D47" s="19" t="s">
        <v>83</v>
      </c>
      <c r="E47" s="19" t="s">
        <v>98</v>
      </c>
      <c r="F47" s="19">
        <v>1.0</v>
      </c>
      <c r="G47" s="19" t="s">
        <v>47</v>
      </c>
      <c r="H47" s="19" t="s">
        <v>48</v>
      </c>
      <c r="I47" s="19">
        <v>187.0</v>
      </c>
      <c r="J47" s="19">
        <v>68.0</v>
      </c>
      <c r="K47" s="20">
        <v>18.0</v>
      </c>
      <c r="L47" s="20">
        <f>SUMIFS('3월 단양 개인별 STAT'!L:L, '3월 단양 개인별 STAT'!$D:$D, $D47, '3월 단양 개인별 STAT'!$E:$E, $E47) + SUMIFS('4월 삼척 개인별 STAT'!L:L, '4월 삼척 개인별 STAT'!$D:$D, $D47, '4월 삼척 개인별 STAT'!$E:$E, $E47)</f>
        <v>2</v>
      </c>
      <c r="M47" s="20">
        <f>SUMIFS('3월 단양 개인별 STAT'!M:M, '3월 단양 개인별 STAT'!$D:$D, $D47, '3월 단양 개인별 STAT'!$E:$E, $E47) + SUMIFS('4월 삼척 개인별 STAT'!M:M, '4월 삼척 개인별 STAT'!$D:$D, $D47, '4월 삼척 개인별 STAT'!$E:$E, $E47)</f>
        <v>2</v>
      </c>
      <c r="N47" s="20">
        <f>SUMIFS('3월 단양 개인별 STAT'!N:N, '3월 단양 개인별 STAT'!$D:$D, $D47, '3월 단양 개인별 STAT'!$E:$E, $E47) + SUMIFS('4월 삼척 개인별 STAT'!N:N, '4월 삼척 개인별 STAT'!$D:$D, $D47, '4월 삼척 개인별 STAT'!$E:$E, $E47)</f>
        <v>0</v>
      </c>
      <c r="O47" s="20">
        <f>SUMIFS('3월 단양 개인별 STAT'!O:O, '3월 단양 개인별 STAT'!$D:$D, $D47, '3월 단양 개인별 STAT'!$E:$E, $E47) + SUMIFS('4월 삼척 개인별 STAT'!O:O, '4월 삼척 개인별 STAT'!$D:$D, $D47, '4월 삼척 개인별 STAT'!$E:$E, $E47)</f>
        <v>0</v>
      </c>
      <c r="P47" s="20">
        <f>SUMIFS('3월 단양 개인별 STAT'!P:P, '3월 단양 개인별 STAT'!$D:$D, $D47, '3월 단양 개인별 STAT'!$E:$E, $E47) + SUMIFS('4월 삼척 개인별 STAT'!P:P, '4월 삼척 개인별 STAT'!$D:$D, $D47, '4월 삼척 개인별 STAT'!$E:$E, $E47)</f>
        <v>0</v>
      </c>
      <c r="Q47" s="20">
        <f>SUMIFS('3월 단양 개인별 STAT'!Q:Q, '3월 단양 개인별 STAT'!$D:$D, $D47, '3월 단양 개인별 STAT'!$E:$E, $E47) + SUMIFS('4월 삼척 개인별 STAT'!Q:Q, '4월 삼척 개인별 STAT'!$D:$D, $D47, '4월 삼척 개인별 STAT'!$E:$E, $E47)</f>
        <v>0</v>
      </c>
      <c r="R47" s="30" t="str">
        <f t="shared" si="3"/>
        <v>-</v>
      </c>
      <c r="S47" s="22" t="str">
        <f t="shared" si="4"/>
        <v>-</v>
      </c>
      <c r="T47" s="20">
        <f>SUMIFS('3월 단양 개인별 STAT'!T:T, '3월 단양 개인별 STAT'!$D:$D, $D47, '3월 단양 개인별 STAT'!$E:$E, $E47) + SUMIFS('4월 삼척 개인별 STAT'!T:T, '4월 삼척 개인별 STAT'!$D:$D, $D47, '4월 삼척 개인별 STAT'!$E:$E, $E47)</f>
        <v>1</v>
      </c>
      <c r="U47" s="20">
        <f>SUMIFS('3월 단양 개인별 STAT'!U:U, '3월 단양 개인별 STAT'!$D:$D, $D47, '3월 단양 개인별 STAT'!$E:$E, $E47) + SUMIFS('4월 삼척 개인별 STAT'!U:U, '4월 삼척 개인별 STAT'!$D:$D, $D47, '4월 삼척 개인별 STAT'!$E:$E, $E47)</f>
        <v>0</v>
      </c>
      <c r="V47" s="20">
        <f>SUMIFS('3월 단양 개인별 STAT'!V:V, '3월 단양 개인별 STAT'!$D:$D, $D47, '3월 단양 개인별 STAT'!$E:$E, $E47) + SUMIFS('4월 삼척 개인별 STAT'!V:V, '4월 삼척 개인별 STAT'!$D:$D, $D47, '4월 삼척 개인별 STAT'!$E:$E, $E47)</f>
        <v>0</v>
      </c>
      <c r="W47" s="20">
        <f>SUMIFS('3월 단양 개인별 STAT'!W:W, '3월 단양 개인별 STAT'!$D:$D, $D47, '3월 단양 개인별 STAT'!$E:$E, $E47) + SUMIFS('4월 삼척 개인별 STAT'!W:W, '4월 삼척 개인별 STAT'!$D:$D, $D47, '4월 삼척 개인별 STAT'!$E:$E, $E47)</f>
        <v>0</v>
      </c>
      <c r="X47" s="20">
        <f>SUMIFS('3월 단양 개인별 STAT'!X:X, '3월 단양 개인별 STAT'!$D:$D, $D47, '3월 단양 개인별 STAT'!$E:$E, $E47) + SUMIFS('4월 삼척 개인별 STAT'!X:X, '4월 삼척 개인별 STAT'!$D:$D, $D47, '4월 삼척 개인별 STAT'!$E:$E, $E47)</f>
        <v>0</v>
      </c>
      <c r="Y47" s="20">
        <f>SUMIFS('3월 단양 개인별 STAT'!Y:Y, '3월 단양 개인별 STAT'!$D:$D, $D47, '3월 단양 개인별 STAT'!$E:$E, $E47) + SUMIFS('4월 삼척 개인별 STAT'!Y:Y, '4월 삼척 개인별 STAT'!$D:$D, $D47, '4월 삼척 개인별 STAT'!$E:$E, $E47)</f>
        <v>0</v>
      </c>
      <c r="Z47" s="30" t="str">
        <f t="shared" si="5"/>
        <v>-</v>
      </c>
      <c r="AA47" s="20">
        <f>SUMIFS('3월 단양 개인별 STAT'!AA:AA, '3월 단양 개인별 STAT'!$D:$D, $D47, '3월 단양 개인별 STAT'!$E:$E, $E47) + SUMIFS('4월 삼척 개인별 STAT'!AA:AA, '4월 삼척 개인별 STAT'!$D:$D, $D47, '4월 삼척 개인별 STAT'!$E:$E, $E47)</f>
        <v>0</v>
      </c>
      <c r="AB47" s="21">
        <f t="shared" si="6"/>
        <v>1</v>
      </c>
      <c r="AC47" s="23">
        <f t="shared" si="7"/>
        <v>1</v>
      </c>
      <c r="AD47" s="30" t="str">
        <f t="shared" si="8"/>
        <v>-</v>
      </c>
      <c r="AE47" s="20">
        <f>SUMIFS('3월 단양 개인별 STAT'!AE:AE, '3월 단양 개인별 STAT'!$D:$D, $D47, '3월 단양 개인별 STAT'!$E:$E, $E47) + SUMIFS('4월 삼척 개인별 STAT'!AE:AE, '4월 삼척 개인별 STAT'!$D:$D, $D47, '4월 삼척 개인별 STAT'!$E:$E, $E47)</f>
        <v>0</v>
      </c>
      <c r="AF47" s="20">
        <f>SUMIFS('3월 단양 개인별 STAT'!AF:AF, '3월 단양 개인별 STAT'!$D:$D, $D47, '3월 단양 개인별 STAT'!$E:$E, $E47) + SUMIFS('4월 삼척 개인별 STAT'!AF:AF, '4월 삼척 개인별 STAT'!$D:$D, $D47, '4월 삼척 개인별 STAT'!$E:$E, $E47)</f>
        <v>0</v>
      </c>
      <c r="AG47" s="24" t="str">
        <f t="shared" si="9"/>
        <v>-</v>
      </c>
      <c r="AH47" s="20">
        <f>SUMIFS('3월 단양 개인별 STAT'!AH:AH, '3월 단양 개인별 STAT'!$D:$D, $D47, '3월 단양 개인별 STAT'!$E:$E, $E47) + SUMIFS('4월 삼척 개인별 STAT'!AH:AH, '4월 삼척 개인별 STAT'!$D:$D, $D47, '4월 삼척 개인별 STAT'!$E:$E, $E47)</f>
        <v>1</v>
      </c>
      <c r="AI47" s="22" t="str">
        <f t="shared" si="10"/>
        <v>0.50</v>
      </c>
      <c r="AJ47" s="25"/>
      <c r="AK47" s="26"/>
      <c r="AL47" s="27">
        <f t="shared" si="11"/>
        <v>0</v>
      </c>
      <c r="AM47" s="27" t="str">
        <f t="shared" si="30"/>
        <v>-</v>
      </c>
      <c r="AN47" s="28" t="str">
        <f t="shared" si="13"/>
        <v>-</v>
      </c>
      <c r="AO47" s="27">
        <f t="shared" si="14"/>
        <v>0.5</v>
      </c>
      <c r="AP47" s="27">
        <f t="shared" si="15"/>
        <v>0</v>
      </c>
      <c r="AQ47" s="27">
        <f t="shared" ref="AQ47:AR47" si="61">iferror(AB47/$M47,"-")</f>
        <v>0.5</v>
      </c>
      <c r="AR47" s="27">
        <f t="shared" si="61"/>
        <v>0.5</v>
      </c>
      <c r="AS47" s="29">
        <f t="shared" si="17"/>
        <v>0</v>
      </c>
      <c r="AT47" s="29" t="str">
        <f t="shared" si="18"/>
        <v>0.50</v>
      </c>
      <c r="AU47" s="26"/>
      <c r="AV47" s="26"/>
      <c r="AW47" s="26"/>
      <c r="AX47" s="26"/>
    </row>
    <row r="48">
      <c r="B48" s="17">
        <v>45.0</v>
      </c>
      <c r="C48" s="18">
        <f t="shared" si="2"/>
        <v>16</v>
      </c>
      <c r="D48" s="19" t="s">
        <v>83</v>
      </c>
      <c r="E48" s="19" t="s">
        <v>99</v>
      </c>
      <c r="F48" s="19">
        <v>3.0</v>
      </c>
      <c r="G48" s="19" t="s">
        <v>57</v>
      </c>
      <c r="H48" s="19" t="s">
        <v>52</v>
      </c>
      <c r="I48" s="19">
        <v>177.0</v>
      </c>
      <c r="J48" s="19">
        <v>67.0</v>
      </c>
      <c r="K48" s="20">
        <v>19.0</v>
      </c>
      <c r="L48" s="20">
        <f>SUMIFS('3월 단양 개인별 STAT'!L:L, '3월 단양 개인별 STAT'!$D:$D, $D48, '3월 단양 개인별 STAT'!$E:$E, $E48) + SUMIFS('4월 삼척 개인별 STAT'!L:L, '4월 삼척 개인별 STAT'!$D:$D, $D48, '4월 삼척 개인별 STAT'!$E:$E, $E48)</f>
        <v>6</v>
      </c>
      <c r="M48" s="20">
        <f>SUMIFS('3월 단양 개인별 STAT'!M:M, '3월 단양 개인별 STAT'!$D:$D, $D48, '3월 단양 개인별 STAT'!$E:$E, $E48) + SUMIFS('4월 삼척 개인별 STAT'!M:M, '4월 삼척 개인별 STAT'!$D:$D, $D48, '4월 삼척 개인별 STAT'!$E:$E, $E48)</f>
        <v>23</v>
      </c>
      <c r="N48" s="20">
        <f>SUMIFS('3월 단양 개인별 STAT'!N:N, '3월 단양 개인별 STAT'!$D:$D, $D48, '3월 단양 개인별 STAT'!$E:$E, $E48) + SUMIFS('4월 삼척 개인별 STAT'!N:N, '4월 삼척 개인별 STAT'!$D:$D, $D48, '4월 삼척 개인별 STAT'!$E:$E, $E48)</f>
        <v>30</v>
      </c>
      <c r="O48" s="20">
        <f>SUMIFS('3월 단양 개인별 STAT'!O:O, '3월 단양 개인별 STAT'!$D:$D, $D48, '3월 단양 개인별 STAT'!$E:$E, $E48) + SUMIFS('4월 삼척 개인별 STAT'!O:O, '4월 삼척 개인별 STAT'!$D:$D, $D48, '4월 삼척 개인별 STAT'!$E:$E, $E48)</f>
        <v>3</v>
      </c>
      <c r="P48" s="20">
        <f>SUMIFS('3월 단양 개인별 STAT'!P:P, '3월 단양 개인별 STAT'!$D:$D, $D48, '3월 단양 개인별 STAT'!$E:$E, $E48) + SUMIFS('4월 삼척 개인별 STAT'!P:P, '4월 삼척 개인별 STAT'!$D:$D, $D48, '4월 삼척 개인별 STAT'!$E:$E, $E48)</f>
        <v>34</v>
      </c>
      <c r="Q48" s="20">
        <f>SUMIFS('3월 단양 개인별 STAT'!Q:Q, '3월 단양 개인별 STAT'!$D:$D, $D48, '3월 단양 개인별 STAT'!$E:$E, $E48) + SUMIFS('4월 삼척 개인별 STAT'!Q:Q, '4월 삼척 개인별 STAT'!$D:$D, $D48, '4월 삼척 개인별 STAT'!$E:$E, $E48)</f>
        <v>9</v>
      </c>
      <c r="R48" s="21">
        <f t="shared" si="3"/>
        <v>73</v>
      </c>
      <c r="S48" s="22">
        <f t="shared" si="4"/>
        <v>0.29</v>
      </c>
      <c r="T48" s="20">
        <f>SUMIFS('3월 단양 개인별 STAT'!T:T, '3월 단양 개인별 STAT'!$D:$D, $D48, '3월 단양 개인별 STAT'!$E:$E, $E48) + SUMIFS('4월 삼척 개인별 STAT'!T:T, '4월 삼척 개인별 STAT'!$D:$D, $D48, '4월 삼척 개인별 STAT'!$E:$E, $E48)</f>
        <v>3</v>
      </c>
      <c r="U48" s="20">
        <f>SUMIFS('3월 단양 개인별 STAT'!U:U, '3월 단양 개인별 STAT'!$D:$D, $D48, '3월 단양 개인별 STAT'!$E:$E, $E48) + SUMIFS('4월 삼척 개인별 STAT'!U:U, '4월 삼척 개인별 STAT'!$D:$D, $D48, '4월 삼척 개인별 STAT'!$E:$E, $E48)</f>
        <v>0</v>
      </c>
      <c r="V48" s="20">
        <f>SUMIFS('3월 단양 개인별 STAT'!V:V, '3월 단양 개인별 STAT'!$D:$D, $D48, '3월 단양 개인별 STAT'!$E:$E, $E48) + SUMIFS('4월 삼척 개인별 STAT'!V:V, '4월 삼척 개인별 STAT'!$D:$D, $D48, '4월 삼척 개인별 STAT'!$E:$E, $E48)</f>
        <v>2</v>
      </c>
      <c r="W48" s="20">
        <f>SUMIFS('3월 단양 개인별 STAT'!W:W, '3월 단양 개인별 STAT'!$D:$D, $D48, '3월 단양 개인별 STAT'!$E:$E, $E48) + SUMIFS('4월 삼척 개인별 STAT'!W:W, '4월 삼척 개인별 STAT'!$D:$D, $D48, '4월 삼척 개인별 STAT'!$E:$E, $E48)</f>
        <v>67</v>
      </c>
      <c r="X48" s="20">
        <f>SUMIFS('3월 단양 개인별 STAT'!X:X, '3월 단양 개인별 STAT'!$D:$D, $D48, '3월 단양 개인별 STAT'!$E:$E, $E48) + SUMIFS('4월 삼척 개인별 STAT'!X:X, '4월 삼척 개인별 STAT'!$D:$D, $D48, '4월 삼척 개인별 STAT'!$E:$E, $E48)</f>
        <v>8</v>
      </c>
      <c r="Y48" s="20">
        <f>SUMIFS('3월 단양 개인별 STAT'!Y:Y, '3월 단양 개인별 STAT'!$D:$D, $D48, '3월 단양 개인별 STAT'!$E:$E, $E48) + SUMIFS('4월 삼척 개인별 STAT'!Y:Y, '4월 삼척 개인별 STAT'!$D:$D, $D48, '4월 삼척 개인별 STAT'!$E:$E, $E48)</f>
        <v>3</v>
      </c>
      <c r="Z48" s="21">
        <f t="shared" si="5"/>
        <v>78</v>
      </c>
      <c r="AA48" s="20">
        <f>SUMIFS('3월 단양 개인별 STAT'!AA:AA, '3월 단양 개인별 STAT'!$D:$D, $D48, '3월 단양 개인별 STAT'!$E:$E, $E48) + SUMIFS('4월 삼척 개인별 STAT'!AA:AA, '4월 삼척 개인별 STAT'!$D:$D, $D48, '4월 삼척 개인별 STAT'!$E:$E, $E48)</f>
        <v>1</v>
      </c>
      <c r="AB48" s="21">
        <f t="shared" si="6"/>
        <v>41</v>
      </c>
      <c r="AC48" s="23">
        <f t="shared" si="7"/>
        <v>42.5</v>
      </c>
      <c r="AD48" s="21">
        <f t="shared" si="8"/>
        <v>48</v>
      </c>
      <c r="AE48" s="20">
        <f>SUMIFS('3월 단양 개인별 STAT'!AE:AE, '3월 단양 개인별 STAT'!$D:$D, $D48, '3월 단양 개인별 STAT'!$E:$E, $E48) + SUMIFS('4월 삼척 개인별 STAT'!AE:AE, '4월 삼척 개인별 STAT'!$D:$D, $D48, '4월 삼척 개인별 STAT'!$E:$E, $E48)</f>
        <v>43</v>
      </c>
      <c r="AF48" s="20">
        <f>SUMIFS('3월 단양 개인별 STAT'!AF:AF, '3월 단양 개인별 STAT'!$D:$D, $D48, '3월 단양 개인별 STAT'!$E:$E, $E48) + SUMIFS('4월 삼척 개인별 STAT'!AF:AF, '4월 삼척 개인별 STAT'!$D:$D, $D48, '4월 삼척 개인별 STAT'!$E:$E, $E48)</f>
        <v>5</v>
      </c>
      <c r="AG48" s="24">
        <f t="shared" si="9"/>
        <v>89.58333333</v>
      </c>
      <c r="AH48" s="20">
        <f>SUMIFS('3월 단양 개인별 STAT'!AH:AH, '3월 단양 개인별 STAT'!$D:$D, $D48, '3월 단양 개인별 STAT'!$E:$E, $E48) + SUMIFS('4월 삼척 개인별 STAT'!AH:AH, '4월 삼척 개인별 STAT'!$D:$D, $D48, '4월 삼척 개인별 STAT'!$E:$E, $E48)</f>
        <v>28</v>
      </c>
      <c r="AI48" s="22" t="str">
        <f t="shared" si="10"/>
        <v>1.22</v>
      </c>
      <c r="AJ48" s="25"/>
      <c r="AK48" s="26"/>
      <c r="AL48" s="27">
        <f t="shared" si="11"/>
        <v>1.304347826</v>
      </c>
      <c r="AM48" s="27">
        <f t="shared" si="30"/>
        <v>3.173913043</v>
      </c>
      <c r="AN48" s="28">
        <f t="shared" si="13"/>
        <v>0.4109589041</v>
      </c>
      <c r="AO48" s="27">
        <f t="shared" si="14"/>
        <v>0.1304347826</v>
      </c>
      <c r="AP48" s="27">
        <f t="shared" si="15"/>
        <v>0.347826087</v>
      </c>
      <c r="AQ48" s="27">
        <f t="shared" ref="AQ48:AR48" si="62">iferror(AB48/$M48,"-")</f>
        <v>1.782608696</v>
      </c>
      <c r="AR48" s="27">
        <f t="shared" si="62"/>
        <v>1.847826087</v>
      </c>
      <c r="AS48" s="29">
        <f t="shared" si="17"/>
        <v>0.2173913043</v>
      </c>
      <c r="AT48" s="29" t="str">
        <f t="shared" si="18"/>
        <v>1.22</v>
      </c>
      <c r="AU48" s="26"/>
      <c r="AV48" s="26"/>
      <c r="AW48" s="26"/>
      <c r="AX48" s="26"/>
    </row>
    <row r="49">
      <c r="B49" s="17">
        <v>46.0</v>
      </c>
      <c r="C49" s="18">
        <f t="shared" si="2"/>
        <v>1</v>
      </c>
      <c r="D49" s="18" t="s">
        <v>100</v>
      </c>
      <c r="E49" s="19" t="s">
        <v>101</v>
      </c>
      <c r="F49" s="19">
        <v>3.0</v>
      </c>
      <c r="G49" s="19" t="s">
        <v>50</v>
      </c>
      <c r="H49" s="19" t="s">
        <v>48</v>
      </c>
      <c r="I49" s="19">
        <v>164.0</v>
      </c>
      <c r="J49" s="19">
        <v>54.0</v>
      </c>
      <c r="K49" s="20">
        <v>1.0</v>
      </c>
      <c r="L49" s="20">
        <f>SUMIFS('3월 단양 개인별 STAT'!L:L, '3월 단양 개인별 STAT'!$D:$D, $D49, '3월 단양 개인별 STAT'!$E:$E, $E49) + SUMIFS('4월 삼척 개인별 STAT'!L:L, '4월 삼척 개인별 STAT'!$D:$D, $D49, '4월 삼척 개인별 STAT'!$E:$E, $E49)</f>
        <v>8</v>
      </c>
      <c r="M49" s="20">
        <f>SUMIFS('3월 단양 개인별 STAT'!M:M, '3월 단양 개인별 STAT'!$D:$D, $D49, '3월 단양 개인별 STAT'!$E:$E, $E49) + SUMIFS('4월 삼척 개인별 STAT'!M:M, '4월 삼척 개인별 STAT'!$D:$D, $D49, '4월 삼척 개인별 STAT'!$E:$E, $E49)</f>
        <v>28</v>
      </c>
      <c r="N49" s="20">
        <f>SUMIFS('3월 단양 개인별 STAT'!N:N, '3월 단양 개인별 STAT'!$D:$D, $D49, '3월 단양 개인별 STAT'!$E:$E, $E49) + SUMIFS('4월 삼척 개인별 STAT'!N:N, '4월 삼척 개인별 STAT'!$D:$D, $D49, '4월 삼척 개인별 STAT'!$E:$E, $E49)</f>
        <v>0</v>
      </c>
      <c r="O49" s="20">
        <f>SUMIFS('3월 단양 개인별 STAT'!O:O, '3월 단양 개인별 STAT'!$D:$D, $D49, '3월 단양 개인별 STAT'!$E:$E, $E49) + SUMIFS('4월 삼척 개인별 STAT'!O:O, '4월 삼척 개인별 STAT'!$D:$D, $D49, '4월 삼척 개인별 STAT'!$E:$E, $E49)</f>
        <v>13</v>
      </c>
      <c r="P49" s="20">
        <f>SUMIFS('3월 단양 개인별 STAT'!P:P, '3월 단양 개인별 STAT'!$D:$D, $D49, '3월 단양 개인별 STAT'!$E:$E, $E49) + SUMIFS('4월 삼척 개인별 STAT'!P:P, '4월 삼척 개인별 STAT'!$D:$D, $D49, '4월 삼척 개인별 STAT'!$E:$E, $E49)</f>
        <v>1</v>
      </c>
      <c r="Q49" s="20">
        <f>SUMIFS('3월 단양 개인별 STAT'!Q:Q, '3월 단양 개인별 STAT'!$D:$D, $D49, '3월 단양 개인별 STAT'!$E:$E, $E49) + SUMIFS('4월 삼척 개인별 STAT'!Q:Q, '4월 삼척 개인별 STAT'!$D:$D, $D49, '4월 삼척 개인별 STAT'!$E:$E, $E49)</f>
        <v>0</v>
      </c>
      <c r="R49" s="21">
        <f t="shared" si="3"/>
        <v>1</v>
      </c>
      <c r="S49" s="22" t="str">
        <f t="shared" si="4"/>
        <v>-</v>
      </c>
      <c r="T49" s="20">
        <f>SUMIFS('3월 단양 개인별 STAT'!T:T, '3월 단양 개인별 STAT'!$D:$D, $D49, '3월 단양 개인별 STAT'!$E:$E, $E49) + SUMIFS('4월 삼척 개인별 STAT'!T:T, '4월 삼척 개인별 STAT'!$D:$D, $D49, '4월 삼척 개인별 STAT'!$E:$E, $E49)</f>
        <v>0</v>
      </c>
      <c r="U49" s="20">
        <f>SUMIFS('3월 단양 개인별 STAT'!U:U, '3월 단양 개인별 STAT'!$D:$D, $D49, '3월 단양 개인별 STAT'!$E:$E, $E49) + SUMIFS('4월 삼척 개인별 STAT'!U:U, '4월 삼척 개인별 STAT'!$D:$D, $D49, '4월 삼척 개인별 STAT'!$E:$E, $E49)</f>
        <v>0</v>
      </c>
      <c r="V49" s="20">
        <f>SUMIFS('3월 단양 개인별 STAT'!V:V, '3월 단양 개인별 STAT'!$D:$D, $D49, '3월 단양 개인별 STAT'!$E:$E, $E49) + SUMIFS('4월 삼척 개인별 STAT'!V:V, '4월 삼척 개인별 STAT'!$D:$D, $D49, '4월 삼척 개인별 STAT'!$E:$E, $E49)</f>
        <v>0</v>
      </c>
      <c r="W49" s="20">
        <f>SUMIFS('3월 단양 개인별 STAT'!W:W, '3월 단양 개인별 STAT'!$D:$D, $D49, '3월 단양 개인별 STAT'!$E:$E, $E49) + SUMIFS('4월 삼척 개인별 STAT'!W:W, '4월 삼척 개인별 STAT'!$D:$D, $D49, '4월 삼척 개인별 STAT'!$E:$E, $E49)</f>
        <v>0</v>
      </c>
      <c r="X49" s="20">
        <f>SUMIFS('3월 단양 개인별 STAT'!X:X, '3월 단양 개인별 STAT'!$D:$D, $D49, '3월 단양 개인별 STAT'!$E:$E, $E49) + SUMIFS('4월 삼척 개인별 STAT'!X:X, '4월 삼척 개인별 STAT'!$D:$D, $D49, '4월 삼척 개인별 STAT'!$E:$E, $E49)</f>
        <v>0</v>
      </c>
      <c r="Y49" s="20">
        <f>SUMIFS('3월 단양 개인별 STAT'!Y:Y, '3월 단양 개인별 STAT'!$D:$D, $D49, '3월 단양 개인별 STAT'!$E:$E, $E49) + SUMIFS('4월 삼척 개인별 STAT'!Y:Y, '4월 삼척 개인별 STAT'!$D:$D, $D49, '4월 삼척 개인별 STAT'!$E:$E, $E49)</f>
        <v>0</v>
      </c>
      <c r="Z49" s="30" t="str">
        <f t="shared" si="5"/>
        <v>-</v>
      </c>
      <c r="AA49" s="20">
        <f>SUMIFS('3월 단양 개인별 STAT'!AA:AA, '3월 단양 개인별 STAT'!$D:$D, $D49, '3월 단양 개인별 STAT'!$E:$E, $E49) + SUMIFS('4월 삼척 개인별 STAT'!AA:AA, '4월 삼척 개인별 STAT'!$D:$D, $D49, '4월 삼척 개인별 STAT'!$E:$E, $E49)</f>
        <v>2</v>
      </c>
      <c r="AB49" s="30" t="str">
        <f t="shared" si="6"/>
        <v>-</v>
      </c>
      <c r="AC49" s="23">
        <f t="shared" si="7"/>
        <v>0</v>
      </c>
      <c r="AD49" s="21">
        <f t="shared" si="8"/>
        <v>148</v>
      </c>
      <c r="AE49" s="20">
        <f>SUMIFS('3월 단양 개인별 STAT'!AE:AE, '3월 단양 개인별 STAT'!$D:$D, $D49, '3월 단양 개인별 STAT'!$E:$E, $E49) + SUMIFS('4월 삼척 개인별 STAT'!AE:AE, '4월 삼척 개인별 STAT'!$D:$D, $D49, '4월 삼척 개인별 STAT'!$E:$E, $E49)</f>
        <v>140</v>
      </c>
      <c r="AF49" s="20">
        <f>SUMIFS('3월 단양 개인별 STAT'!AF:AF, '3월 단양 개인별 STAT'!$D:$D, $D49, '3월 단양 개인별 STAT'!$E:$E, $E49) + SUMIFS('4월 삼척 개인별 STAT'!AF:AF, '4월 삼척 개인별 STAT'!$D:$D, $D49, '4월 삼척 개인별 STAT'!$E:$E, $E49)</f>
        <v>8</v>
      </c>
      <c r="AG49" s="24">
        <f t="shared" si="9"/>
        <v>94.59459459</v>
      </c>
      <c r="AH49" s="20">
        <f>SUMIFS('3월 단양 개인별 STAT'!AH:AH, '3월 단양 개인별 STAT'!$D:$D, $D49, '3월 단양 개인별 STAT'!$E:$E, $E49) + SUMIFS('4월 삼척 개인별 STAT'!AH:AH, '4월 삼척 개인별 STAT'!$D:$D, $D49, '4월 삼척 개인별 STAT'!$E:$E, $E49)</f>
        <v>69</v>
      </c>
      <c r="AI49" s="22" t="str">
        <f t="shared" si="10"/>
        <v>2.46</v>
      </c>
      <c r="AJ49" s="25"/>
      <c r="AK49" s="26"/>
      <c r="AL49" s="27">
        <f t="shared" si="11"/>
        <v>0</v>
      </c>
      <c r="AM49" s="27">
        <f t="shared" si="30"/>
        <v>0.03571428571</v>
      </c>
      <c r="AN49" s="28">
        <f t="shared" si="13"/>
        <v>0</v>
      </c>
      <c r="AO49" s="27">
        <f t="shared" si="14"/>
        <v>0</v>
      </c>
      <c r="AP49" s="27">
        <f t="shared" si="15"/>
        <v>0</v>
      </c>
      <c r="AQ49" s="27" t="str">
        <f t="shared" ref="AQ49:AR49" si="63">iferror(AB49/$M49,"-")</f>
        <v>-</v>
      </c>
      <c r="AR49" s="27">
        <f t="shared" si="63"/>
        <v>0</v>
      </c>
      <c r="AS49" s="29">
        <f t="shared" si="17"/>
        <v>0.2857142857</v>
      </c>
      <c r="AT49" s="29" t="str">
        <f t="shared" si="18"/>
        <v>2.46</v>
      </c>
      <c r="AU49" s="26"/>
      <c r="AV49" s="26"/>
      <c r="AW49" s="26"/>
      <c r="AX49" s="26"/>
    </row>
    <row r="50">
      <c r="B50" s="17">
        <v>47.0</v>
      </c>
      <c r="C50" s="18">
        <f t="shared" si="2"/>
        <v>2</v>
      </c>
      <c r="D50" s="18" t="s">
        <v>100</v>
      </c>
      <c r="E50" s="19" t="s">
        <v>102</v>
      </c>
      <c r="F50" s="19">
        <v>2.0</v>
      </c>
      <c r="G50" s="19" t="s">
        <v>50</v>
      </c>
      <c r="H50" s="19" t="s">
        <v>52</v>
      </c>
      <c r="I50" s="19">
        <v>165.0</v>
      </c>
      <c r="J50" s="19">
        <v>55.0</v>
      </c>
      <c r="K50" s="20">
        <v>2.0</v>
      </c>
      <c r="L50" s="20">
        <f>SUMIFS('3월 단양 개인별 STAT'!L:L, '3월 단양 개인별 STAT'!$D:$D, $D50, '3월 단양 개인별 STAT'!$E:$E, $E50) + SUMIFS('4월 삼척 개인별 STAT'!L:L, '4월 삼척 개인별 STAT'!$D:$D, $D50, '4월 삼척 개인별 STAT'!$E:$E, $E50)</f>
        <v>7</v>
      </c>
      <c r="M50" s="20">
        <f>SUMIFS('3월 단양 개인별 STAT'!M:M, '3월 단양 개인별 STAT'!$D:$D, $D50, '3월 단양 개인별 STAT'!$E:$E, $E50) + SUMIFS('4월 삼척 개인별 STAT'!M:M, '4월 삼척 개인별 STAT'!$D:$D, $D50, '4월 삼척 개인별 STAT'!$E:$E, $E50)</f>
        <v>9</v>
      </c>
      <c r="N50" s="20">
        <f>SUMIFS('3월 단양 개인별 STAT'!N:N, '3월 단양 개인별 STAT'!$D:$D, $D50, '3월 단양 개인별 STAT'!$E:$E, $E50) + SUMIFS('4월 삼척 개인별 STAT'!N:N, '4월 삼척 개인별 STAT'!$D:$D, $D50, '4월 삼척 개인별 STAT'!$E:$E, $E50)</f>
        <v>0</v>
      </c>
      <c r="O50" s="20">
        <f>SUMIFS('3월 단양 개인별 STAT'!O:O, '3월 단양 개인별 STAT'!$D:$D, $D50, '3월 단양 개인별 STAT'!$E:$E, $E50) + SUMIFS('4월 삼척 개인별 STAT'!O:O, '4월 삼척 개인별 STAT'!$D:$D, $D50, '4월 삼척 개인별 STAT'!$E:$E, $E50)</f>
        <v>2</v>
      </c>
      <c r="P50" s="20">
        <f>SUMIFS('3월 단양 개인별 STAT'!P:P, '3월 단양 개인별 STAT'!$D:$D, $D50, '3월 단양 개인별 STAT'!$E:$E, $E50) + SUMIFS('4월 삼척 개인별 STAT'!P:P, '4월 삼척 개인별 STAT'!$D:$D, $D50, '4월 삼척 개인별 STAT'!$E:$E, $E50)</f>
        <v>0</v>
      </c>
      <c r="Q50" s="20">
        <f>SUMIFS('3월 단양 개인별 STAT'!Q:Q, '3월 단양 개인별 STAT'!$D:$D, $D50, '3월 단양 개인별 STAT'!$E:$E, $E50) + SUMIFS('4월 삼척 개인별 STAT'!Q:Q, '4월 삼척 개인별 STAT'!$D:$D, $D50, '4월 삼척 개인별 STAT'!$E:$E, $E50)</f>
        <v>0</v>
      </c>
      <c r="R50" s="30" t="str">
        <f t="shared" si="3"/>
        <v>-</v>
      </c>
      <c r="S50" s="22" t="str">
        <f t="shared" si="4"/>
        <v>-</v>
      </c>
      <c r="T50" s="20">
        <f>SUMIFS('3월 단양 개인별 STAT'!T:T, '3월 단양 개인별 STAT'!$D:$D, $D50, '3월 단양 개인별 STAT'!$E:$E, $E50) + SUMIFS('4월 삼척 개인별 STAT'!T:T, '4월 삼척 개인별 STAT'!$D:$D, $D50, '4월 삼척 개인별 STAT'!$E:$E, $E50)</f>
        <v>0</v>
      </c>
      <c r="U50" s="20">
        <f>SUMIFS('3월 단양 개인별 STAT'!U:U, '3월 단양 개인별 STAT'!$D:$D, $D50, '3월 단양 개인별 STAT'!$E:$E, $E50) + SUMIFS('4월 삼척 개인별 STAT'!U:U, '4월 삼척 개인별 STAT'!$D:$D, $D50, '4월 삼척 개인별 STAT'!$E:$E, $E50)</f>
        <v>0</v>
      </c>
      <c r="V50" s="20">
        <f>SUMIFS('3월 단양 개인별 STAT'!V:V, '3월 단양 개인별 STAT'!$D:$D, $D50, '3월 단양 개인별 STAT'!$E:$E, $E50) + SUMIFS('4월 삼척 개인별 STAT'!V:V, '4월 삼척 개인별 STAT'!$D:$D, $D50, '4월 삼척 개인별 STAT'!$E:$E, $E50)</f>
        <v>0</v>
      </c>
      <c r="W50" s="20">
        <f>SUMIFS('3월 단양 개인별 STAT'!W:W, '3월 단양 개인별 STAT'!$D:$D, $D50, '3월 단양 개인별 STAT'!$E:$E, $E50) + SUMIFS('4월 삼척 개인별 STAT'!W:W, '4월 삼척 개인별 STAT'!$D:$D, $D50, '4월 삼척 개인별 STAT'!$E:$E, $E50)</f>
        <v>5</v>
      </c>
      <c r="X50" s="20">
        <f>SUMIFS('3월 단양 개인별 STAT'!X:X, '3월 단양 개인별 STAT'!$D:$D, $D50, '3월 단양 개인별 STAT'!$E:$E, $E50) + SUMIFS('4월 삼척 개인별 STAT'!X:X, '4월 삼척 개인별 STAT'!$D:$D, $D50, '4월 삼척 개인별 STAT'!$E:$E, $E50)</f>
        <v>0</v>
      </c>
      <c r="Y50" s="20">
        <f>SUMIFS('3월 단양 개인별 STAT'!Y:Y, '3월 단양 개인별 STAT'!$D:$D, $D50, '3월 단양 개인별 STAT'!$E:$E, $E50) + SUMIFS('4월 삼척 개인별 STAT'!Y:Y, '4월 삼척 개인별 STAT'!$D:$D, $D50, '4월 삼척 개인별 STAT'!$E:$E, $E50)</f>
        <v>0</v>
      </c>
      <c r="Z50" s="21">
        <f t="shared" si="5"/>
        <v>5</v>
      </c>
      <c r="AA50" s="20">
        <f>SUMIFS('3월 단양 개인별 STAT'!AA:AA, '3월 단양 개인별 STAT'!$D:$D, $D50, '3월 단양 개인별 STAT'!$E:$E, $E50) + SUMIFS('4월 삼척 개인별 STAT'!AA:AA, '4월 삼척 개인별 STAT'!$D:$D, $D50, '4월 삼척 개인별 STAT'!$E:$E, $E50)</f>
        <v>0</v>
      </c>
      <c r="AB50" s="30" t="str">
        <f t="shared" si="6"/>
        <v>-</v>
      </c>
      <c r="AC50" s="23">
        <f t="shared" si="7"/>
        <v>0</v>
      </c>
      <c r="AD50" s="21">
        <f t="shared" si="8"/>
        <v>11</v>
      </c>
      <c r="AE50" s="20">
        <f>SUMIFS('3월 단양 개인별 STAT'!AE:AE, '3월 단양 개인별 STAT'!$D:$D, $D50, '3월 단양 개인별 STAT'!$E:$E, $E50) + SUMIFS('4월 삼척 개인별 STAT'!AE:AE, '4월 삼척 개인별 STAT'!$D:$D, $D50, '4월 삼척 개인별 STAT'!$E:$E, $E50)</f>
        <v>10</v>
      </c>
      <c r="AF50" s="20">
        <f>SUMIFS('3월 단양 개인별 STAT'!AF:AF, '3월 단양 개인별 STAT'!$D:$D, $D50, '3월 단양 개인별 STAT'!$E:$E, $E50) + SUMIFS('4월 삼척 개인별 STAT'!AF:AF, '4월 삼척 개인별 STAT'!$D:$D, $D50, '4월 삼척 개인별 STAT'!$E:$E, $E50)</f>
        <v>1</v>
      </c>
      <c r="AG50" s="24">
        <f t="shared" si="9"/>
        <v>90.90909091</v>
      </c>
      <c r="AH50" s="20">
        <f>SUMIFS('3월 단양 개인별 STAT'!AH:AH, '3월 단양 개인별 STAT'!$D:$D, $D50, '3월 단양 개인별 STAT'!$E:$E, $E50) + SUMIFS('4월 삼척 개인별 STAT'!AH:AH, '4월 삼척 개인별 STAT'!$D:$D, $D50, '4월 삼척 개인별 STAT'!$E:$E, $E50)</f>
        <v>5</v>
      </c>
      <c r="AI50" s="22" t="str">
        <f t="shared" si="10"/>
        <v>0.56</v>
      </c>
      <c r="AJ50" s="25"/>
      <c r="AK50" s="26"/>
      <c r="AL50" s="27">
        <f t="shared" si="11"/>
        <v>0</v>
      </c>
      <c r="AM50" s="27" t="str">
        <f t="shared" si="30"/>
        <v>-</v>
      </c>
      <c r="AN50" s="28" t="str">
        <f t="shared" si="13"/>
        <v>-</v>
      </c>
      <c r="AO50" s="27">
        <f t="shared" si="14"/>
        <v>0</v>
      </c>
      <c r="AP50" s="27">
        <f t="shared" si="15"/>
        <v>0</v>
      </c>
      <c r="AQ50" s="27" t="str">
        <f t="shared" ref="AQ50:AR50" si="64">iferror(AB50/$M50,"-")</f>
        <v>-</v>
      </c>
      <c r="AR50" s="27">
        <f t="shared" si="64"/>
        <v>0</v>
      </c>
      <c r="AS50" s="29">
        <f t="shared" si="17"/>
        <v>0.1111111111</v>
      </c>
      <c r="AT50" s="29" t="str">
        <f t="shared" si="18"/>
        <v>0.56</v>
      </c>
      <c r="AU50" s="26"/>
      <c r="AV50" s="26"/>
      <c r="AW50" s="26"/>
      <c r="AX50" s="26"/>
    </row>
    <row r="51">
      <c r="B51" s="17">
        <v>48.0</v>
      </c>
      <c r="C51" s="18">
        <f t="shared" si="2"/>
        <v>3</v>
      </c>
      <c r="D51" s="18" t="s">
        <v>100</v>
      </c>
      <c r="E51" s="19" t="s">
        <v>103</v>
      </c>
      <c r="F51" s="19">
        <v>2.0</v>
      </c>
      <c r="G51" s="19" t="s">
        <v>52</v>
      </c>
      <c r="H51" s="19" t="s">
        <v>48</v>
      </c>
      <c r="I51" s="19">
        <v>164.0</v>
      </c>
      <c r="J51" s="19">
        <v>57.0</v>
      </c>
      <c r="K51" s="20">
        <v>3.0</v>
      </c>
      <c r="L51" s="20">
        <f>SUMIFS('3월 단양 개인별 STAT'!L:L, '3월 단양 개인별 STAT'!$D:$D, $D51, '3월 단양 개인별 STAT'!$E:$E, $E51) + SUMIFS('4월 삼척 개인별 STAT'!L:L, '4월 삼척 개인별 STAT'!$D:$D, $D51, '4월 삼척 개인별 STAT'!$E:$E, $E51)</f>
        <v>8</v>
      </c>
      <c r="M51" s="20">
        <f>SUMIFS('3월 단양 개인별 STAT'!M:M, '3월 단양 개인별 STAT'!$D:$D, $D51, '3월 단양 개인별 STAT'!$E:$E, $E51) + SUMIFS('4월 삼척 개인별 STAT'!M:M, '4월 삼척 개인별 STAT'!$D:$D, $D51, '4월 삼척 개인별 STAT'!$E:$E, $E51)</f>
        <v>25</v>
      </c>
      <c r="N51" s="20">
        <f>SUMIFS('3월 단양 개인별 STAT'!N:N, '3월 단양 개인별 STAT'!$D:$D, $D51, '3월 단양 개인별 STAT'!$E:$E, $E51) + SUMIFS('4월 삼척 개인별 STAT'!N:N, '4월 삼척 개인별 STAT'!$D:$D, $D51, '4월 삼척 개인별 STAT'!$E:$E, $E51)</f>
        <v>3</v>
      </c>
      <c r="O51" s="20">
        <f>SUMIFS('3월 단양 개인별 STAT'!O:O, '3월 단양 개인별 STAT'!$D:$D, $D51, '3월 단양 개인별 STAT'!$E:$E, $E51) + SUMIFS('4월 삼척 개인별 STAT'!O:O, '4월 삼척 개인별 STAT'!$D:$D, $D51, '4월 삼척 개인별 STAT'!$E:$E, $E51)</f>
        <v>1</v>
      </c>
      <c r="P51" s="20">
        <f>SUMIFS('3월 단양 개인별 STAT'!P:P, '3월 단양 개인별 STAT'!$D:$D, $D51, '3월 단양 개인별 STAT'!$E:$E, $E51) + SUMIFS('4월 삼척 개인별 STAT'!P:P, '4월 삼척 개인별 STAT'!$D:$D, $D51, '4월 삼척 개인별 STAT'!$E:$E, $E51)</f>
        <v>5</v>
      </c>
      <c r="Q51" s="20">
        <f>SUMIFS('3월 단양 개인별 STAT'!Q:Q, '3월 단양 개인별 STAT'!$D:$D, $D51, '3월 단양 개인별 STAT'!$E:$E, $E51) + SUMIFS('4월 삼척 개인별 STAT'!Q:Q, '4월 삼척 개인별 STAT'!$D:$D, $D51, '4월 삼척 개인별 STAT'!$E:$E, $E51)</f>
        <v>4</v>
      </c>
      <c r="R51" s="21">
        <f t="shared" si="3"/>
        <v>12</v>
      </c>
      <c r="S51" s="22">
        <f t="shared" si="4"/>
        <v>-0.08</v>
      </c>
      <c r="T51" s="20">
        <f>SUMIFS('3월 단양 개인별 STAT'!T:T, '3월 단양 개인별 STAT'!$D:$D, $D51, '3월 단양 개인별 STAT'!$E:$E, $E51) + SUMIFS('4월 삼척 개인별 STAT'!T:T, '4월 삼척 개인별 STAT'!$D:$D, $D51, '4월 삼척 개인별 STAT'!$E:$E, $E51)</f>
        <v>0</v>
      </c>
      <c r="U51" s="20">
        <f>SUMIFS('3월 단양 개인별 STAT'!U:U, '3월 단양 개인별 STAT'!$D:$D, $D51, '3월 단양 개인별 STAT'!$E:$E, $E51) + SUMIFS('4월 삼척 개인별 STAT'!U:U, '4월 삼척 개인별 STAT'!$D:$D, $D51, '4월 삼척 개인별 STAT'!$E:$E, $E51)</f>
        <v>0</v>
      </c>
      <c r="V51" s="20">
        <f>SUMIFS('3월 단양 개인별 STAT'!V:V, '3월 단양 개인별 STAT'!$D:$D, $D51, '3월 단양 개인별 STAT'!$E:$E, $E51) + SUMIFS('4월 삼척 개인별 STAT'!V:V, '4월 삼척 개인별 STAT'!$D:$D, $D51, '4월 삼척 개인별 STAT'!$E:$E, $E51)</f>
        <v>0</v>
      </c>
      <c r="W51" s="20">
        <f>SUMIFS('3월 단양 개인별 STAT'!W:W, '3월 단양 개인별 STAT'!$D:$D, $D51, '3월 단양 개인별 STAT'!$E:$E, $E51) + SUMIFS('4월 삼척 개인별 STAT'!W:W, '4월 삼척 개인별 STAT'!$D:$D, $D51, '4월 삼척 개인별 STAT'!$E:$E, $E51)</f>
        <v>27</v>
      </c>
      <c r="X51" s="20">
        <f>SUMIFS('3월 단양 개인별 STAT'!X:X, '3월 단양 개인별 STAT'!$D:$D, $D51, '3월 단양 개인별 STAT'!$E:$E, $E51) + SUMIFS('4월 삼척 개인별 STAT'!X:X, '4월 삼척 개인별 STAT'!$D:$D, $D51, '4월 삼척 개인별 STAT'!$E:$E, $E51)</f>
        <v>3</v>
      </c>
      <c r="Y51" s="20">
        <f>SUMIFS('3월 단양 개인별 STAT'!Y:Y, '3월 단양 개인별 STAT'!$D:$D, $D51, '3월 단양 개인별 STAT'!$E:$E, $E51) + SUMIFS('4월 삼척 개인별 STAT'!Y:Y, '4월 삼척 개인별 STAT'!$D:$D, $D51, '4월 삼척 개인별 STAT'!$E:$E, $E51)</f>
        <v>3</v>
      </c>
      <c r="Z51" s="21">
        <f t="shared" si="5"/>
        <v>33</v>
      </c>
      <c r="AA51" s="20">
        <f>SUMIFS('3월 단양 개인별 STAT'!AA:AA, '3월 단양 개인별 STAT'!$D:$D, $D51, '3월 단양 개인별 STAT'!$E:$E, $E51) + SUMIFS('4월 삼척 개인별 STAT'!AA:AA, '4월 삼척 개인별 STAT'!$D:$D, $D51, '4월 삼척 개인별 STAT'!$E:$E, $E51)</f>
        <v>0</v>
      </c>
      <c r="AB51" s="21">
        <f t="shared" si="6"/>
        <v>6</v>
      </c>
      <c r="AC51" s="23">
        <f t="shared" si="7"/>
        <v>6</v>
      </c>
      <c r="AD51" s="21">
        <f t="shared" si="8"/>
        <v>27</v>
      </c>
      <c r="AE51" s="20">
        <f>SUMIFS('3월 단양 개인별 STAT'!AE:AE, '3월 단양 개인별 STAT'!$D:$D, $D51, '3월 단양 개인별 STAT'!$E:$E, $E51) + SUMIFS('4월 삼척 개인별 STAT'!AE:AE, '4월 삼척 개인별 STAT'!$D:$D, $D51, '4월 삼척 개인별 STAT'!$E:$E, $E51)</f>
        <v>25</v>
      </c>
      <c r="AF51" s="20">
        <f>SUMIFS('3월 단양 개인별 STAT'!AF:AF, '3월 단양 개인별 STAT'!$D:$D, $D51, '3월 단양 개인별 STAT'!$E:$E, $E51) + SUMIFS('4월 삼척 개인별 STAT'!AF:AF, '4월 삼척 개인별 STAT'!$D:$D, $D51, '4월 삼척 개인별 STAT'!$E:$E, $E51)</f>
        <v>2</v>
      </c>
      <c r="AG51" s="24">
        <f t="shared" si="9"/>
        <v>92.59259259</v>
      </c>
      <c r="AH51" s="20">
        <f>SUMIFS('3월 단양 개인별 STAT'!AH:AH, '3월 단양 개인별 STAT'!$D:$D, $D51, '3월 단양 개인별 STAT'!$E:$E, $E51) + SUMIFS('4월 삼척 개인별 STAT'!AH:AH, '4월 삼척 개인별 STAT'!$D:$D, $D51, '4월 삼척 개인별 STAT'!$E:$E, $E51)</f>
        <v>24</v>
      </c>
      <c r="AI51" s="22" t="str">
        <f t="shared" si="10"/>
        <v>0.96</v>
      </c>
      <c r="AJ51" s="25"/>
      <c r="AK51" s="26"/>
      <c r="AL51" s="27">
        <f t="shared" si="11"/>
        <v>0.12</v>
      </c>
      <c r="AM51" s="27">
        <f t="shared" si="30"/>
        <v>0.48</v>
      </c>
      <c r="AN51" s="28">
        <f t="shared" si="13"/>
        <v>0.25</v>
      </c>
      <c r="AO51" s="27">
        <f t="shared" si="14"/>
        <v>0</v>
      </c>
      <c r="AP51" s="27">
        <f t="shared" si="15"/>
        <v>0.12</v>
      </c>
      <c r="AQ51" s="27">
        <f t="shared" ref="AQ51:AR51" si="65">iferror(AB51/$M51,"-")</f>
        <v>0.24</v>
      </c>
      <c r="AR51" s="27">
        <f t="shared" si="65"/>
        <v>0.24</v>
      </c>
      <c r="AS51" s="29">
        <f t="shared" si="17"/>
        <v>0.08</v>
      </c>
      <c r="AT51" s="29" t="str">
        <f t="shared" si="18"/>
        <v>0.96</v>
      </c>
      <c r="AU51" s="26"/>
      <c r="AV51" s="26"/>
      <c r="AW51" s="26"/>
      <c r="AX51" s="26"/>
    </row>
    <row r="52">
      <c r="B52" s="17">
        <v>49.0</v>
      </c>
      <c r="C52" s="18">
        <f t="shared" si="2"/>
        <v>4</v>
      </c>
      <c r="D52" s="18" t="s">
        <v>100</v>
      </c>
      <c r="E52" s="19" t="s">
        <v>104</v>
      </c>
      <c r="F52" s="19">
        <v>1.0</v>
      </c>
      <c r="G52" s="19" t="s">
        <v>57</v>
      </c>
      <c r="H52" s="19" t="s">
        <v>48</v>
      </c>
      <c r="I52" s="19">
        <v>179.0</v>
      </c>
      <c r="J52" s="19">
        <v>80.0</v>
      </c>
      <c r="K52" s="20">
        <v>6.0</v>
      </c>
      <c r="L52" s="20">
        <f>SUMIFS('3월 단양 개인별 STAT'!L:L, '3월 단양 개인별 STAT'!$D:$D, $D52, '3월 단양 개인별 STAT'!$E:$E, $E52) + SUMIFS('4월 삼척 개인별 STAT'!L:L, '4월 삼척 개인별 STAT'!$D:$D, $D52, '4월 삼척 개인별 STAT'!$E:$E, $E52)</f>
        <v>8</v>
      </c>
      <c r="M52" s="20">
        <f>SUMIFS('3월 단양 개인별 STAT'!M:M, '3월 단양 개인별 STAT'!$D:$D, $D52, '3월 단양 개인별 STAT'!$E:$E, $E52) + SUMIFS('4월 삼척 개인별 STAT'!M:M, '4월 삼척 개인별 STAT'!$D:$D, $D52, '4월 삼척 개인별 STAT'!$E:$E, $E52)</f>
        <v>21</v>
      </c>
      <c r="N52" s="20">
        <f>SUMIFS('3월 단양 개인별 STAT'!N:N, '3월 단양 개인별 STAT'!$D:$D, $D52, '3월 단양 개인별 STAT'!$E:$E, $E52) + SUMIFS('4월 삼척 개인별 STAT'!N:N, '4월 삼척 개인별 STAT'!$D:$D, $D52, '4월 삼척 개인별 STAT'!$E:$E, $E52)</f>
        <v>46</v>
      </c>
      <c r="O52" s="20">
        <f>SUMIFS('3월 단양 개인별 STAT'!O:O, '3월 단양 개인별 STAT'!$D:$D, $D52, '3월 단양 개인별 STAT'!$E:$E, $E52) + SUMIFS('4월 삼척 개인별 STAT'!O:O, '4월 삼척 개인별 STAT'!$D:$D, $D52, '4월 삼척 개인별 STAT'!$E:$E, $E52)</f>
        <v>1</v>
      </c>
      <c r="P52" s="20">
        <f>SUMIFS('3월 단양 개인별 STAT'!P:P, '3월 단양 개인별 STAT'!$D:$D, $D52, '3월 단양 개인별 STAT'!$E:$E, $E52) + SUMIFS('4월 삼척 개인별 STAT'!P:P, '4월 삼척 개인별 STAT'!$D:$D, $D52, '4월 삼척 개인별 STAT'!$E:$E, $E52)</f>
        <v>38</v>
      </c>
      <c r="Q52" s="20">
        <f>SUMIFS('3월 단양 개인별 STAT'!Q:Q, '3월 단양 개인별 STAT'!$D:$D, $D52, '3월 단양 개인별 STAT'!$E:$E, $E52) + SUMIFS('4월 삼척 개인별 STAT'!Q:Q, '4월 삼척 개인별 STAT'!$D:$D, $D52, '4월 삼척 개인별 STAT'!$E:$E, $E52)</f>
        <v>19</v>
      </c>
      <c r="R52" s="21">
        <f t="shared" si="3"/>
        <v>103</v>
      </c>
      <c r="S52" s="22">
        <f t="shared" si="4"/>
        <v>0.26</v>
      </c>
      <c r="T52" s="20">
        <f>SUMIFS('3월 단양 개인별 STAT'!T:T, '3월 단양 개인별 STAT'!$D:$D, $D52, '3월 단양 개인별 STAT'!$E:$E, $E52) + SUMIFS('4월 삼척 개인별 STAT'!T:T, '4월 삼척 개인별 STAT'!$D:$D, $D52, '4월 삼척 개인별 STAT'!$E:$E, $E52)</f>
        <v>10</v>
      </c>
      <c r="U52" s="20">
        <f>SUMIFS('3월 단양 개인별 STAT'!U:U, '3월 단양 개인별 STAT'!$D:$D, $D52, '3월 단양 개인별 STAT'!$E:$E, $E52) + SUMIFS('4월 삼척 개인별 STAT'!U:U, '4월 삼척 개인별 STAT'!$D:$D, $D52, '4월 삼척 개인별 STAT'!$E:$E, $E52)</f>
        <v>0</v>
      </c>
      <c r="V52" s="20">
        <f>SUMIFS('3월 단양 개인별 STAT'!V:V, '3월 단양 개인별 STAT'!$D:$D, $D52, '3월 단양 개인별 STAT'!$E:$E, $E52) + SUMIFS('4월 삼척 개인별 STAT'!V:V, '4월 삼척 개인별 STAT'!$D:$D, $D52, '4월 삼척 개인별 STAT'!$E:$E, $E52)</f>
        <v>7</v>
      </c>
      <c r="W52" s="20">
        <f>SUMIFS('3월 단양 개인별 STAT'!W:W, '3월 단양 개인별 STAT'!$D:$D, $D52, '3월 단양 개인별 STAT'!$E:$E, $E52) + SUMIFS('4월 삼척 개인별 STAT'!W:W, '4월 삼척 개인별 STAT'!$D:$D, $D52, '4월 삼척 개인별 STAT'!$E:$E, $E52)</f>
        <v>28</v>
      </c>
      <c r="X52" s="20">
        <f>SUMIFS('3월 단양 개인별 STAT'!X:X, '3월 단양 개인별 STAT'!$D:$D, $D52, '3월 단양 개인별 STAT'!$E:$E, $E52) + SUMIFS('4월 삼척 개인별 STAT'!X:X, '4월 삼척 개인별 STAT'!$D:$D, $D52, '4월 삼척 개인별 STAT'!$E:$E, $E52)</f>
        <v>2</v>
      </c>
      <c r="Y52" s="20">
        <f>SUMIFS('3월 단양 개인별 STAT'!Y:Y, '3월 단양 개인별 STAT'!$D:$D, $D52, '3월 단양 개인별 STAT'!$E:$E, $E52) + SUMIFS('4월 삼척 개인별 STAT'!Y:Y, '4월 삼척 개인별 STAT'!$D:$D, $D52, '4월 삼척 개인별 STAT'!$E:$E, $E52)</f>
        <v>5</v>
      </c>
      <c r="Z52" s="21">
        <f t="shared" si="5"/>
        <v>35</v>
      </c>
      <c r="AA52" s="20">
        <f>SUMIFS('3월 단양 개인별 STAT'!AA:AA, '3월 단양 개인별 STAT'!$D:$D, $D52, '3월 단양 개인별 STAT'!$E:$E, $E52) + SUMIFS('4월 삼척 개인별 STAT'!AA:AA, '4월 삼척 개인별 STAT'!$D:$D, $D52, '4월 삼척 개인별 STAT'!$E:$E, $E52)</f>
        <v>2</v>
      </c>
      <c r="AB52" s="21">
        <f t="shared" si="6"/>
        <v>58</v>
      </c>
      <c r="AC52" s="23">
        <f t="shared" si="7"/>
        <v>63.25</v>
      </c>
      <c r="AD52" s="21">
        <f t="shared" si="8"/>
        <v>2</v>
      </c>
      <c r="AE52" s="20">
        <f>SUMIFS('3월 단양 개인별 STAT'!AE:AE, '3월 단양 개인별 STAT'!$D:$D, $D52, '3월 단양 개인별 STAT'!$E:$E, $E52) + SUMIFS('4월 삼척 개인별 STAT'!AE:AE, '4월 삼척 개인별 STAT'!$D:$D, $D52, '4월 삼척 개인별 STAT'!$E:$E, $E52)</f>
        <v>0</v>
      </c>
      <c r="AF52" s="20">
        <f>SUMIFS('3월 단양 개인별 STAT'!AF:AF, '3월 단양 개인별 STAT'!$D:$D, $D52, '3월 단양 개인별 STAT'!$E:$E, $E52) + SUMIFS('4월 삼척 개인별 STAT'!AF:AF, '4월 삼척 개인별 STAT'!$D:$D, $D52, '4월 삼척 개인별 STAT'!$E:$E, $E52)</f>
        <v>2</v>
      </c>
      <c r="AG52" s="24">
        <f t="shared" si="9"/>
        <v>0</v>
      </c>
      <c r="AH52" s="20">
        <f>SUMIFS('3월 단양 개인별 STAT'!AH:AH, '3월 단양 개인별 STAT'!$D:$D, $D52, '3월 단양 개인별 STAT'!$E:$E, $E52) + SUMIFS('4월 삼척 개인별 STAT'!AH:AH, '4월 삼척 개인별 STAT'!$D:$D, $D52, '4월 삼척 개인별 STAT'!$E:$E, $E52)</f>
        <v>27</v>
      </c>
      <c r="AI52" s="22" t="str">
        <f t="shared" si="10"/>
        <v>1.29</v>
      </c>
      <c r="AJ52" s="25"/>
      <c r="AK52" s="26"/>
      <c r="AL52" s="27">
        <f t="shared" si="11"/>
        <v>2.19047619</v>
      </c>
      <c r="AM52" s="27">
        <f t="shared" si="30"/>
        <v>4.904761905</v>
      </c>
      <c r="AN52" s="28">
        <f t="shared" si="13"/>
        <v>0.4466019417</v>
      </c>
      <c r="AO52" s="27">
        <f t="shared" si="14"/>
        <v>0.4761904762</v>
      </c>
      <c r="AP52" s="27">
        <f t="shared" si="15"/>
        <v>0.09523809524</v>
      </c>
      <c r="AQ52" s="27">
        <f t="shared" ref="AQ52:AR52" si="66">iferror(AB52/$M52,"-")</f>
        <v>2.761904762</v>
      </c>
      <c r="AR52" s="27">
        <f t="shared" si="66"/>
        <v>3.011904762</v>
      </c>
      <c r="AS52" s="29">
        <f t="shared" si="17"/>
        <v>0.09523809524</v>
      </c>
      <c r="AT52" s="29" t="str">
        <f t="shared" si="18"/>
        <v>1.29</v>
      </c>
      <c r="AU52" s="26"/>
      <c r="AV52" s="26"/>
      <c r="AW52" s="26"/>
      <c r="AX52" s="26"/>
    </row>
    <row r="53">
      <c r="B53" s="17">
        <v>50.0</v>
      </c>
      <c r="C53" s="18">
        <f t="shared" si="2"/>
        <v>5</v>
      </c>
      <c r="D53" s="18" t="s">
        <v>100</v>
      </c>
      <c r="E53" s="19" t="s">
        <v>105</v>
      </c>
      <c r="F53" s="19">
        <v>3.0</v>
      </c>
      <c r="G53" s="19" t="s">
        <v>54</v>
      </c>
      <c r="H53" s="19" t="s">
        <v>48</v>
      </c>
      <c r="I53" s="19">
        <v>175.0</v>
      </c>
      <c r="J53" s="19">
        <v>73.0</v>
      </c>
      <c r="K53" s="20">
        <v>7.0</v>
      </c>
      <c r="L53" s="20">
        <f>SUMIFS('3월 단양 개인별 STAT'!L:L, '3월 단양 개인별 STAT'!$D:$D, $D53, '3월 단양 개인별 STAT'!$E:$E, $E53) + SUMIFS('4월 삼척 개인별 STAT'!L:L, '4월 삼척 개인별 STAT'!$D:$D, $D53, '4월 삼척 개인별 STAT'!$E:$E, $E53)</f>
        <v>8</v>
      </c>
      <c r="M53" s="20">
        <f>SUMIFS('3월 단양 개인별 STAT'!M:M, '3월 단양 개인별 STAT'!$D:$D, $D53, '3월 단양 개인별 STAT'!$E:$E, $E53) + SUMIFS('4월 삼척 개인별 STAT'!M:M, '4월 삼척 개인별 STAT'!$D:$D, $D53, '4월 삼척 개인별 STAT'!$E:$E, $E53)</f>
        <v>27</v>
      </c>
      <c r="N53" s="20">
        <f>SUMIFS('3월 단양 개인별 STAT'!N:N, '3월 단양 개인별 STAT'!$D:$D, $D53, '3월 단양 개인별 STAT'!$E:$E, $E53) + SUMIFS('4월 삼척 개인별 STAT'!N:N, '4월 삼척 개인별 STAT'!$D:$D, $D53, '4월 삼척 개인별 STAT'!$E:$E, $E53)</f>
        <v>5</v>
      </c>
      <c r="O53" s="20">
        <f>SUMIFS('3월 단양 개인별 STAT'!O:O, '3월 단양 개인별 STAT'!$D:$D, $D53, '3월 단양 개인별 STAT'!$E:$E, $E53) + SUMIFS('4월 삼척 개인별 STAT'!O:O, '4월 삼척 개인별 STAT'!$D:$D, $D53, '4월 삼척 개인별 STAT'!$E:$E, $E53)</f>
        <v>264</v>
      </c>
      <c r="P53" s="20">
        <f>SUMIFS('3월 단양 개인별 STAT'!P:P, '3월 단양 개인별 STAT'!$D:$D, $D53, '3월 단양 개인별 STAT'!$E:$E, $E53) + SUMIFS('4월 삼척 개인별 STAT'!P:P, '4월 삼척 개인별 STAT'!$D:$D, $D53, '4월 삼척 개인별 STAT'!$E:$E, $E53)</f>
        <v>12</v>
      </c>
      <c r="Q53" s="20">
        <f>SUMIFS('3월 단양 개인별 STAT'!Q:Q, '3월 단양 개인별 STAT'!$D:$D, $D53, '3월 단양 개인별 STAT'!$E:$E, $E53) + SUMIFS('4월 삼척 개인별 STAT'!Q:Q, '4월 삼척 개인별 STAT'!$D:$D, $D53, '4월 삼척 개인별 STAT'!$E:$E, $E53)</f>
        <v>6</v>
      </c>
      <c r="R53" s="21">
        <f t="shared" si="3"/>
        <v>23</v>
      </c>
      <c r="S53" s="22">
        <f t="shared" si="4"/>
        <v>-0.04</v>
      </c>
      <c r="T53" s="20">
        <f>SUMIFS('3월 단양 개인별 STAT'!T:T, '3월 단양 개인별 STAT'!$D:$D, $D53, '3월 단양 개인별 STAT'!$E:$E, $E53) + SUMIFS('4월 삼척 개인별 STAT'!T:T, '4월 삼척 개인별 STAT'!$D:$D, $D53, '4월 삼척 개인별 STAT'!$E:$E, $E53)</f>
        <v>16</v>
      </c>
      <c r="U53" s="20">
        <f>SUMIFS('3월 단양 개인별 STAT'!U:U, '3월 단양 개인별 STAT'!$D:$D, $D53, '3월 단양 개인별 STAT'!$E:$E, $E53) + SUMIFS('4월 삼척 개인별 STAT'!U:U, '4월 삼척 개인별 STAT'!$D:$D, $D53, '4월 삼척 개인별 STAT'!$E:$E, $E53)</f>
        <v>1</v>
      </c>
      <c r="V53" s="20">
        <f>SUMIFS('3월 단양 개인별 STAT'!V:V, '3월 단양 개인별 STAT'!$D:$D, $D53, '3월 단양 개인별 STAT'!$E:$E, $E53) + SUMIFS('4월 삼척 개인별 STAT'!V:V, '4월 삼척 개인별 STAT'!$D:$D, $D53, '4월 삼척 개인별 STAT'!$E:$E, $E53)</f>
        <v>4</v>
      </c>
      <c r="W53" s="20">
        <f>SUMIFS('3월 단양 개인별 STAT'!W:W, '3월 단양 개인별 STAT'!$D:$D, $D53, '3월 단양 개인별 STAT'!$E:$E, $E53) + SUMIFS('4월 삼척 개인별 STAT'!W:W, '4월 삼척 개인별 STAT'!$D:$D, $D53, '4월 삼척 개인별 STAT'!$E:$E, $E53)</f>
        <v>73</v>
      </c>
      <c r="X53" s="20">
        <f>SUMIFS('3월 단양 개인별 STAT'!X:X, '3월 단양 개인별 STAT'!$D:$D, $D53, '3월 단양 개인별 STAT'!$E:$E, $E53) + SUMIFS('4월 삼척 개인별 STAT'!X:X, '4월 삼척 개인별 STAT'!$D:$D, $D53, '4월 삼척 개인별 STAT'!$E:$E, $E53)</f>
        <v>6</v>
      </c>
      <c r="Y53" s="20">
        <f>SUMIFS('3월 단양 개인별 STAT'!Y:Y, '3월 단양 개인별 STAT'!$D:$D, $D53, '3월 단양 개인별 STAT'!$E:$E, $E53) + SUMIFS('4월 삼척 개인별 STAT'!Y:Y, '4월 삼척 개인별 STAT'!$D:$D, $D53, '4월 삼척 개인별 STAT'!$E:$E, $E53)</f>
        <v>6</v>
      </c>
      <c r="Z53" s="21">
        <f t="shared" si="5"/>
        <v>85</v>
      </c>
      <c r="AA53" s="20">
        <f>SUMIFS('3월 단양 개인별 STAT'!AA:AA, '3월 단양 개인별 STAT'!$D:$D, $D53, '3월 단양 개인별 STAT'!$E:$E, $E53) + SUMIFS('4월 삼척 개인별 STAT'!AA:AA, '4월 삼척 개인별 STAT'!$D:$D, $D53, '4월 삼척 개인별 STAT'!$E:$E, $E53)</f>
        <v>3</v>
      </c>
      <c r="AB53" s="21">
        <f t="shared" si="6"/>
        <v>27</v>
      </c>
      <c r="AC53" s="23">
        <f t="shared" si="7"/>
        <v>30</v>
      </c>
      <c r="AD53" s="21">
        <f t="shared" si="8"/>
        <v>6</v>
      </c>
      <c r="AE53" s="20">
        <f>SUMIFS('3월 단양 개인별 STAT'!AE:AE, '3월 단양 개인별 STAT'!$D:$D, $D53, '3월 단양 개인별 STAT'!$E:$E, $E53) + SUMIFS('4월 삼척 개인별 STAT'!AE:AE, '4월 삼척 개인별 STAT'!$D:$D, $D53, '4월 삼척 개인별 STAT'!$E:$E, $E53)</f>
        <v>2</v>
      </c>
      <c r="AF53" s="20">
        <f>SUMIFS('3월 단양 개인별 STAT'!AF:AF, '3월 단양 개인별 STAT'!$D:$D, $D53, '3월 단양 개인별 STAT'!$E:$E, $E53) + SUMIFS('4월 삼척 개인별 STAT'!AF:AF, '4월 삼척 개인별 STAT'!$D:$D, $D53, '4월 삼척 개인별 STAT'!$E:$E, $E53)</f>
        <v>4</v>
      </c>
      <c r="AG53" s="24">
        <f t="shared" si="9"/>
        <v>33.33333333</v>
      </c>
      <c r="AH53" s="20">
        <f>SUMIFS('3월 단양 개인별 STAT'!AH:AH, '3월 단양 개인별 STAT'!$D:$D, $D53, '3월 단양 개인별 STAT'!$E:$E, $E53) + SUMIFS('4월 삼척 개인별 STAT'!AH:AH, '4월 삼척 개인별 STAT'!$D:$D, $D53, '4월 삼척 개인별 STAT'!$E:$E, $E53)</f>
        <v>55</v>
      </c>
      <c r="AI53" s="22" t="str">
        <f t="shared" si="10"/>
        <v>2.04</v>
      </c>
      <c r="AJ53" s="25"/>
      <c r="AK53" s="26"/>
      <c r="AL53" s="27">
        <f t="shared" si="11"/>
        <v>0.1851851852</v>
      </c>
      <c r="AM53" s="27">
        <f t="shared" si="30"/>
        <v>0.8518518519</v>
      </c>
      <c r="AN53" s="28">
        <f t="shared" si="13"/>
        <v>0.2173913043</v>
      </c>
      <c r="AO53" s="27">
        <f t="shared" si="14"/>
        <v>0.5925925926</v>
      </c>
      <c r="AP53" s="27">
        <f t="shared" si="15"/>
        <v>0.2222222222</v>
      </c>
      <c r="AQ53" s="27">
        <f t="shared" ref="AQ53:AR53" si="67">iferror(AB53/$M53,"-")</f>
        <v>1</v>
      </c>
      <c r="AR53" s="27">
        <f t="shared" si="67"/>
        <v>1.111111111</v>
      </c>
      <c r="AS53" s="29">
        <f t="shared" si="17"/>
        <v>0.1481481481</v>
      </c>
      <c r="AT53" s="29" t="str">
        <f t="shared" si="18"/>
        <v>2.04</v>
      </c>
      <c r="AU53" s="26"/>
      <c r="AV53" s="26"/>
      <c r="AW53" s="26"/>
      <c r="AX53" s="26"/>
    </row>
    <row r="54">
      <c r="B54" s="17">
        <v>51.0</v>
      </c>
      <c r="C54" s="18">
        <f t="shared" si="2"/>
        <v>6</v>
      </c>
      <c r="D54" s="18" t="s">
        <v>100</v>
      </c>
      <c r="E54" s="19" t="s">
        <v>106</v>
      </c>
      <c r="F54" s="19">
        <v>1.0</v>
      </c>
      <c r="G54" s="19" t="s">
        <v>47</v>
      </c>
      <c r="H54" s="19" t="s">
        <v>48</v>
      </c>
      <c r="I54" s="19">
        <v>178.0</v>
      </c>
      <c r="J54" s="19">
        <v>65.0</v>
      </c>
      <c r="K54" s="20">
        <v>8.0</v>
      </c>
      <c r="L54" s="20">
        <f>SUMIFS('3월 단양 개인별 STAT'!L:L, '3월 단양 개인별 STAT'!$D:$D, $D54, '3월 단양 개인별 STAT'!$E:$E, $E54) + SUMIFS('4월 삼척 개인별 STAT'!L:L, '4월 삼척 개인별 STAT'!$D:$D, $D54, '4월 삼척 개인별 STAT'!$E:$E, $E54)</f>
        <v>1</v>
      </c>
      <c r="M54" s="20">
        <f>SUMIFS('3월 단양 개인별 STAT'!M:M, '3월 단양 개인별 STAT'!$D:$D, $D54, '3월 단양 개인별 STAT'!$E:$E, $E54) + SUMIFS('4월 삼척 개인별 STAT'!M:M, '4월 삼척 개인별 STAT'!$D:$D, $D54, '4월 삼척 개인별 STAT'!$E:$E, $E54)</f>
        <v>1</v>
      </c>
      <c r="N54" s="20">
        <f>SUMIFS('3월 단양 개인별 STAT'!N:N, '3월 단양 개인별 STAT'!$D:$D, $D54, '3월 단양 개인별 STAT'!$E:$E, $E54) + SUMIFS('4월 삼척 개인별 STAT'!N:N, '4월 삼척 개인별 STAT'!$D:$D, $D54, '4월 삼척 개인별 STAT'!$E:$E, $E54)</f>
        <v>0</v>
      </c>
      <c r="O54" s="20">
        <f>SUMIFS('3월 단양 개인별 STAT'!O:O, '3월 단양 개인별 STAT'!$D:$D, $D54, '3월 단양 개인별 STAT'!$E:$E, $E54) + SUMIFS('4월 삼척 개인별 STAT'!O:O, '4월 삼척 개인별 STAT'!$D:$D, $D54, '4월 삼척 개인별 STAT'!$E:$E, $E54)</f>
        <v>0</v>
      </c>
      <c r="P54" s="20">
        <f>SUMIFS('3월 단양 개인별 STAT'!P:P, '3월 단양 개인별 STAT'!$D:$D, $D54, '3월 단양 개인별 STAT'!$E:$E, $E54) + SUMIFS('4월 삼척 개인별 STAT'!P:P, '4월 삼척 개인별 STAT'!$D:$D, $D54, '4월 삼척 개인별 STAT'!$E:$E, $E54)</f>
        <v>0</v>
      </c>
      <c r="Q54" s="20">
        <f>SUMIFS('3월 단양 개인별 STAT'!Q:Q, '3월 단양 개인별 STAT'!$D:$D, $D54, '3월 단양 개인별 STAT'!$E:$E, $E54) + SUMIFS('4월 삼척 개인별 STAT'!Q:Q, '4월 삼척 개인별 STAT'!$D:$D, $D54, '4월 삼척 개인별 STAT'!$E:$E, $E54)</f>
        <v>0</v>
      </c>
      <c r="R54" s="30" t="str">
        <f t="shared" si="3"/>
        <v>-</v>
      </c>
      <c r="S54" s="22" t="str">
        <f t="shared" si="4"/>
        <v>-</v>
      </c>
      <c r="T54" s="20">
        <f>SUMIFS('3월 단양 개인별 STAT'!T:T, '3월 단양 개인별 STAT'!$D:$D, $D54, '3월 단양 개인별 STAT'!$E:$E, $E54) + SUMIFS('4월 삼척 개인별 STAT'!T:T, '4월 삼척 개인별 STAT'!$D:$D, $D54, '4월 삼척 개인별 STAT'!$E:$E, $E54)</f>
        <v>0</v>
      </c>
      <c r="U54" s="20">
        <f>SUMIFS('3월 단양 개인별 STAT'!U:U, '3월 단양 개인별 STAT'!$D:$D, $D54, '3월 단양 개인별 STAT'!$E:$E, $E54) + SUMIFS('4월 삼척 개인별 STAT'!U:U, '4월 삼척 개인별 STAT'!$D:$D, $D54, '4월 삼척 개인별 STAT'!$E:$E, $E54)</f>
        <v>0</v>
      </c>
      <c r="V54" s="20">
        <f>SUMIFS('3월 단양 개인별 STAT'!V:V, '3월 단양 개인별 STAT'!$D:$D, $D54, '3월 단양 개인별 STAT'!$E:$E, $E54) + SUMIFS('4월 삼척 개인별 STAT'!V:V, '4월 삼척 개인별 STAT'!$D:$D, $D54, '4월 삼척 개인별 STAT'!$E:$E, $E54)</f>
        <v>1</v>
      </c>
      <c r="W54" s="20">
        <f>SUMIFS('3월 단양 개인별 STAT'!W:W, '3월 단양 개인별 STAT'!$D:$D, $D54, '3월 단양 개인별 STAT'!$E:$E, $E54) + SUMIFS('4월 삼척 개인별 STAT'!W:W, '4월 삼척 개인별 STAT'!$D:$D, $D54, '4월 삼척 개인별 STAT'!$E:$E, $E54)</f>
        <v>0</v>
      </c>
      <c r="X54" s="20">
        <f>SUMIFS('3월 단양 개인별 STAT'!X:X, '3월 단양 개인별 STAT'!$D:$D, $D54, '3월 단양 개인별 STAT'!$E:$E, $E54) + SUMIFS('4월 삼척 개인별 STAT'!X:X, '4월 삼척 개인별 STAT'!$D:$D, $D54, '4월 삼척 개인별 STAT'!$E:$E, $E54)</f>
        <v>0</v>
      </c>
      <c r="Y54" s="20">
        <f>SUMIFS('3월 단양 개인별 STAT'!Y:Y, '3월 단양 개인별 STAT'!$D:$D, $D54, '3월 단양 개인별 STAT'!$E:$E, $E54) + SUMIFS('4월 삼척 개인별 STAT'!Y:Y, '4월 삼척 개인별 STAT'!$D:$D, $D54, '4월 삼척 개인별 STAT'!$E:$E, $E54)</f>
        <v>0</v>
      </c>
      <c r="Z54" s="30" t="str">
        <f t="shared" si="5"/>
        <v>-</v>
      </c>
      <c r="AA54" s="20">
        <f>SUMIFS('3월 단양 개인별 STAT'!AA:AA, '3월 단양 개인별 STAT'!$D:$D, $D54, '3월 단양 개인별 STAT'!$E:$E, $E54) + SUMIFS('4월 삼척 개인별 STAT'!AA:AA, '4월 삼척 개인별 STAT'!$D:$D, $D54, '4월 삼척 개인별 STAT'!$E:$E, $E54)</f>
        <v>0</v>
      </c>
      <c r="AB54" s="30" t="str">
        <f t="shared" si="6"/>
        <v>-</v>
      </c>
      <c r="AC54" s="23">
        <f t="shared" si="7"/>
        <v>0.75</v>
      </c>
      <c r="AD54" s="30" t="str">
        <f t="shared" si="8"/>
        <v>-</v>
      </c>
      <c r="AE54" s="20">
        <f>SUMIFS('3월 단양 개인별 STAT'!AE:AE, '3월 단양 개인별 STAT'!$D:$D, $D54, '3월 단양 개인별 STAT'!$E:$E, $E54) + SUMIFS('4월 삼척 개인별 STAT'!AE:AE, '4월 삼척 개인별 STAT'!$D:$D, $D54, '4월 삼척 개인별 STAT'!$E:$E, $E54)</f>
        <v>0</v>
      </c>
      <c r="AF54" s="20">
        <f>SUMIFS('3월 단양 개인별 STAT'!AF:AF, '3월 단양 개인별 STAT'!$D:$D, $D54, '3월 단양 개인별 STAT'!$E:$E, $E54) + SUMIFS('4월 삼척 개인별 STAT'!AF:AF, '4월 삼척 개인별 STAT'!$D:$D, $D54, '4월 삼척 개인별 STAT'!$E:$E, $E54)</f>
        <v>0</v>
      </c>
      <c r="AG54" s="24" t="str">
        <f t="shared" si="9"/>
        <v>-</v>
      </c>
      <c r="AH54" s="20">
        <f>SUMIFS('3월 단양 개인별 STAT'!AH:AH, '3월 단양 개인별 STAT'!$D:$D, $D54, '3월 단양 개인별 STAT'!$E:$E, $E54) + SUMIFS('4월 삼척 개인별 STAT'!AH:AH, '4월 삼척 개인별 STAT'!$D:$D, $D54, '4월 삼척 개인별 STAT'!$E:$E, $E54)</f>
        <v>0</v>
      </c>
      <c r="AI54" s="22" t="str">
        <f t="shared" si="10"/>
        <v>0</v>
      </c>
      <c r="AJ54" s="25"/>
      <c r="AK54" s="26"/>
      <c r="AL54" s="27">
        <f t="shared" si="11"/>
        <v>0</v>
      </c>
      <c r="AM54" s="27" t="str">
        <f t="shared" si="30"/>
        <v>-</v>
      </c>
      <c r="AN54" s="28" t="str">
        <f t="shared" si="13"/>
        <v>-</v>
      </c>
      <c r="AO54" s="27">
        <f t="shared" si="14"/>
        <v>0</v>
      </c>
      <c r="AP54" s="27">
        <f t="shared" si="15"/>
        <v>0</v>
      </c>
      <c r="AQ54" s="27" t="str">
        <f t="shared" ref="AQ54:AR54" si="68">iferror(AB54/$M54,"-")</f>
        <v>-</v>
      </c>
      <c r="AR54" s="27">
        <f t="shared" si="68"/>
        <v>0.75</v>
      </c>
      <c r="AS54" s="29">
        <f t="shared" si="17"/>
        <v>0</v>
      </c>
      <c r="AT54" s="29" t="str">
        <f t="shared" si="18"/>
        <v>0</v>
      </c>
      <c r="AU54" s="26"/>
      <c r="AV54" s="26"/>
      <c r="AW54" s="26"/>
      <c r="AX54" s="26"/>
    </row>
    <row r="55">
      <c r="B55" s="17">
        <v>52.0</v>
      </c>
      <c r="C55" s="18">
        <f t="shared" si="2"/>
        <v>7</v>
      </c>
      <c r="D55" s="18" t="s">
        <v>100</v>
      </c>
      <c r="E55" s="18" t="s">
        <v>107</v>
      </c>
      <c r="F55" s="19">
        <v>2.0</v>
      </c>
      <c r="G55" s="19" t="s">
        <v>52</v>
      </c>
      <c r="H55" s="19" t="s">
        <v>48</v>
      </c>
      <c r="I55" s="19">
        <v>182.0</v>
      </c>
      <c r="J55" s="19">
        <v>72.0</v>
      </c>
      <c r="K55" s="20">
        <v>9.0</v>
      </c>
      <c r="L55" s="20">
        <f>SUMIFS('3월 단양 개인별 STAT'!L:L, '3월 단양 개인별 STAT'!$D:$D, $D55, '3월 단양 개인별 STAT'!$E:$E, $E55) + SUMIFS('4월 삼척 개인별 STAT'!L:L, '4월 삼척 개인별 STAT'!$D:$D, $D55, '4월 삼척 개인별 STAT'!$E:$E, $E55)</f>
        <v>8</v>
      </c>
      <c r="M55" s="20">
        <f>SUMIFS('3월 단양 개인별 STAT'!M:M, '3월 단양 개인별 STAT'!$D:$D, $D55, '3월 단양 개인별 STAT'!$E:$E, $E55) + SUMIFS('4월 삼척 개인별 STAT'!M:M, '4월 삼척 개인별 STAT'!$D:$D, $D55, '4월 삼척 개인별 STAT'!$E:$E, $E55)</f>
        <v>24</v>
      </c>
      <c r="N55" s="20">
        <f>SUMIFS('3월 단양 개인별 STAT'!N:N, '3월 단양 개인별 STAT'!$D:$D, $D55, '3월 단양 개인별 STAT'!$E:$E, $E55) + SUMIFS('4월 삼척 개인별 STAT'!N:N, '4월 삼척 개인별 STAT'!$D:$D, $D55, '4월 삼척 개인별 STAT'!$E:$E, $E55)</f>
        <v>66</v>
      </c>
      <c r="O55" s="20">
        <f>SUMIFS('3월 단양 개인별 STAT'!O:O, '3월 단양 개인별 STAT'!$D:$D, $D55, '3월 단양 개인별 STAT'!$E:$E, $E55) + SUMIFS('4월 삼척 개인별 STAT'!O:O, '4월 삼척 개인별 STAT'!$D:$D, $D55, '4월 삼척 개인별 STAT'!$E:$E, $E55)</f>
        <v>1</v>
      </c>
      <c r="P55" s="20">
        <f>SUMIFS('3월 단양 개인별 STAT'!P:P, '3월 단양 개인별 STAT'!$D:$D, $D55, '3월 단양 개인별 STAT'!$E:$E, $E55) + SUMIFS('4월 삼척 개인별 STAT'!P:P, '4월 삼척 개인별 STAT'!$D:$D, $D55, '4월 삼척 개인별 STAT'!$E:$E, $E55)</f>
        <v>85</v>
      </c>
      <c r="Q55" s="20">
        <f>SUMIFS('3월 단양 개인별 STAT'!Q:Q, '3월 단양 개인별 STAT'!$D:$D, $D55, '3월 단양 개인별 STAT'!$E:$E, $E55) + SUMIFS('4월 삼척 개인별 STAT'!Q:Q, '4월 삼척 개인별 STAT'!$D:$D, $D55, '4월 삼척 개인별 STAT'!$E:$E, $E55)</f>
        <v>25</v>
      </c>
      <c r="R55" s="21">
        <f t="shared" si="3"/>
        <v>176</v>
      </c>
      <c r="S55" s="22">
        <f t="shared" si="4"/>
        <v>0.23</v>
      </c>
      <c r="T55" s="20">
        <f>SUMIFS('3월 단양 개인별 STAT'!T:T, '3월 단양 개인별 STAT'!$D:$D, $D55, '3월 단양 개인별 STAT'!$E:$E, $E55) + SUMIFS('4월 삼척 개인별 STAT'!T:T, '4월 삼척 개인별 STAT'!$D:$D, $D55, '4월 삼척 개인별 STAT'!$E:$E, $E55)</f>
        <v>6</v>
      </c>
      <c r="U55" s="20">
        <f>SUMIFS('3월 단양 개인별 STAT'!U:U, '3월 단양 개인별 STAT'!$D:$D, $D55, '3월 단양 개인별 STAT'!$E:$E, $E55) + SUMIFS('4월 삼척 개인별 STAT'!U:U, '4월 삼척 개인별 STAT'!$D:$D, $D55, '4월 삼척 개인별 STAT'!$E:$E, $E55)</f>
        <v>1</v>
      </c>
      <c r="V55" s="20">
        <f>SUMIFS('3월 단양 개인별 STAT'!V:V, '3월 단양 개인별 STAT'!$D:$D, $D55, '3월 단양 개인별 STAT'!$E:$E, $E55) + SUMIFS('4월 삼척 개인별 STAT'!V:V, '4월 삼척 개인별 STAT'!$D:$D, $D55, '4월 삼척 개인별 STAT'!$E:$E, $E55)</f>
        <v>2</v>
      </c>
      <c r="W55" s="20">
        <f>SUMIFS('3월 단양 개인별 STAT'!W:W, '3월 단양 개인별 STAT'!$D:$D, $D55, '3월 단양 개인별 STAT'!$E:$E, $E55) + SUMIFS('4월 삼척 개인별 STAT'!W:W, '4월 삼척 개인별 STAT'!$D:$D, $D55, '4월 삼척 개인별 STAT'!$E:$E, $E55)</f>
        <v>37</v>
      </c>
      <c r="X55" s="20">
        <f>SUMIFS('3월 단양 개인별 STAT'!X:X, '3월 단양 개인별 STAT'!$D:$D, $D55, '3월 단양 개인별 STAT'!$E:$E, $E55) + SUMIFS('4월 삼척 개인별 STAT'!X:X, '4월 삼척 개인별 STAT'!$D:$D, $D55, '4월 삼척 개인별 STAT'!$E:$E, $E55)</f>
        <v>4</v>
      </c>
      <c r="Y55" s="20">
        <f>SUMIFS('3월 단양 개인별 STAT'!Y:Y, '3월 단양 개인별 STAT'!$D:$D, $D55, '3월 단양 개인별 STAT'!$E:$E, $E55) + SUMIFS('4월 삼척 개인별 STAT'!Y:Y, '4월 삼척 개인별 STAT'!$D:$D, $D55, '4월 삼척 개인별 STAT'!$E:$E, $E55)</f>
        <v>7</v>
      </c>
      <c r="Z55" s="21">
        <f t="shared" si="5"/>
        <v>48</v>
      </c>
      <c r="AA55" s="20">
        <f>SUMIFS('3월 단양 개인별 STAT'!AA:AA, '3월 단양 개인별 STAT'!$D:$D, $D55, '3월 단양 개인별 STAT'!$E:$E, $E55) + SUMIFS('4월 삼척 개인별 STAT'!AA:AA, '4월 삼척 개인별 STAT'!$D:$D, $D55, '4월 삼척 개인별 STAT'!$E:$E, $E55)</f>
        <v>1</v>
      </c>
      <c r="AB55" s="21">
        <f t="shared" si="6"/>
        <v>76</v>
      </c>
      <c r="AC55" s="23">
        <f t="shared" si="7"/>
        <v>77.5</v>
      </c>
      <c r="AD55" s="21">
        <f t="shared" si="8"/>
        <v>135</v>
      </c>
      <c r="AE55" s="20">
        <f>SUMIFS('3월 단양 개인별 STAT'!AE:AE, '3월 단양 개인별 STAT'!$D:$D, $D55, '3월 단양 개인별 STAT'!$E:$E, $E55) + SUMIFS('4월 삼척 개인별 STAT'!AE:AE, '4월 삼척 개인별 STAT'!$D:$D, $D55, '4월 삼척 개인별 STAT'!$E:$E, $E55)</f>
        <v>124</v>
      </c>
      <c r="AF55" s="20">
        <f>SUMIFS('3월 단양 개인별 STAT'!AF:AF, '3월 단양 개인별 STAT'!$D:$D, $D55, '3월 단양 개인별 STAT'!$E:$E, $E55) + SUMIFS('4월 삼척 개인별 STAT'!AF:AF, '4월 삼척 개인별 STAT'!$D:$D, $D55, '4월 삼척 개인별 STAT'!$E:$E, $E55)</f>
        <v>11</v>
      </c>
      <c r="AG55" s="24">
        <f t="shared" si="9"/>
        <v>91.85185185</v>
      </c>
      <c r="AH55" s="20">
        <f>SUMIFS('3월 단양 개인별 STAT'!AH:AH, '3월 단양 개인별 STAT'!$D:$D, $D55, '3월 단양 개인별 STAT'!$E:$E, $E55) + SUMIFS('4월 삼척 개인별 STAT'!AH:AH, '4월 삼척 개인별 STAT'!$D:$D, $D55, '4월 삼척 개인별 STAT'!$E:$E, $E55)</f>
        <v>31</v>
      </c>
      <c r="AI55" s="22" t="str">
        <f t="shared" si="10"/>
        <v>1.29</v>
      </c>
      <c r="AJ55" s="25"/>
      <c r="AK55" s="26"/>
      <c r="AL55" s="27">
        <f t="shared" si="11"/>
        <v>2.75</v>
      </c>
      <c r="AM55" s="27">
        <f t="shared" si="30"/>
        <v>7.333333333</v>
      </c>
      <c r="AN55" s="28">
        <f t="shared" si="13"/>
        <v>0.375</v>
      </c>
      <c r="AO55" s="27">
        <f t="shared" si="14"/>
        <v>0.25</v>
      </c>
      <c r="AP55" s="27">
        <f t="shared" si="15"/>
        <v>0.1666666667</v>
      </c>
      <c r="AQ55" s="27">
        <f t="shared" ref="AQ55:AR55" si="69">iferror(AB55/$M55,"-")</f>
        <v>3.166666667</v>
      </c>
      <c r="AR55" s="27">
        <f t="shared" si="69"/>
        <v>3.229166667</v>
      </c>
      <c r="AS55" s="29">
        <f t="shared" si="17"/>
        <v>0.4583333333</v>
      </c>
      <c r="AT55" s="29" t="str">
        <f t="shared" si="18"/>
        <v>1.29</v>
      </c>
      <c r="AU55" s="26"/>
      <c r="AV55" s="26"/>
      <c r="AW55" s="26"/>
      <c r="AX55" s="26"/>
    </row>
    <row r="56">
      <c r="B56" s="17">
        <v>53.0</v>
      </c>
      <c r="C56" s="18">
        <f t="shared" si="2"/>
        <v>8</v>
      </c>
      <c r="D56" s="18" t="s">
        <v>100</v>
      </c>
      <c r="E56" s="19" t="s">
        <v>108</v>
      </c>
      <c r="F56" s="19">
        <v>3.0</v>
      </c>
      <c r="G56" s="19" t="s">
        <v>52</v>
      </c>
      <c r="H56" s="19" t="s">
        <v>57</v>
      </c>
      <c r="I56" s="19">
        <v>175.0</v>
      </c>
      <c r="J56" s="19">
        <v>80.0</v>
      </c>
      <c r="K56" s="20">
        <v>10.0</v>
      </c>
      <c r="L56" s="20">
        <f>SUMIFS('3월 단양 개인별 STAT'!L:L, '3월 단양 개인별 STAT'!$D:$D, $D56, '3월 단양 개인별 STAT'!$E:$E, $E56) + SUMIFS('4월 삼척 개인별 STAT'!L:L, '4월 삼척 개인별 STAT'!$D:$D, $D56, '4월 삼척 개인별 STAT'!$E:$E, $E56)</f>
        <v>8</v>
      </c>
      <c r="M56" s="20">
        <f>SUMIFS('3월 단양 개인별 STAT'!M:M, '3월 단양 개인별 STAT'!$D:$D, $D56, '3월 단양 개인별 STAT'!$E:$E, $E56) + SUMIFS('4월 삼척 개인별 STAT'!M:M, '4월 삼척 개인별 STAT'!$D:$D, $D56, '4월 삼척 개인별 STAT'!$E:$E, $E56)</f>
        <v>27</v>
      </c>
      <c r="N56" s="20">
        <f>SUMIFS('3월 단양 개인별 STAT'!N:N, '3월 단양 개인별 STAT'!$D:$D, $D56, '3월 단양 개인별 STAT'!$E:$E, $E56) + SUMIFS('4월 삼척 개인별 STAT'!N:N, '4월 삼척 개인별 STAT'!$D:$D, $D56, '4월 삼척 개인별 STAT'!$E:$E, $E56)</f>
        <v>75</v>
      </c>
      <c r="O56" s="20">
        <f>SUMIFS('3월 단양 개인별 STAT'!O:O, '3월 단양 개인별 STAT'!$D:$D, $D56, '3월 단양 개인별 STAT'!$E:$E, $E56) + SUMIFS('4월 삼척 개인별 STAT'!O:O, '4월 삼척 개인별 STAT'!$D:$D, $D56, '4월 삼척 개인별 STAT'!$E:$E, $E56)</f>
        <v>2</v>
      </c>
      <c r="P56" s="20">
        <f>SUMIFS('3월 단양 개인별 STAT'!P:P, '3월 단양 개인별 STAT'!$D:$D, $D56, '3월 단양 개인별 STAT'!$E:$E, $E56) + SUMIFS('4월 삼척 개인별 STAT'!P:P, '4월 삼척 개인별 STAT'!$D:$D, $D56, '4월 삼척 개인별 STAT'!$E:$E, $E56)</f>
        <v>87</v>
      </c>
      <c r="Q56" s="20">
        <f>SUMIFS('3월 단양 개인별 STAT'!Q:Q, '3월 단양 개인별 STAT'!$D:$D, $D56, '3월 단양 개인별 STAT'!$E:$E, $E56) + SUMIFS('4월 삼척 개인별 STAT'!Q:Q, '4월 삼척 개인별 STAT'!$D:$D, $D56, '4월 삼척 개인별 STAT'!$E:$E, $E56)</f>
        <v>22</v>
      </c>
      <c r="R56" s="21">
        <f t="shared" si="3"/>
        <v>184</v>
      </c>
      <c r="S56" s="22">
        <f t="shared" si="4"/>
        <v>0.29</v>
      </c>
      <c r="T56" s="20">
        <f>SUMIFS('3월 단양 개인별 STAT'!T:T, '3월 단양 개인별 STAT'!$D:$D, $D56, '3월 단양 개인별 STAT'!$E:$E, $E56) + SUMIFS('4월 삼척 개인별 STAT'!T:T, '4월 삼척 개인별 STAT'!$D:$D, $D56, '4월 삼척 개인별 STAT'!$E:$E, $E56)</f>
        <v>6</v>
      </c>
      <c r="U56" s="20">
        <f>SUMIFS('3월 단양 개인별 STAT'!U:U, '3월 단양 개인별 STAT'!$D:$D, $D56, '3월 단양 개인별 STAT'!$E:$E, $E56) + SUMIFS('4월 삼척 개인별 STAT'!U:U, '4월 삼척 개인별 STAT'!$D:$D, $D56, '4월 삼척 개인별 STAT'!$E:$E, $E56)</f>
        <v>1</v>
      </c>
      <c r="V56" s="20">
        <f>SUMIFS('3월 단양 개인별 STAT'!V:V, '3월 단양 개인별 STAT'!$D:$D, $D56, '3월 단양 개인별 STAT'!$E:$E, $E56) + SUMIFS('4월 삼척 개인별 STAT'!V:V, '4월 삼척 개인별 STAT'!$D:$D, $D56, '4월 삼척 개인별 STAT'!$E:$E, $E56)</f>
        <v>3</v>
      </c>
      <c r="W56" s="20">
        <f>SUMIFS('3월 단양 개인별 STAT'!W:W, '3월 단양 개인별 STAT'!$D:$D, $D56, '3월 단양 개인별 STAT'!$E:$E, $E56) + SUMIFS('4월 삼척 개인별 STAT'!W:W, '4월 삼척 개인별 STAT'!$D:$D, $D56, '4월 삼척 개인별 STAT'!$E:$E, $E56)</f>
        <v>70</v>
      </c>
      <c r="X56" s="20">
        <f>SUMIFS('3월 단양 개인별 STAT'!X:X, '3월 단양 개인별 STAT'!$D:$D, $D56, '3월 단양 개인별 STAT'!$E:$E, $E56) + SUMIFS('4월 삼척 개인별 STAT'!X:X, '4월 삼척 개인별 STAT'!$D:$D, $D56, '4월 삼척 개인별 STAT'!$E:$E, $E56)</f>
        <v>8</v>
      </c>
      <c r="Y56" s="20">
        <f>SUMIFS('3월 단양 개인별 STAT'!Y:Y, '3월 단양 개인별 STAT'!$D:$D, $D56, '3월 단양 개인별 STAT'!$E:$E, $E56) + SUMIFS('4월 삼척 개인별 STAT'!Y:Y, '4월 삼척 개인별 STAT'!$D:$D, $D56, '4월 삼척 개인별 STAT'!$E:$E, $E56)</f>
        <v>10</v>
      </c>
      <c r="Z56" s="21">
        <f t="shared" si="5"/>
        <v>88</v>
      </c>
      <c r="AA56" s="20">
        <f>SUMIFS('3월 단양 개인별 STAT'!AA:AA, '3월 단양 개인별 STAT'!$D:$D, $D56, '3월 단양 개인별 STAT'!$E:$E, $E56) + SUMIFS('4월 삼척 개인별 STAT'!AA:AA, '4월 삼척 개인별 STAT'!$D:$D, $D56, '4월 삼척 개인별 STAT'!$E:$E, $E56)</f>
        <v>0</v>
      </c>
      <c r="AB56" s="21">
        <f t="shared" si="6"/>
        <v>89</v>
      </c>
      <c r="AC56" s="23">
        <f t="shared" si="7"/>
        <v>91.25</v>
      </c>
      <c r="AD56" s="21">
        <f t="shared" si="8"/>
        <v>36</v>
      </c>
      <c r="AE56" s="20">
        <f>SUMIFS('3월 단양 개인별 STAT'!AE:AE, '3월 단양 개인별 STAT'!$D:$D, $D56, '3월 단양 개인별 STAT'!$E:$E, $E56) + SUMIFS('4월 삼척 개인별 STAT'!AE:AE, '4월 삼척 개인별 STAT'!$D:$D, $D56, '4월 삼척 개인별 STAT'!$E:$E, $E56)</f>
        <v>35</v>
      </c>
      <c r="AF56" s="20">
        <f>SUMIFS('3월 단양 개인별 STAT'!AF:AF, '3월 단양 개인별 STAT'!$D:$D, $D56, '3월 단양 개인별 STAT'!$E:$E, $E56) + SUMIFS('4월 삼척 개인별 STAT'!AF:AF, '4월 삼척 개인별 STAT'!$D:$D, $D56, '4월 삼척 개인별 STAT'!$E:$E, $E56)</f>
        <v>1</v>
      </c>
      <c r="AG56" s="24">
        <f t="shared" si="9"/>
        <v>97.22222222</v>
      </c>
      <c r="AH56" s="20">
        <f>SUMIFS('3월 단양 개인별 STAT'!AH:AH, '3월 단양 개인별 STAT'!$D:$D, $D56, '3월 단양 개인별 STAT'!$E:$E, $E56) + SUMIFS('4월 삼척 개인별 STAT'!AH:AH, '4월 삼척 개인별 STAT'!$D:$D, $D56, '4월 삼척 개인별 STAT'!$E:$E, $E56)</f>
        <v>46</v>
      </c>
      <c r="AI56" s="22" t="str">
        <f t="shared" si="10"/>
        <v>1.70</v>
      </c>
      <c r="AJ56" s="25"/>
      <c r="AK56" s="26"/>
      <c r="AL56" s="27">
        <f t="shared" si="11"/>
        <v>2.777777778</v>
      </c>
      <c r="AM56" s="27">
        <f t="shared" si="30"/>
        <v>6.814814815</v>
      </c>
      <c r="AN56" s="28">
        <f t="shared" si="13"/>
        <v>0.4076086957</v>
      </c>
      <c r="AO56" s="27">
        <f t="shared" si="14"/>
        <v>0.2222222222</v>
      </c>
      <c r="AP56" s="27">
        <f t="shared" si="15"/>
        <v>0.2962962963</v>
      </c>
      <c r="AQ56" s="27">
        <f t="shared" ref="AQ56:AR56" si="70">iferror(AB56/$M56,"-")</f>
        <v>3.296296296</v>
      </c>
      <c r="AR56" s="27">
        <f t="shared" si="70"/>
        <v>3.37962963</v>
      </c>
      <c r="AS56" s="29">
        <f t="shared" si="17"/>
        <v>0.03703703704</v>
      </c>
      <c r="AT56" s="29" t="str">
        <f t="shared" si="18"/>
        <v>1.70</v>
      </c>
      <c r="AU56" s="26"/>
      <c r="AV56" s="26"/>
      <c r="AW56" s="26"/>
      <c r="AX56" s="26"/>
    </row>
    <row r="57">
      <c r="B57" s="17">
        <v>54.0</v>
      </c>
      <c r="C57" s="18">
        <f t="shared" si="2"/>
        <v>9</v>
      </c>
      <c r="D57" s="18" t="s">
        <v>100</v>
      </c>
      <c r="E57" s="19" t="s">
        <v>109</v>
      </c>
      <c r="F57" s="19">
        <v>3.0</v>
      </c>
      <c r="G57" s="19" t="s">
        <v>47</v>
      </c>
      <c r="H57" s="19" t="s">
        <v>48</v>
      </c>
      <c r="I57" s="19">
        <v>174.0</v>
      </c>
      <c r="J57" s="19">
        <v>61.0</v>
      </c>
      <c r="K57" s="20">
        <v>11.0</v>
      </c>
      <c r="L57" s="20">
        <f>SUMIFS('3월 단양 개인별 STAT'!L:L, '3월 단양 개인별 STAT'!$D:$D, $D57, '3월 단양 개인별 STAT'!$E:$E, $E57) + SUMIFS('4월 삼척 개인별 STAT'!L:L, '4월 삼척 개인별 STAT'!$D:$D, $D57, '4월 삼척 개인별 STAT'!$E:$E, $E57)</f>
        <v>8</v>
      </c>
      <c r="M57" s="20">
        <f>SUMIFS('3월 단양 개인별 STAT'!M:M, '3월 단양 개인별 STAT'!$D:$D, $D57, '3월 단양 개인별 STAT'!$E:$E, $E57) + SUMIFS('4월 삼척 개인별 STAT'!M:M, '4월 삼척 개인별 STAT'!$D:$D, $D57, '4월 삼척 개인별 STAT'!$E:$E, $E57)</f>
        <v>28</v>
      </c>
      <c r="N57" s="20">
        <f>SUMIFS('3월 단양 개인별 STAT'!N:N, '3월 단양 개인별 STAT'!$D:$D, $D57, '3월 단양 개인별 STAT'!$E:$E, $E57) + SUMIFS('4월 삼척 개인별 STAT'!N:N, '4월 삼척 개인별 STAT'!$D:$D, $D57, '4월 삼척 개인별 STAT'!$E:$E, $E57)</f>
        <v>27</v>
      </c>
      <c r="O57" s="20">
        <f>SUMIFS('3월 단양 개인별 STAT'!O:O, '3월 단양 개인별 STAT'!$D:$D, $D57, '3월 단양 개인별 STAT'!$E:$E, $E57) + SUMIFS('4월 삼척 개인별 STAT'!O:O, '4월 삼척 개인별 STAT'!$D:$D, $D57, '4월 삼척 개인별 STAT'!$E:$E, $E57)</f>
        <v>3</v>
      </c>
      <c r="P57" s="20">
        <f>SUMIFS('3월 단양 개인별 STAT'!P:P, '3월 단양 개인별 STAT'!$D:$D, $D57, '3월 단양 개인별 STAT'!$E:$E, $E57) + SUMIFS('4월 삼척 개인별 STAT'!P:P, '4월 삼척 개인별 STAT'!$D:$D, $D57, '4월 삼척 개인별 STAT'!$E:$E, $E57)</f>
        <v>32</v>
      </c>
      <c r="Q57" s="20">
        <f>SUMIFS('3월 단양 개인별 STAT'!Q:Q, '3월 단양 개인별 STAT'!$D:$D, $D57, '3월 단양 개인별 STAT'!$E:$E, $E57) + SUMIFS('4월 삼척 개인별 STAT'!Q:Q, '4월 삼척 개인별 STAT'!$D:$D, $D57, '4월 삼척 개인별 STAT'!$E:$E, $E57)</f>
        <v>7</v>
      </c>
      <c r="R57" s="21">
        <f t="shared" si="3"/>
        <v>66</v>
      </c>
      <c r="S57" s="22">
        <f t="shared" si="4"/>
        <v>0.3</v>
      </c>
      <c r="T57" s="20">
        <f>SUMIFS('3월 단양 개인별 STAT'!T:T, '3월 단양 개인별 STAT'!$D:$D, $D57, '3월 단양 개인별 STAT'!$E:$E, $E57) + SUMIFS('4월 삼척 개인별 STAT'!T:T, '4월 삼척 개인별 STAT'!$D:$D, $D57, '4월 삼척 개인별 STAT'!$E:$E, $E57)</f>
        <v>8</v>
      </c>
      <c r="U57" s="20">
        <f>SUMIFS('3월 단양 개인별 STAT'!U:U, '3월 단양 개인별 STAT'!$D:$D, $D57, '3월 단양 개인별 STAT'!$E:$E, $E57) + SUMIFS('4월 삼척 개인별 STAT'!U:U, '4월 삼척 개인별 STAT'!$D:$D, $D57, '4월 삼척 개인별 STAT'!$E:$E, $E57)</f>
        <v>2</v>
      </c>
      <c r="V57" s="20">
        <f>SUMIFS('3월 단양 개인별 STAT'!V:V, '3월 단양 개인별 STAT'!$D:$D, $D57, '3월 단양 개인별 STAT'!$E:$E, $E57) + SUMIFS('4월 삼척 개인별 STAT'!V:V, '4월 삼척 개인별 STAT'!$D:$D, $D57, '4월 삼척 개인별 STAT'!$E:$E, $E57)</f>
        <v>13</v>
      </c>
      <c r="W57" s="20">
        <f>SUMIFS('3월 단양 개인별 STAT'!W:W, '3월 단양 개인별 STAT'!$D:$D, $D57, '3월 단양 개인별 STAT'!$E:$E, $E57) + SUMIFS('4월 삼척 개인별 STAT'!W:W, '4월 삼척 개인별 STAT'!$D:$D, $D57, '4월 삼척 개인별 STAT'!$E:$E, $E57)</f>
        <v>106</v>
      </c>
      <c r="X57" s="20">
        <f>SUMIFS('3월 단양 개인별 STAT'!X:X, '3월 단양 개인별 STAT'!$D:$D, $D57, '3월 단양 개인별 STAT'!$E:$E, $E57) + SUMIFS('4월 삼척 개인별 STAT'!X:X, '4월 삼척 개인별 STAT'!$D:$D, $D57, '4월 삼척 개인별 STAT'!$E:$E, $E57)</f>
        <v>10</v>
      </c>
      <c r="Y57" s="20">
        <f>SUMIFS('3월 단양 개인별 STAT'!Y:Y, '3월 단양 개인별 STAT'!$D:$D, $D57, '3월 단양 개인별 STAT'!$E:$E, $E57) + SUMIFS('4월 삼척 개인별 STAT'!Y:Y, '4월 삼척 개인별 STAT'!$D:$D, $D57, '4월 삼척 개인별 STAT'!$E:$E, $E57)</f>
        <v>6</v>
      </c>
      <c r="Z57" s="21">
        <f t="shared" si="5"/>
        <v>122</v>
      </c>
      <c r="AA57" s="20">
        <f>SUMIFS('3월 단양 개인별 STAT'!AA:AA, '3월 단양 개인별 STAT'!$D:$D, $D57, '3월 단양 개인별 STAT'!$E:$E, $E57) + SUMIFS('4월 삼척 개인별 STAT'!AA:AA, '4월 삼척 개인별 STAT'!$D:$D, $D57, '4월 삼척 개인별 STAT'!$E:$E, $E57)</f>
        <v>0</v>
      </c>
      <c r="AB57" s="21">
        <f t="shared" si="6"/>
        <v>45</v>
      </c>
      <c r="AC57" s="23">
        <f t="shared" si="7"/>
        <v>54.75</v>
      </c>
      <c r="AD57" s="21">
        <f t="shared" si="8"/>
        <v>10</v>
      </c>
      <c r="AE57" s="20">
        <f>SUMIFS('3월 단양 개인별 STAT'!AE:AE, '3월 단양 개인별 STAT'!$D:$D, $D57, '3월 단양 개인별 STAT'!$E:$E, $E57) + SUMIFS('4월 삼척 개인별 STAT'!AE:AE, '4월 삼척 개인별 STAT'!$D:$D, $D57, '4월 삼척 개인별 STAT'!$E:$E, $E57)</f>
        <v>10</v>
      </c>
      <c r="AF57" s="20">
        <f>SUMIFS('3월 단양 개인별 STAT'!AF:AF, '3월 단양 개인별 STAT'!$D:$D, $D57, '3월 단양 개인별 STAT'!$E:$E, $E57) + SUMIFS('4월 삼척 개인별 STAT'!AF:AF, '4월 삼척 개인별 STAT'!$D:$D, $D57, '4월 삼척 개인별 STAT'!$E:$E, $E57)</f>
        <v>0</v>
      </c>
      <c r="AG57" s="24">
        <f t="shared" si="9"/>
        <v>100</v>
      </c>
      <c r="AH57" s="20">
        <f>SUMIFS('3월 단양 개인별 STAT'!AH:AH, '3월 단양 개인별 STAT'!$D:$D, $D57, '3월 단양 개인별 STAT'!$E:$E, $E57) + SUMIFS('4월 삼척 개인별 STAT'!AH:AH, '4월 삼척 개인별 STAT'!$D:$D, $D57, '4월 삼척 개인별 STAT'!$E:$E, $E57)</f>
        <v>18</v>
      </c>
      <c r="AI57" s="22" t="str">
        <f t="shared" si="10"/>
        <v>0.64</v>
      </c>
      <c r="AJ57" s="25"/>
      <c r="AK57" s="26"/>
      <c r="AL57" s="27">
        <f t="shared" si="11"/>
        <v>0.9642857143</v>
      </c>
      <c r="AM57" s="27">
        <f t="shared" si="30"/>
        <v>2.357142857</v>
      </c>
      <c r="AN57" s="28">
        <f t="shared" si="13"/>
        <v>0.4090909091</v>
      </c>
      <c r="AO57" s="27">
        <f t="shared" si="14"/>
        <v>0.2857142857</v>
      </c>
      <c r="AP57" s="27">
        <f t="shared" si="15"/>
        <v>0.3571428571</v>
      </c>
      <c r="AQ57" s="27">
        <f t="shared" ref="AQ57:AR57" si="71">iferror(AB57/$M57,"-")</f>
        <v>1.607142857</v>
      </c>
      <c r="AR57" s="27">
        <f t="shared" si="71"/>
        <v>1.955357143</v>
      </c>
      <c r="AS57" s="29">
        <f t="shared" si="17"/>
        <v>0</v>
      </c>
      <c r="AT57" s="29" t="str">
        <f t="shared" si="18"/>
        <v>0.64</v>
      </c>
      <c r="AU57" s="26"/>
      <c r="AV57" s="26"/>
      <c r="AW57" s="26"/>
      <c r="AX57" s="26"/>
    </row>
    <row r="58">
      <c r="B58" s="17">
        <v>55.0</v>
      </c>
      <c r="C58" s="18">
        <f t="shared" si="2"/>
        <v>10</v>
      </c>
      <c r="D58" s="18" t="s">
        <v>100</v>
      </c>
      <c r="E58" s="19" t="s">
        <v>110</v>
      </c>
      <c r="F58" s="19">
        <v>1.0</v>
      </c>
      <c r="G58" s="19" t="s">
        <v>47</v>
      </c>
      <c r="H58" s="19" t="s">
        <v>52</v>
      </c>
      <c r="I58" s="19">
        <v>179.0</v>
      </c>
      <c r="J58" s="19">
        <v>66.0</v>
      </c>
      <c r="K58" s="20">
        <v>12.0</v>
      </c>
      <c r="L58" s="20">
        <f>SUMIFS('3월 단양 개인별 STAT'!L:L, '3월 단양 개인별 STAT'!$D:$D, $D58, '3월 단양 개인별 STAT'!$E:$E, $E58) + SUMIFS('4월 삼척 개인별 STAT'!L:L, '4월 삼척 개인별 STAT'!$D:$D, $D58, '4월 삼척 개인별 STAT'!$E:$E, $E58)</f>
        <v>3</v>
      </c>
      <c r="M58" s="20">
        <f>SUMIFS('3월 단양 개인별 STAT'!M:M, '3월 단양 개인별 STAT'!$D:$D, $D58, '3월 단양 개인별 STAT'!$E:$E, $E58) + SUMIFS('4월 삼척 개인별 STAT'!M:M, '4월 삼척 개인별 STAT'!$D:$D, $D58, '4월 삼척 개인별 STAT'!$E:$E, $E58)</f>
        <v>4</v>
      </c>
      <c r="N58" s="20">
        <f>SUMIFS('3월 단양 개인별 STAT'!N:N, '3월 단양 개인별 STAT'!$D:$D, $D58, '3월 단양 개인별 STAT'!$E:$E, $E58) + SUMIFS('4월 삼척 개인별 STAT'!N:N, '4월 삼척 개인별 STAT'!$D:$D, $D58, '4월 삼척 개인별 STAT'!$E:$E, $E58)</f>
        <v>3</v>
      </c>
      <c r="O58" s="20">
        <f>SUMIFS('3월 단양 개인별 STAT'!O:O, '3월 단양 개인별 STAT'!$D:$D, $D58, '3월 단양 개인별 STAT'!$E:$E, $E58) + SUMIFS('4월 삼척 개인별 STAT'!O:O, '4월 삼척 개인별 STAT'!$D:$D, $D58, '4월 삼척 개인별 STAT'!$E:$E, $E58)</f>
        <v>0</v>
      </c>
      <c r="P58" s="20">
        <f>SUMIFS('3월 단양 개인별 STAT'!P:P, '3월 단양 개인별 STAT'!$D:$D, $D58, '3월 단양 개인별 STAT'!$E:$E, $E58) + SUMIFS('4월 삼척 개인별 STAT'!P:P, '4월 삼척 개인별 STAT'!$D:$D, $D58, '4월 삼척 개인별 STAT'!$E:$E, $E58)</f>
        <v>7</v>
      </c>
      <c r="Q58" s="20">
        <f>SUMIFS('3월 단양 개인별 STAT'!Q:Q, '3월 단양 개인별 STAT'!$D:$D, $D58, '3월 단양 개인별 STAT'!$E:$E, $E58) + SUMIFS('4월 삼척 개인별 STAT'!Q:Q, '4월 삼척 개인별 STAT'!$D:$D, $D58, '4월 삼척 개인별 STAT'!$E:$E, $E58)</f>
        <v>0</v>
      </c>
      <c r="R58" s="21">
        <f t="shared" si="3"/>
        <v>10</v>
      </c>
      <c r="S58" s="22">
        <f t="shared" si="4"/>
        <v>0.3</v>
      </c>
      <c r="T58" s="20">
        <f>SUMIFS('3월 단양 개인별 STAT'!T:T, '3월 단양 개인별 STAT'!$D:$D, $D58, '3월 단양 개인별 STAT'!$E:$E, $E58) + SUMIFS('4월 삼척 개인별 STAT'!T:T, '4월 삼척 개인별 STAT'!$D:$D, $D58, '4월 삼척 개인별 STAT'!$E:$E, $E58)</f>
        <v>0</v>
      </c>
      <c r="U58" s="20">
        <f>SUMIFS('3월 단양 개인별 STAT'!U:U, '3월 단양 개인별 STAT'!$D:$D, $D58, '3월 단양 개인별 STAT'!$E:$E, $E58) + SUMIFS('4월 삼척 개인별 STAT'!U:U, '4월 삼척 개인별 STAT'!$D:$D, $D58, '4월 삼척 개인별 STAT'!$E:$E, $E58)</f>
        <v>0</v>
      </c>
      <c r="V58" s="20">
        <f>SUMIFS('3월 단양 개인별 STAT'!V:V, '3월 단양 개인별 STAT'!$D:$D, $D58, '3월 단양 개인별 STAT'!$E:$E, $E58) + SUMIFS('4월 삼척 개인별 STAT'!V:V, '4월 삼척 개인별 STAT'!$D:$D, $D58, '4월 삼척 개인별 STAT'!$E:$E, $E58)</f>
        <v>1</v>
      </c>
      <c r="W58" s="20">
        <f>SUMIFS('3월 단양 개인별 STAT'!W:W, '3월 단양 개인별 STAT'!$D:$D, $D58, '3월 단양 개인별 STAT'!$E:$E, $E58) + SUMIFS('4월 삼척 개인별 STAT'!W:W, '4월 삼척 개인별 STAT'!$D:$D, $D58, '4월 삼척 개인별 STAT'!$E:$E, $E58)</f>
        <v>2</v>
      </c>
      <c r="X58" s="20">
        <f>SUMIFS('3월 단양 개인별 STAT'!X:X, '3월 단양 개인별 STAT'!$D:$D, $D58, '3월 단양 개인별 STAT'!$E:$E, $E58) + SUMIFS('4월 삼척 개인별 STAT'!X:X, '4월 삼척 개인별 STAT'!$D:$D, $D58, '4월 삼척 개인별 STAT'!$E:$E, $E58)</f>
        <v>0</v>
      </c>
      <c r="Y58" s="20">
        <f>SUMIFS('3월 단양 개인별 STAT'!Y:Y, '3월 단양 개인별 STAT'!$D:$D, $D58, '3월 단양 개인별 STAT'!$E:$E, $E58) + SUMIFS('4월 삼척 개인별 STAT'!Y:Y, '4월 삼척 개인별 STAT'!$D:$D, $D58, '4월 삼척 개인별 STAT'!$E:$E, $E58)</f>
        <v>1</v>
      </c>
      <c r="Z58" s="21">
        <f t="shared" si="5"/>
        <v>3</v>
      </c>
      <c r="AA58" s="20">
        <f>SUMIFS('3월 단양 개인별 STAT'!AA:AA, '3월 단양 개인별 STAT'!$D:$D, $D58, '3월 단양 개인별 STAT'!$E:$E, $E58) + SUMIFS('4월 삼척 개인별 STAT'!AA:AA, '4월 삼척 개인별 STAT'!$D:$D, $D58, '4월 삼척 개인별 STAT'!$E:$E, $E58)</f>
        <v>0</v>
      </c>
      <c r="AB58" s="21">
        <f t="shared" si="6"/>
        <v>3</v>
      </c>
      <c r="AC58" s="23">
        <f t="shared" si="7"/>
        <v>3.75</v>
      </c>
      <c r="AD58" s="30" t="str">
        <f t="shared" si="8"/>
        <v>-</v>
      </c>
      <c r="AE58" s="20">
        <f>SUMIFS('3월 단양 개인별 STAT'!AE:AE, '3월 단양 개인별 STAT'!$D:$D, $D58, '3월 단양 개인별 STAT'!$E:$E, $E58) + SUMIFS('4월 삼척 개인별 STAT'!AE:AE, '4월 삼척 개인별 STAT'!$D:$D, $D58, '4월 삼척 개인별 STAT'!$E:$E, $E58)</f>
        <v>0</v>
      </c>
      <c r="AF58" s="20">
        <f>SUMIFS('3월 단양 개인별 STAT'!AF:AF, '3월 단양 개인별 STAT'!$D:$D, $D58, '3월 단양 개인별 STAT'!$E:$E, $E58) + SUMIFS('4월 삼척 개인별 STAT'!AF:AF, '4월 삼척 개인별 STAT'!$D:$D, $D58, '4월 삼척 개인별 STAT'!$E:$E, $E58)</f>
        <v>0</v>
      </c>
      <c r="AG58" s="24" t="str">
        <f t="shared" si="9"/>
        <v>-</v>
      </c>
      <c r="AH58" s="20">
        <f>SUMIFS('3월 단양 개인별 STAT'!AH:AH, '3월 단양 개인별 STAT'!$D:$D, $D58, '3월 단양 개인별 STAT'!$E:$E, $E58) + SUMIFS('4월 삼척 개인별 STAT'!AH:AH, '4월 삼척 개인별 STAT'!$D:$D, $D58, '4월 삼척 개인별 STAT'!$E:$E, $E58)</f>
        <v>3</v>
      </c>
      <c r="AI58" s="22" t="str">
        <f t="shared" si="10"/>
        <v>0.75</v>
      </c>
      <c r="AJ58" s="25"/>
      <c r="AK58" s="26"/>
      <c r="AL58" s="27">
        <f t="shared" si="11"/>
        <v>0.75</v>
      </c>
      <c r="AM58" s="27">
        <f t="shared" si="30"/>
        <v>2.5</v>
      </c>
      <c r="AN58" s="28">
        <f t="shared" si="13"/>
        <v>0.3</v>
      </c>
      <c r="AO58" s="27">
        <f t="shared" si="14"/>
        <v>0</v>
      </c>
      <c r="AP58" s="27">
        <f t="shared" si="15"/>
        <v>0</v>
      </c>
      <c r="AQ58" s="27">
        <f t="shared" ref="AQ58:AR58" si="72">iferror(AB58/$M58,"-")</f>
        <v>0.75</v>
      </c>
      <c r="AR58" s="27">
        <f t="shared" si="72"/>
        <v>0.9375</v>
      </c>
      <c r="AS58" s="29">
        <f t="shared" si="17"/>
        <v>0</v>
      </c>
      <c r="AT58" s="29" t="str">
        <f t="shared" si="18"/>
        <v>0.75</v>
      </c>
      <c r="AU58" s="26"/>
      <c r="AV58" s="26"/>
      <c r="AW58" s="26"/>
      <c r="AX58" s="26"/>
    </row>
    <row r="59">
      <c r="B59" s="17">
        <v>56.0</v>
      </c>
      <c r="C59" s="18">
        <f t="shared" si="2"/>
        <v>11</v>
      </c>
      <c r="D59" s="18" t="s">
        <v>100</v>
      </c>
      <c r="E59" s="19" t="s">
        <v>111</v>
      </c>
      <c r="F59" s="19">
        <v>2.0</v>
      </c>
      <c r="G59" s="19" t="s">
        <v>52</v>
      </c>
      <c r="H59" s="19" t="s">
        <v>48</v>
      </c>
      <c r="I59" s="19">
        <v>170.0</v>
      </c>
      <c r="J59" s="19">
        <v>62.0</v>
      </c>
      <c r="K59" s="20">
        <v>13.0</v>
      </c>
      <c r="L59" s="20">
        <f>SUMIFS('3월 단양 개인별 STAT'!L:L, '3월 단양 개인별 STAT'!$D:$D, $D59, '3월 단양 개인별 STAT'!$E:$E, $E59) + SUMIFS('4월 삼척 개인별 STAT'!L:L, '4월 삼척 개인별 STAT'!$D:$D, $D59, '4월 삼척 개인별 STAT'!$E:$E, $E59)</f>
        <v>8</v>
      </c>
      <c r="M59" s="20">
        <f>SUMIFS('3월 단양 개인별 STAT'!M:M, '3월 단양 개인별 STAT'!$D:$D, $D59, '3월 단양 개인별 STAT'!$E:$E, $E59) + SUMIFS('4월 삼척 개인별 STAT'!M:M, '4월 삼척 개인별 STAT'!$D:$D, $D59, '4월 삼척 개인별 STAT'!$E:$E, $E59)</f>
        <v>28</v>
      </c>
      <c r="N59" s="20">
        <f>SUMIFS('3월 단양 개인별 STAT'!N:N, '3월 단양 개인별 STAT'!$D:$D, $D59, '3월 단양 개인별 STAT'!$E:$E, $E59) + SUMIFS('4월 삼척 개인별 STAT'!N:N, '4월 삼척 개인별 STAT'!$D:$D, $D59, '4월 삼척 개인별 STAT'!$E:$E, $E59)</f>
        <v>71</v>
      </c>
      <c r="O59" s="20">
        <f>SUMIFS('3월 단양 개인별 STAT'!O:O, '3월 단양 개인별 STAT'!$D:$D, $D59, '3월 단양 개인별 STAT'!$E:$E, $E59) + SUMIFS('4월 삼척 개인별 STAT'!O:O, '4월 삼척 개인별 STAT'!$D:$D, $D59, '4월 삼척 개인별 STAT'!$E:$E, $E59)</f>
        <v>5</v>
      </c>
      <c r="P59" s="20">
        <f>SUMIFS('3월 단양 개인별 STAT'!P:P, '3월 단양 개인별 STAT'!$D:$D, $D59, '3월 단양 개인별 STAT'!$E:$E, $E59) + SUMIFS('4월 삼척 개인별 STAT'!P:P, '4월 삼척 개인별 STAT'!$D:$D, $D59, '4월 삼척 개인별 STAT'!$E:$E, $E59)</f>
        <v>88</v>
      </c>
      <c r="Q59" s="20">
        <f>SUMIFS('3월 단양 개인별 STAT'!Q:Q, '3월 단양 개인별 STAT'!$D:$D, $D59, '3월 단양 개인별 STAT'!$E:$E, $E59) + SUMIFS('4월 삼척 개인별 STAT'!Q:Q, '4월 삼척 개인별 STAT'!$D:$D, $D59, '4월 삼척 개인별 STAT'!$E:$E, $E59)</f>
        <v>24</v>
      </c>
      <c r="R59" s="21">
        <f t="shared" si="3"/>
        <v>183</v>
      </c>
      <c r="S59" s="22">
        <f t="shared" si="4"/>
        <v>0.26</v>
      </c>
      <c r="T59" s="20">
        <f>SUMIFS('3월 단양 개인별 STAT'!T:T, '3월 단양 개인별 STAT'!$D:$D, $D59, '3월 단양 개인별 STAT'!$E:$E, $E59) + SUMIFS('4월 삼척 개인별 STAT'!T:T, '4월 삼척 개인별 STAT'!$D:$D, $D59, '4월 삼척 개인별 STAT'!$E:$E, $E59)</f>
        <v>2</v>
      </c>
      <c r="U59" s="20">
        <f>SUMIFS('3월 단양 개인별 STAT'!U:U, '3월 단양 개인별 STAT'!$D:$D, $D59, '3월 단양 개인별 STAT'!$E:$E, $E59) + SUMIFS('4월 삼척 개인별 STAT'!U:U, '4월 삼척 개인별 STAT'!$D:$D, $D59, '4월 삼척 개인별 STAT'!$E:$E, $E59)</f>
        <v>0</v>
      </c>
      <c r="V59" s="20">
        <f>SUMIFS('3월 단양 개인별 STAT'!V:V, '3월 단양 개인별 STAT'!$D:$D, $D59, '3월 단양 개인별 STAT'!$E:$E, $E59) + SUMIFS('4월 삼척 개인별 STAT'!V:V, '4월 삼척 개인별 STAT'!$D:$D, $D59, '4월 삼척 개인별 STAT'!$E:$E, $E59)</f>
        <v>2</v>
      </c>
      <c r="W59" s="20">
        <f>SUMIFS('3월 단양 개인별 STAT'!W:W, '3월 단양 개인별 STAT'!$D:$D, $D59, '3월 단양 개인별 STAT'!$E:$E, $E59) + SUMIFS('4월 삼척 개인별 STAT'!W:W, '4월 삼척 개인별 STAT'!$D:$D, $D59, '4월 삼척 개인별 STAT'!$E:$E, $E59)</f>
        <v>94</v>
      </c>
      <c r="X59" s="20">
        <f>SUMIFS('3월 단양 개인별 STAT'!X:X, '3월 단양 개인별 STAT'!$D:$D, $D59, '3월 단양 개인별 STAT'!$E:$E, $E59) + SUMIFS('4월 삼척 개인별 STAT'!X:X, '4월 삼척 개인별 STAT'!$D:$D, $D59, '4월 삼척 개인별 STAT'!$E:$E, $E59)</f>
        <v>9</v>
      </c>
      <c r="Y59" s="20">
        <f>SUMIFS('3월 단양 개인별 STAT'!Y:Y, '3월 단양 개인별 STAT'!$D:$D, $D59, '3월 단양 개인별 STAT'!$E:$E, $E59) + SUMIFS('4월 삼척 개인별 STAT'!Y:Y, '4월 삼척 개인별 STAT'!$D:$D, $D59, '4월 삼척 개인별 STAT'!$E:$E, $E59)</f>
        <v>4</v>
      </c>
      <c r="Z59" s="21">
        <f t="shared" si="5"/>
        <v>107</v>
      </c>
      <c r="AA59" s="20">
        <f>SUMIFS('3월 단양 개인별 STAT'!AA:AA, '3월 단양 개인별 STAT'!$D:$D, $D59, '3월 단양 개인별 STAT'!$E:$E, $E59) + SUMIFS('4월 삼척 개인별 STAT'!AA:AA, '4월 삼척 개인별 STAT'!$D:$D, $D59, '4월 삼척 개인별 STAT'!$E:$E, $E59)</f>
        <v>0</v>
      </c>
      <c r="AB59" s="21">
        <f t="shared" si="6"/>
        <v>82</v>
      </c>
      <c r="AC59" s="23">
        <f t="shared" si="7"/>
        <v>83.5</v>
      </c>
      <c r="AD59" s="21">
        <f t="shared" si="8"/>
        <v>108</v>
      </c>
      <c r="AE59" s="20">
        <f>SUMIFS('3월 단양 개인별 STAT'!AE:AE, '3월 단양 개인별 STAT'!$D:$D, $D59, '3월 단양 개인별 STAT'!$E:$E, $E59) + SUMIFS('4월 삼척 개인별 STAT'!AE:AE, '4월 삼척 개인별 STAT'!$D:$D, $D59, '4월 삼척 개인별 STAT'!$E:$E, $E59)</f>
        <v>101</v>
      </c>
      <c r="AF59" s="20">
        <f>SUMIFS('3월 단양 개인별 STAT'!AF:AF, '3월 단양 개인별 STAT'!$D:$D, $D59, '3월 단양 개인별 STAT'!$E:$E, $E59) + SUMIFS('4월 삼척 개인별 STAT'!AF:AF, '4월 삼척 개인별 STAT'!$D:$D, $D59, '4월 삼척 개인별 STAT'!$E:$E, $E59)</f>
        <v>7</v>
      </c>
      <c r="AG59" s="24">
        <f t="shared" si="9"/>
        <v>93.51851852</v>
      </c>
      <c r="AH59" s="20">
        <f>SUMIFS('3월 단양 개인별 STAT'!AH:AH, '3월 단양 개인별 STAT'!$D:$D, $D59, '3월 단양 개인별 STAT'!$E:$E, $E59) + SUMIFS('4월 삼척 개인별 STAT'!AH:AH, '4월 삼척 개인별 STAT'!$D:$D, $D59, '4월 삼척 개인별 STAT'!$E:$E, $E59)</f>
        <v>67</v>
      </c>
      <c r="AI59" s="22" t="str">
        <f t="shared" si="10"/>
        <v>2.39</v>
      </c>
      <c r="AJ59" s="25"/>
      <c r="AK59" s="26"/>
      <c r="AL59" s="27">
        <f t="shared" si="11"/>
        <v>2.535714286</v>
      </c>
      <c r="AM59" s="27">
        <f t="shared" si="30"/>
        <v>6.535714286</v>
      </c>
      <c r="AN59" s="28">
        <f t="shared" si="13"/>
        <v>0.3879781421</v>
      </c>
      <c r="AO59" s="27">
        <f t="shared" si="14"/>
        <v>0.07142857143</v>
      </c>
      <c r="AP59" s="27">
        <f t="shared" si="15"/>
        <v>0.3214285714</v>
      </c>
      <c r="AQ59" s="27">
        <f t="shared" ref="AQ59:AR59" si="73">iferror(AB59/$M59,"-")</f>
        <v>2.928571429</v>
      </c>
      <c r="AR59" s="27">
        <f t="shared" si="73"/>
        <v>2.982142857</v>
      </c>
      <c r="AS59" s="29">
        <f t="shared" si="17"/>
        <v>0.25</v>
      </c>
      <c r="AT59" s="29" t="str">
        <f t="shared" si="18"/>
        <v>2.39</v>
      </c>
      <c r="AU59" s="26"/>
      <c r="AV59" s="26"/>
      <c r="AW59" s="26"/>
      <c r="AX59" s="26"/>
    </row>
    <row r="60">
      <c r="B60" s="17">
        <v>57.0</v>
      </c>
      <c r="C60" s="18">
        <f t="shared" si="2"/>
        <v>12</v>
      </c>
      <c r="D60" s="18" t="s">
        <v>100</v>
      </c>
      <c r="E60" s="19" t="s">
        <v>112</v>
      </c>
      <c r="F60" s="19">
        <v>2.0</v>
      </c>
      <c r="G60" s="19" t="s">
        <v>47</v>
      </c>
      <c r="H60" s="19" t="s">
        <v>48</v>
      </c>
      <c r="I60" s="19">
        <v>183.0</v>
      </c>
      <c r="J60" s="19">
        <v>71.0</v>
      </c>
      <c r="K60" s="20">
        <v>14.0</v>
      </c>
      <c r="L60" s="20">
        <f>SUMIFS('3월 단양 개인별 STAT'!L:L, '3월 단양 개인별 STAT'!$D:$D, $D60, '3월 단양 개인별 STAT'!$E:$E, $E60) + SUMIFS('4월 삼척 개인별 STAT'!L:L, '4월 삼척 개인별 STAT'!$D:$D, $D60, '4월 삼척 개인별 STAT'!$E:$E, $E60)</f>
        <v>8</v>
      </c>
      <c r="M60" s="20">
        <f>SUMIFS('3월 단양 개인별 STAT'!M:M, '3월 단양 개인별 STAT'!$D:$D, $D60, '3월 단양 개인별 STAT'!$E:$E, $E60) + SUMIFS('4월 삼척 개인별 STAT'!M:M, '4월 삼척 개인별 STAT'!$D:$D, $D60, '4월 삼척 개인별 STAT'!$E:$E, $E60)</f>
        <v>28</v>
      </c>
      <c r="N60" s="20">
        <f>SUMIFS('3월 단양 개인별 STAT'!N:N, '3월 단양 개인별 STAT'!$D:$D, $D60, '3월 단양 개인별 STAT'!$E:$E, $E60) + SUMIFS('4월 삼척 개인별 STAT'!N:N, '4월 삼척 개인별 STAT'!$D:$D, $D60, '4월 삼척 개인별 STAT'!$E:$E, $E60)</f>
        <v>67</v>
      </c>
      <c r="O60" s="20">
        <f>SUMIFS('3월 단양 개인별 STAT'!O:O, '3월 단양 개인별 STAT'!$D:$D, $D60, '3월 단양 개인별 STAT'!$E:$E, $E60) + SUMIFS('4월 삼척 개인별 STAT'!O:O, '4월 삼척 개인별 STAT'!$D:$D, $D60, '4월 삼척 개인별 STAT'!$E:$E, $E60)</f>
        <v>2</v>
      </c>
      <c r="P60" s="20">
        <f>SUMIFS('3월 단양 개인별 STAT'!P:P, '3월 단양 개인별 STAT'!$D:$D, $D60, '3월 단양 개인별 STAT'!$E:$E, $E60) + SUMIFS('4월 삼척 개인별 STAT'!P:P, '4월 삼척 개인별 STAT'!$D:$D, $D60, '4월 삼척 개인별 STAT'!$E:$E, $E60)</f>
        <v>54</v>
      </c>
      <c r="Q60" s="20">
        <f>SUMIFS('3월 단양 개인별 STAT'!Q:Q, '3월 단양 개인별 STAT'!$D:$D, $D60, '3월 단양 개인별 STAT'!$E:$E, $E60) + SUMIFS('4월 삼척 개인별 STAT'!Q:Q, '4월 삼척 개인별 STAT'!$D:$D, $D60, '4월 삼척 개인별 STAT'!$E:$E, $E60)</f>
        <v>16</v>
      </c>
      <c r="R60" s="21">
        <f t="shared" si="3"/>
        <v>137</v>
      </c>
      <c r="S60" s="22">
        <f t="shared" si="4"/>
        <v>0.37</v>
      </c>
      <c r="T60" s="20">
        <f>SUMIFS('3월 단양 개인별 STAT'!T:T, '3월 단양 개인별 STAT'!$D:$D, $D60, '3월 단양 개인별 STAT'!$E:$E, $E60) + SUMIFS('4월 삼척 개인별 STAT'!T:T, '4월 삼척 개인별 STAT'!$D:$D, $D60, '4월 삼척 개인별 STAT'!$E:$E, $E60)</f>
        <v>19</v>
      </c>
      <c r="U60" s="20">
        <f>SUMIFS('3월 단양 개인별 STAT'!U:U, '3월 단양 개인별 STAT'!$D:$D, $D60, '3월 단양 개인별 STAT'!$E:$E, $E60) + SUMIFS('4월 삼척 개인별 STAT'!U:U, '4월 삼척 개인별 STAT'!$D:$D, $D60, '4월 삼척 개인별 STAT'!$E:$E, $E60)</f>
        <v>1</v>
      </c>
      <c r="V60" s="20">
        <f>SUMIFS('3월 단양 개인별 STAT'!V:V, '3월 단양 개인별 STAT'!$D:$D, $D60, '3월 단양 개인별 STAT'!$E:$E, $E60) + SUMIFS('4월 삼척 개인별 STAT'!V:V, '4월 삼척 개인별 STAT'!$D:$D, $D60, '4월 삼척 개인별 STAT'!$E:$E, $E60)</f>
        <v>26</v>
      </c>
      <c r="W60" s="20">
        <f>SUMIFS('3월 단양 개인별 STAT'!W:W, '3월 단양 개인별 STAT'!$D:$D, $D60, '3월 단양 개인별 STAT'!$E:$E, $E60) + SUMIFS('4월 삼척 개인별 STAT'!W:W, '4월 삼척 개인별 STAT'!$D:$D, $D60, '4월 삼척 개인별 STAT'!$E:$E, $E60)</f>
        <v>84</v>
      </c>
      <c r="X60" s="20">
        <f>SUMIFS('3월 단양 개인별 STAT'!X:X, '3월 단양 개인별 STAT'!$D:$D, $D60, '3월 단양 개인별 STAT'!$E:$E, $E60) + SUMIFS('4월 삼척 개인별 STAT'!X:X, '4월 삼척 개인별 STAT'!$D:$D, $D60, '4월 삼척 개인별 STAT'!$E:$E, $E60)</f>
        <v>14</v>
      </c>
      <c r="Y60" s="20">
        <f>SUMIFS('3월 단양 개인별 STAT'!Y:Y, '3월 단양 개인별 STAT'!$D:$D, $D60, '3월 단양 개인별 STAT'!$E:$E, $E60) + SUMIFS('4월 삼척 개인별 STAT'!Y:Y, '4월 삼척 개인별 STAT'!$D:$D, $D60, '4월 삼척 개인별 STAT'!$E:$E, $E60)</f>
        <v>5</v>
      </c>
      <c r="Z60" s="21">
        <f t="shared" si="5"/>
        <v>103</v>
      </c>
      <c r="AA60" s="20">
        <f>SUMIFS('3월 단양 개인별 STAT'!AA:AA, '3월 단양 개인별 STAT'!$D:$D, $D60, '3월 단양 개인별 STAT'!$E:$E, $E60) + SUMIFS('4월 삼척 개인별 STAT'!AA:AA, '4월 삼척 개인별 STAT'!$D:$D, $D60, '4월 삼척 개인별 STAT'!$E:$E, $E60)</f>
        <v>0</v>
      </c>
      <c r="AB60" s="21">
        <f t="shared" si="6"/>
        <v>100</v>
      </c>
      <c r="AC60" s="23">
        <f t="shared" si="7"/>
        <v>119.5</v>
      </c>
      <c r="AD60" s="21">
        <f t="shared" si="8"/>
        <v>6</v>
      </c>
      <c r="AE60" s="20">
        <f>SUMIFS('3월 단양 개인별 STAT'!AE:AE, '3월 단양 개인별 STAT'!$D:$D, $D60, '3월 단양 개인별 STAT'!$E:$E, $E60) + SUMIFS('4월 삼척 개인별 STAT'!AE:AE, '4월 삼척 개인별 STAT'!$D:$D, $D60, '4월 삼척 개인별 STAT'!$E:$E, $E60)</f>
        <v>6</v>
      </c>
      <c r="AF60" s="20">
        <f>SUMIFS('3월 단양 개인별 STAT'!AF:AF, '3월 단양 개인별 STAT'!$D:$D, $D60, '3월 단양 개인별 STAT'!$E:$E, $E60) + SUMIFS('4월 삼척 개인별 STAT'!AF:AF, '4월 삼척 개인별 STAT'!$D:$D, $D60, '4월 삼척 개인별 STAT'!$E:$E, $E60)</f>
        <v>0</v>
      </c>
      <c r="AG60" s="24">
        <f t="shared" si="9"/>
        <v>100</v>
      </c>
      <c r="AH60" s="20">
        <f>SUMIFS('3월 단양 개인별 STAT'!AH:AH, '3월 단양 개인별 STAT'!$D:$D, $D60, '3월 단양 개인별 STAT'!$E:$E, $E60) + SUMIFS('4월 삼척 개인별 STAT'!AH:AH, '4월 삼척 개인별 STAT'!$D:$D, $D60, '4월 삼척 개인별 STAT'!$E:$E, $E60)</f>
        <v>21</v>
      </c>
      <c r="AI60" s="22" t="str">
        <f t="shared" si="10"/>
        <v>0.75</v>
      </c>
      <c r="AJ60" s="25"/>
      <c r="AK60" s="26"/>
      <c r="AL60" s="27">
        <f t="shared" si="11"/>
        <v>2.392857143</v>
      </c>
      <c r="AM60" s="27">
        <f t="shared" si="30"/>
        <v>4.892857143</v>
      </c>
      <c r="AN60" s="28">
        <f t="shared" si="13"/>
        <v>0.4890510949</v>
      </c>
      <c r="AO60" s="27">
        <f t="shared" si="14"/>
        <v>0.6785714286</v>
      </c>
      <c r="AP60" s="27">
        <f t="shared" si="15"/>
        <v>0.5</v>
      </c>
      <c r="AQ60" s="27">
        <f t="shared" ref="AQ60:AR60" si="74">iferror(AB60/$M60,"-")</f>
        <v>3.571428571</v>
      </c>
      <c r="AR60" s="27">
        <f t="shared" si="74"/>
        <v>4.267857143</v>
      </c>
      <c r="AS60" s="29">
        <f t="shared" si="17"/>
        <v>0</v>
      </c>
      <c r="AT60" s="29" t="str">
        <f t="shared" si="18"/>
        <v>0.75</v>
      </c>
      <c r="AU60" s="26"/>
      <c r="AV60" s="26"/>
      <c r="AW60" s="26"/>
      <c r="AX60" s="26"/>
    </row>
    <row r="61">
      <c r="B61" s="17">
        <v>58.0</v>
      </c>
      <c r="C61" s="18">
        <f t="shared" si="2"/>
        <v>13</v>
      </c>
      <c r="D61" s="18" t="s">
        <v>100</v>
      </c>
      <c r="E61" s="19" t="s">
        <v>113</v>
      </c>
      <c r="F61" s="19">
        <v>2.0</v>
      </c>
      <c r="G61" s="19" t="s">
        <v>54</v>
      </c>
      <c r="H61" s="19" t="s">
        <v>48</v>
      </c>
      <c r="I61" s="19">
        <v>177.0</v>
      </c>
      <c r="J61" s="19">
        <v>65.0</v>
      </c>
      <c r="K61" s="20">
        <v>17.0</v>
      </c>
      <c r="L61" s="20">
        <f>SUMIFS('3월 단양 개인별 STAT'!L:L, '3월 단양 개인별 STAT'!$D:$D, $D61, '3월 단양 개인별 STAT'!$E:$E, $E61) + SUMIFS('4월 삼척 개인별 STAT'!L:L, '4월 삼척 개인별 STAT'!$D:$D, $D61, '4월 삼척 개인별 STAT'!$E:$E, $E61)</f>
        <v>8</v>
      </c>
      <c r="M61" s="20">
        <f>SUMIFS('3월 단양 개인별 STAT'!M:M, '3월 단양 개인별 STAT'!$D:$D, $D61, '3월 단양 개인별 STAT'!$E:$E, $E61) + SUMIFS('4월 삼척 개인별 STAT'!M:M, '4월 삼척 개인별 STAT'!$D:$D, $D61, '4월 삼척 개인별 STAT'!$E:$E, $E61)</f>
        <v>17</v>
      </c>
      <c r="N61" s="20">
        <f>SUMIFS('3월 단양 개인별 STAT'!N:N, '3월 단양 개인별 STAT'!$D:$D, $D61, '3월 단양 개인별 STAT'!$E:$E, $E61) + SUMIFS('4월 삼척 개인별 STAT'!N:N, '4월 삼척 개인별 STAT'!$D:$D, $D61, '4월 삼척 개인별 STAT'!$E:$E, $E61)</f>
        <v>2</v>
      </c>
      <c r="O61" s="20">
        <f>SUMIFS('3월 단양 개인별 STAT'!O:O, '3월 단양 개인별 STAT'!$D:$D, $D61, '3월 단양 개인별 STAT'!$E:$E, $E61) + SUMIFS('4월 삼척 개인별 STAT'!O:O, '4월 삼척 개인별 STAT'!$D:$D, $D61, '4월 삼척 개인별 STAT'!$E:$E, $E61)</f>
        <v>41</v>
      </c>
      <c r="P61" s="20">
        <f>SUMIFS('3월 단양 개인별 STAT'!P:P, '3월 단양 개인별 STAT'!$D:$D, $D61, '3월 단양 개인별 STAT'!$E:$E, $E61) + SUMIFS('4월 삼척 개인별 STAT'!P:P, '4월 삼척 개인별 STAT'!$D:$D, $D61, '4월 삼척 개인별 STAT'!$E:$E, $E61)</f>
        <v>1</v>
      </c>
      <c r="Q61" s="20">
        <f>SUMIFS('3월 단양 개인별 STAT'!Q:Q, '3월 단양 개인별 STAT'!$D:$D, $D61, '3월 단양 개인별 STAT'!$E:$E, $E61) + SUMIFS('4월 삼척 개인별 STAT'!Q:Q, '4월 삼척 개인별 STAT'!$D:$D, $D61, '4월 삼척 개인별 STAT'!$E:$E, $E61)</f>
        <v>1</v>
      </c>
      <c r="R61" s="21">
        <f t="shared" si="3"/>
        <v>4</v>
      </c>
      <c r="S61" s="22">
        <f t="shared" si="4"/>
        <v>0.25</v>
      </c>
      <c r="T61" s="20">
        <f>SUMIFS('3월 단양 개인별 STAT'!T:T, '3월 단양 개인별 STAT'!$D:$D, $D61, '3월 단양 개인별 STAT'!$E:$E, $E61) + SUMIFS('4월 삼척 개인별 STAT'!T:T, '4월 삼척 개인별 STAT'!$D:$D, $D61, '4월 삼척 개인별 STAT'!$E:$E, $E61)</f>
        <v>3</v>
      </c>
      <c r="U61" s="20">
        <f>SUMIFS('3월 단양 개인별 STAT'!U:U, '3월 단양 개인별 STAT'!$D:$D, $D61, '3월 단양 개인별 STAT'!$E:$E, $E61) + SUMIFS('4월 삼척 개인별 STAT'!U:U, '4월 삼척 개인별 STAT'!$D:$D, $D61, '4월 삼척 개인별 STAT'!$E:$E, $E61)</f>
        <v>0</v>
      </c>
      <c r="V61" s="20">
        <f>SUMIFS('3월 단양 개인별 STAT'!V:V, '3월 단양 개인별 STAT'!$D:$D, $D61, '3월 단양 개인별 STAT'!$E:$E, $E61) + SUMIFS('4월 삼척 개인별 STAT'!V:V, '4월 삼척 개인별 STAT'!$D:$D, $D61, '4월 삼척 개인별 STAT'!$E:$E, $E61)</f>
        <v>1</v>
      </c>
      <c r="W61" s="20">
        <f>SUMIFS('3월 단양 개인별 STAT'!W:W, '3월 단양 개인별 STAT'!$D:$D, $D61, '3월 단양 개인별 STAT'!$E:$E, $E61) + SUMIFS('4월 삼척 개인별 STAT'!W:W, '4월 삼척 개인별 STAT'!$D:$D, $D61, '4월 삼척 개인별 STAT'!$E:$E, $E61)</f>
        <v>14</v>
      </c>
      <c r="X61" s="20">
        <f>SUMIFS('3월 단양 개인별 STAT'!X:X, '3월 단양 개인별 STAT'!$D:$D, $D61, '3월 단양 개인별 STAT'!$E:$E, $E61) + SUMIFS('4월 삼척 개인별 STAT'!X:X, '4월 삼척 개인별 STAT'!$D:$D, $D61, '4월 삼척 개인별 STAT'!$E:$E, $E61)</f>
        <v>3</v>
      </c>
      <c r="Y61" s="20">
        <f>SUMIFS('3월 단양 개인별 STAT'!Y:Y, '3월 단양 개인별 STAT'!$D:$D, $D61, '3월 단양 개인별 STAT'!$E:$E, $E61) + SUMIFS('4월 삼척 개인별 STAT'!Y:Y, '4월 삼척 개인별 STAT'!$D:$D, $D61, '4월 삼척 개인별 STAT'!$E:$E, $E61)</f>
        <v>2</v>
      </c>
      <c r="Z61" s="21">
        <f t="shared" si="5"/>
        <v>19</v>
      </c>
      <c r="AA61" s="20">
        <f>SUMIFS('3월 단양 개인별 STAT'!AA:AA, '3월 단양 개인별 STAT'!$D:$D, $D61, '3월 단양 개인별 STAT'!$E:$E, $E61) + SUMIFS('4월 삼척 개인별 STAT'!AA:AA, '4월 삼척 개인별 STAT'!$D:$D, $D61, '4월 삼척 개인별 STAT'!$E:$E, $E61)</f>
        <v>1</v>
      </c>
      <c r="AB61" s="21">
        <f t="shared" si="6"/>
        <v>8</v>
      </c>
      <c r="AC61" s="23">
        <f t="shared" si="7"/>
        <v>8.75</v>
      </c>
      <c r="AD61" s="21">
        <f t="shared" si="8"/>
        <v>2</v>
      </c>
      <c r="AE61" s="20">
        <f>SUMIFS('3월 단양 개인별 STAT'!AE:AE, '3월 단양 개인별 STAT'!$D:$D, $D61, '3월 단양 개인별 STAT'!$E:$E, $E61) + SUMIFS('4월 삼척 개인별 STAT'!AE:AE, '4월 삼척 개인별 STAT'!$D:$D, $D61, '4월 삼척 개인별 STAT'!$E:$E, $E61)</f>
        <v>0</v>
      </c>
      <c r="AF61" s="20">
        <f>SUMIFS('3월 단양 개인별 STAT'!AF:AF, '3월 단양 개인별 STAT'!$D:$D, $D61, '3월 단양 개인별 STAT'!$E:$E, $E61) + SUMIFS('4월 삼척 개인별 STAT'!AF:AF, '4월 삼척 개인별 STAT'!$D:$D, $D61, '4월 삼척 개인별 STAT'!$E:$E, $E61)</f>
        <v>2</v>
      </c>
      <c r="AG61" s="24">
        <f t="shared" si="9"/>
        <v>0</v>
      </c>
      <c r="AH61" s="20">
        <f>SUMIFS('3월 단양 개인별 STAT'!AH:AH, '3월 단양 개인별 STAT'!$D:$D, $D61, '3월 단양 개인별 STAT'!$E:$E, $E61) + SUMIFS('4월 삼척 개인별 STAT'!AH:AH, '4월 삼척 개인별 STAT'!$D:$D, $D61, '4월 삼척 개인별 STAT'!$E:$E, $E61)</f>
        <v>10</v>
      </c>
      <c r="AI61" s="22" t="str">
        <f t="shared" si="10"/>
        <v>0.59</v>
      </c>
      <c r="AJ61" s="25"/>
      <c r="AK61" s="26"/>
      <c r="AL61" s="27">
        <f t="shared" si="11"/>
        <v>0.1176470588</v>
      </c>
      <c r="AM61" s="27">
        <f t="shared" si="30"/>
        <v>0.2352941176</v>
      </c>
      <c r="AN61" s="28">
        <f t="shared" si="13"/>
        <v>0.5</v>
      </c>
      <c r="AO61" s="27">
        <f t="shared" si="14"/>
        <v>0.1764705882</v>
      </c>
      <c r="AP61" s="27">
        <f t="shared" si="15"/>
        <v>0.1764705882</v>
      </c>
      <c r="AQ61" s="27">
        <f t="shared" ref="AQ61:AR61" si="75">iferror(AB61/$M61,"-")</f>
        <v>0.4705882353</v>
      </c>
      <c r="AR61" s="27">
        <f t="shared" si="75"/>
        <v>0.5147058824</v>
      </c>
      <c r="AS61" s="29">
        <f t="shared" si="17"/>
        <v>0.1176470588</v>
      </c>
      <c r="AT61" s="29" t="str">
        <f t="shared" si="18"/>
        <v>0.59</v>
      </c>
      <c r="AU61" s="26"/>
      <c r="AV61" s="26"/>
      <c r="AW61" s="26"/>
      <c r="AX61" s="26"/>
    </row>
    <row r="62">
      <c r="B62" s="17">
        <v>59.0</v>
      </c>
      <c r="C62" s="18">
        <f t="shared" si="2"/>
        <v>1</v>
      </c>
      <c r="D62" s="19" t="s">
        <v>114</v>
      </c>
      <c r="E62" s="19" t="s">
        <v>115</v>
      </c>
      <c r="F62" s="19">
        <v>3.0</v>
      </c>
      <c r="G62" s="19" t="s">
        <v>52</v>
      </c>
      <c r="H62" s="19" t="s">
        <v>57</v>
      </c>
      <c r="I62" s="19">
        <v>178.0</v>
      </c>
      <c r="J62" s="19">
        <v>65.0</v>
      </c>
      <c r="K62" s="20">
        <v>1.0</v>
      </c>
      <c r="L62" s="20">
        <f>SUMIFS('3월 단양 개인별 STAT'!L:L, '3월 단양 개인별 STAT'!$D:$D, $D62, '3월 단양 개인별 STAT'!$E:$E, $E62) + SUMIFS('4월 삼척 개인별 STAT'!L:L, '4월 삼척 개인별 STAT'!$D:$D, $D62, '4월 삼척 개인별 STAT'!$E:$E, $E62)</f>
        <v>3</v>
      </c>
      <c r="M62" s="20">
        <f>SUMIFS('3월 단양 개인별 STAT'!M:M, '3월 단양 개인별 STAT'!$D:$D, $D62, '3월 단양 개인별 STAT'!$E:$E, $E62) + SUMIFS('4월 삼척 개인별 STAT'!M:M, '4월 삼척 개인별 STAT'!$D:$D, $D62, '4월 삼척 개인별 STAT'!$E:$E, $E62)</f>
        <v>12</v>
      </c>
      <c r="N62" s="20">
        <f>SUMIFS('3월 단양 개인별 STAT'!N:N, '3월 단양 개인별 STAT'!$D:$D, $D62, '3월 단양 개인별 STAT'!$E:$E, $E62) + SUMIFS('4월 삼척 개인별 STAT'!N:N, '4월 삼척 개인별 STAT'!$D:$D, $D62, '4월 삼척 개인별 STAT'!$E:$E, $E62)</f>
        <v>53</v>
      </c>
      <c r="O62" s="20">
        <f>SUMIFS('3월 단양 개인별 STAT'!O:O, '3월 단양 개인별 STAT'!$D:$D, $D62, '3월 단양 개인별 STAT'!$E:$E, $E62) + SUMIFS('4월 삼척 개인별 STAT'!O:O, '4월 삼척 개인별 STAT'!$D:$D, $D62, '4월 삼척 개인별 STAT'!$E:$E, $E62)</f>
        <v>4</v>
      </c>
      <c r="P62" s="20">
        <f>SUMIFS('3월 단양 개인별 STAT'!P:P, '3월 단양 개인별 STAT'!$D:$D, $D62, '3월 단양 개인별 STAT'!$E:$E, $E62) + SUMIFS('4월 삼척 개인별 STAT'!P:P, '4월 삼척 개인별 STAT'!$D:$D, $D62, '4월 삼척 개인별 STAT'!$E:$E, $E62)</f>
        <v>65</v>
      </c>
      <c r="Q62" s="20">
        <f>SUMIFS('3월 단양 개인별 STAT'!Q:Q, '3월 단양 개인별 STAT'!$D:$D, $D62, '3월 단양 개인별 STAT'!$E:$E, $E62) + SUMIFS('4월 삼척 개인별 STAT'!Q:Q, '4월 삼척 개인별 STAT'!$D:$D, $D62, '4월 삼척 개인별 STAT'!$E:$E, $E62)</f>
        <v>26</v>
      </c>
      <c r="R62" s="21">
        <f t="shared" si="3"/>
        <v>144</v>
      </c>
      <c r="S62" s="22">
        <f t="shared" si="4"/>
        <v>0.19</v>
      </c>
      <c r="T62" s="20">
        <f>SUMIFS('3월 단양 개인별 STAT'!T:T, '3월 단양 개인별 STAT'!$D:$D, $D62, '3월 단양 개인별 STAT'!$E:$E, $E62) + SUMIFS('4월 삼척 개인별 STAT'!T:T, '4월 삼척 개인별 STAT'!$D:$D, $D62, '4월 삼척 개인별 STAT'!$E:$E, $E62)</f>
        <v>4</v>
      </c>
      <c r="U62" s="20">
        <f>SUMIFS('3월 단양 개인별 STAT'!U:U, '3월 단양 개인별 STAT'!$D:$D, $D62, '3월 단양 개인별 STAT'!$E:$E, $E62) + SUMIFS('4월 삼척 개인별 STAT'!U:U, '4월 삼척 개인별 STAT'!$D:$D, $D62, '4월 삼척 개인별 STAT'!$E:$E, $E62)</f>
        <v>0</v>
      </c>
      <c r="V62" s="20">
        <f>SUMIFS('3월 단양 개인별 STAT'!V:V, '3월 단양 개인별 STAT'!$D:$D, $D62, '3월 단양 개인별 STAT'!$E:$E, $E62) + SUMIFS('4월 삼척 개인별 STAT'!V:V, '4월 삼척 개인별 STAT'!$D:$D, $D62, '4월 삼척 개인별 STAT'!$E:$E, $E62)</f>
        <v>0</v>
      </c>
      <c r="W62" s="20">
        <f>SUMIFS('3월 단양 개인별 STAT'!W:W, '3월 단양 개인별 STAT'!$D:$D, $D62, '3월 단양 개인별 STAT'!$E:$E, $E62) + SUMIFS('4월 삼척 개인별 STAT'!W:W, '4월 삼척 개인별 STAT'!$D:$D, $D62, '4월 삼척 개인별 STAT'!$E:$E, $E62)</f>
        <v>33</v>
      </c>
      <c r="X62" s="20">
        <f>SUMIFS('3월 단양 개인별 STAT'!X:X, '3월 단양 개인별 STAT'!$D:$D, $D62, '3월 단양 개인별 STAT'!$E:$E, $E62) + SUMIFS('4월 삼척 개인별 STAT'!X:X, '4월 삼척 개인별 STAT'!$D:$D, $D62, '4월 삼척 개인별 STAT'!$E:$E, $E62)</f>
        <v>3</v>
      </c>
      <c r="Y62" s="20">
        <f>SUMIFS('3월 단양 개인별 STAT'!Y:Y, '3월 단양 개인별 STAT'!$D:$D, $D62, '3월 단양 개인별 STAT'!$E:$E, $E62) + SUMIFS('4월 삼척 개인별 STAT'!Y:Y, '4월 삼척 개인별 STAT'!$D:$D, $D62, '4월 삼척 개인별 STAT'!$E:$E, $E62)</f>
        <v>7</v>
      </c>
      <c r="Z62" s="21">
        <f t="shared" si="5"/>
        <v>43</v>
      </c>
      <c r="AA62" s="20">
        <f>SUMIFS('3월 단양 개인별 STAT'!AA:AA, '3월 단양 개인별 STAT'!$D:$D, $D62, '3월 단양 개인별 STAT'!$E:$E, $E62) + SUMIFS('4월 삼척 개인별 STAT'!AA:AA, '4월 삼척 개인별 STAT'!$D:$D, $D62, '4월 삼척 개인별 STAT'!$E:$E, $E62)</f>
        <v>1</v>
      </c>
      <c r="AB62" s="21">
        <f t="shared" si="6"/>
        <v>60</v>
      </c>
      <c r="AC62" s="23">
        <f t="shared" si="7"/>
        <v>60</v>
      </c>
      <c r="AD62" s="21">
        <f t="shared" si="8"/>
        <v>73</v>
      </c>
      <c r="AE62" s="20">
        <f>SUMIFS('3월 단양 개인별 STAT'!AE:AE, '3월 단양 개인별 STAT'!$D:$D, $D62, '3월 단양 개인별 STAT'!$E:$E, $E62) + SUMIFS('4월 삼척 개인별 STAT'!AE:AE, '4월 삼척 개인별 STAT'!$D:$D, $D62, '4월 삼척 개인별 STAT'!$E:$E, $E62)</f>
        <v>69</v>
      </c>
      <c r="AF62" s="20">
        <f>SUMIFS('3월 단양 개인별 STAT'!AF:AF, '3월 단양 개인별 STAT'!$D:$D, $D62, '3월 단양 개인별 STAT'!$E:$E, $E62) + SUMIFS('4월 삼척 개인별 STAT'!AF:AF, '4월 삼척 개인별 STAT'!$D:$D, $D62, '4월 삼척 개인별 STAT'!$E:$E, $E62)</f>
        <v>4</v>
      </c>
      <c r="AG62" s="24">
        <f t="shared" si="9"/>
        <v>94.52054795</v>
      </c>
      <c r="AH62" s="20">
        <f>SUMIFS('3월 단양 개인별 STAT'!AH:AH, '3월 단양 개인별 STAT'!$D:$D, $D62, '3월 단양 개인별 STAT'!$E:$E, $E62) + SUMIFS('4월 삼척 개인별 STAT'!AH:AH, '4월 삼척 개인별 STAT'!$D:$D, $D62, '4월 삼척 개인별 STAT'!$E:$E, $E62)</f>
        <v>33</v>
      </c>
      <c r="AI62" s="22" t="str">
        <f t="shared" si="10"/>
        <v>2.75</v>
      </c>
      <c r="AJ62" s="25"/>
      <c r="AK62" s="26"/>
      <c r="AL62" s="27">
        <f t="shared" si="11"/>
        <v>4.416666667</v>
      </c>
      <c r="AM62" s="27">
        <f t="shared" si="30"/>
        <v>12</v>
      </c>
      <c r="AN62" s="28">
        <f t="shared" si="13"/>
        <v>0.3680555556</v>
      </c>
      <c r="AO62" s="27">
        <f t="shared" si="14"/>
        <v>0.3333333333</v>
      </c>
      <c r="AP62" s="27">
        <f t="shared" si="15"/>
        <v>0.25</v>
      </c>
      <c r="AQ62" s="27">
        <f t="shared" ref="AQ62:AR62" si="76">iferror(AB62/$M62,"-")</f>
        <v>5</v>
      </c>
      <c r="AR62" s="27">
        <f t="shared" si="76"/>
        <v>5</v>
      </c>
      <c r="AS62" s="29">
        <f t="shared" si="17"/>
        <v>0.3333333333</v>
      </c>
      <c r="AT62" s="29" t="str">
        <f t="shared" si="18"/>
        <v>2.75</v>
      </c>
      <c r="AU62" s="26"/>
      <c r="AV62" s="26"/>
      <c r="AW62" s="26"/>
      <c r="AX62" s="26"/>
    </row>
    <row r="63">
      <c r="B63" s="17">
        <v>60.0</v>
      </c>
      <c r="C63" s="18">
        <f t="shared" si="2"/>
        <v>2</v>
      </c>
      <c r="D63" s="19" t="s">
        <v>114</v>
      </c>
      <c r="E63" s="19" t="s">
        <v>116</v>
      </c>
      <c r="F63" s="19">
        <v>3.0</v>
      </c>
      <c r="G63" s="19" t="s">
        <v>52</v>
      </c>
      <c r="H63" s="19" t="s">
        <v>50</v>
      </c>
      <c r="I63" s="19">
        <v>172.0</v>
      </c>
      <c r="J63" s="19">
        <v>65.0</v>
      </c>
      <c r="K63" s="20">
        <v>2.0</v>
      </c>
      <c r="L63" s="20">
        <f>SUMIFS('3월 단양 개인별 STAT'!L:L, '3월 단양 개인별 STAT'!$D:$D, $D63, '3월 단양 개인별 STAT'!$E:$E, $E63) + SUMIFS('4월 삼척 개인별 STAT'!L:L, '4월 삼척 개인별 STAT'!$D:$D, $D63, '4월 삼척 개인별 STAT'!$E:$E, $E63)</f>
        <v>3</v>
      </c>
      <c r="M63" s="20">
        <f>SUMIFS('3월 단양 개인별 STAT'!M:M, '3월 단양 개인별 STAT'!$D:$D, $D63, '3월 단양 개인별 STAT'!$E:$E, $E63) + SUMIFS('4월 삼척 개인별 STAT'!M:M, '4월 삼척 개인별 STAT'!$D:$D, $D63, '4월 삼척 개인별 STAT'!$E:$E, $E63)</f>
        <v>12</v>
      </c>
      <c r="N63" s="20">
        <f>SUMIFS('3월 단양 개인별 STAT'!N:N, '3월 단양 개인별 STAT'!$D:$D, $D63, '3월 단양 개인별 STAT'!$E:$E, $E63) + SUMIFS('4월 삼척 개인별 STAT'!N:N, '4월 삼척 개인별 STAT'!$D:$D, $D63, '4월 삼척 개인별 STAT'!$E:$E, $E63)</f>
        <v>34</v>
      </c>
      <c r="O63" s="20">
        <f>SUMIFS('3월 단양 개인별 STAT'!O:O, '3월 단양 개인별 STAT'!$D:$D, $D63, '3월 단양 개인별 STAT'!$E:$E, $E63) + SUMIFS('4월 삼척 개인별 STAT'!O:O, '4월 삼척 개인별 STAT'!$D:$D, $D63, '4월 삼척 개인별 STAT'!$E:$E, $E63)</f>
        <v>8</v>
      </c>
      <c r="P63" s="20">
        <f>SUMIFS('3월 단양 개인별 STAT'!P:P, '3월 단양 개인별 STAT'!$D:$D, $D63, '3월 단양 개인별 STAT'!$E:$E, $E63) + SUMIFS('4월 삼척 개인별 STAT'!P:P, '4월 삼척 개인별 STAT'!$D:$D, $D63, '4월 삼척 개인별 STAT'!$E:$E, $E63)</f>
        <v>46</v>
      </c>
      <c r="Q63" s="20">
        <f>SUMIFS('3월 단양 개인별 STAT'!Q:Q, '3월 단양 개인별 STAT'!$D:$D, $D63, '3월 단양 개인별 STAT'!$E:$E, $E63) + SUMIFS('4월 삼척 개인별 STAT'!Q:Q, '4월 삼척 개인별 STAT'!$D:$D, $D63, '4월 삼척 개인별 STAT'!$E:$E, $E63)</f>
        <v>21</v>
      </c>
      <c r="R63" s="21">
        <f t="shared" si="3"/>
        <v>101</v>
      </c>
      <c r="S63" s="22">
        <f t="shared" si="4"/>
        <v>0.13</v>
      </c>
      <c r="T63" s="20">
        <f>SUMIFS('3월 단양 개인별 STAT'!T:T, '3월 단양 개인별 STAT'!$D:$D, $D63, '3월 단양 개인별 STAT'!$E:$E, $E63) + SUMIFS('4월 삼척 개인별 STAT'!T:T, '4월 삼척 개인별 STAT'!$D:$D, $D63, '4월 삼척 개인별 STAT'!$E:$E, $E63)</f>
        <v>1</v>
      </c>
      <c r="U63" s="20">
        <f>SUMIFS('3월 단양 개인별 STAT'!U:U, '3월 단양 개인별 STAT'!$D:$D, $D63, '3월 단양 개인별 STAT'!$E:$E, $E63) + SUMIFS('4월 삼척 개인별 STAT'!U:U, '4월 삼척 개인별 STAT'!$D:$D, $D63, '4월 삼척 개인별 STAT'!$E:$E, $E63)</f>
        <v>1</v>
      </c>
      <c r="V63" s="20">
        <f>SUMIFS('3월 단양 개인별 STAT'!V:V, '3월 단양 개인별 STAT'!$D:$D, $D63, '3월 단양 개인별 STAT'!$E:$E, $E63) + SUMIFS('4월 삼척 개인별 STAT'!V:V, '4월 삼척 개인별 STAT'!$D:$D, $D63, '4월 삼척 개인별 STAT'!$E:$E, $E63)</f>
        <v>2</v>
      </c>
      <c r="W63" s="20">
        <f>SUMIFS('3월 단양 개인별 STAT'!W:W, '3월 단양 개인별 STAT'!$D:$D, $D63, '3월 단양 개인별 STAT'!$E:$E, $E63) + SUMIFS('4월 삼척 개인별 STAT'!W:W, '4월 삼척 개인별 STAT'!$D:$D, $D63, '4월 삼척 개인별 STAT'!$E:$E, $E63)</f>
        <v>46</v>
      </c>
      <c r="X63" s="20">
        <f>SUMIFS('3월 단양 개인별 STAT'!X:X, '3월 단양 개인별 STAT'!$D:$D, $D63, '3월 단양 개인별 STAT'!$E:$E, $E63) + SUMIFS('4월 삼척 개인별 STAT'!X:X, '4월 삼척 개인별 STAT'!$D:$D, $D63, '4월 삼척 개인별 STAT'!$E:$E, $E63)</f>
        <v>2</v>
      </c>
      <c r="Y63" s="20">
        <f>SUMIFS('3월 단양 개인별 STAT'!Y:Y, '3월 단양 개인별 STAT'!$D:$D, $D63, '3월 단양 개인별 STAT'!$E:$E, $E63) + SUMIFS('4월 삼척 개인별 STAT'!Y:Y, '4월 삼척 개인별 STAT'!$D:$D, $D63, '4월 삼척 개인별 STAT'!$E:$E, $E63)</f>
        <v>7</v>
      </c>
      <c r="Z63" s="21">
        <f t="shared" si="5"/>
        <v>55</v>
      </c>
      <c r="AA63" s="20">
        <f>SUMIFS('3월 단양 개인별 STAT'!AA:AA, '3월 단양 개인별 STAT'!$D:$D, $D63, '3월 단양 개인별 STAT'!$E:$E, $E63) + SUMIFS('4월 삼척 개인별 STAT'!AA:AA, '4월 삼척 개인별 STAT'!$D:$D, $D63, '4월 삼척 개인별 STAT'!$E:$E, $E63)</f>
        <v>2</v>
      </c>
      <c r="AB63" s="21">
        <f t="shared" si="6"/>
        <v>37</v>
      </c>
      <c r="AC63" s="23">
        <f t="shared" si="7"/>
        <v>38.5</v>
      </c>
      <c r="AD63" s="21">
        <f t="shared" si="8"/>
        <v>82</v>
      </c>
      <c r="AE63" s="20">
        <f>SUMIFS('3월 단양 개인별 STAT'!AE:AE, '3월 단양 개인별 STAT'!$D:$D, $D63, '3월 단양 개인별 STAT'!$E:$E, $E63) + SUMIFS('4월 삼척 개인별 STAT'!AE:AE, '4월 삼척 개인별 STAT'!$D:$D, $D63, '4월 삼척 개인별 STAT'!$E:$E, $E63)</f>
        <v>78</v>
      </c>
      <c r="AF63" s="20">
        <f>SUMIFS('3월 단양 개인별 STAT'!AF:AF, '3월 단양 개인별 STAT'!$D:$D, $D63, '3월 단양 개인별 STAT'!$E:$E, $E63) + SUMIFS('4월 삼척 개인별 STAT'!AF:AF, '4월 삼척 개인별 STAT'!$D:$D, $D63, '4월 삼척 개인별 STAT'!$E:$E, $E63)</f>
        <v>4</v>
      </c>
      <c r="AG63" s="24">
        <f t="shared" si="9"/>
        <v>95.12195122</v>
      </c>
      <c r="AH63" s="20">
        <f>SUMIFS('3월 단양 개인별 STAT'!AH:AH, '3월 단양 개인별 STAT'!$D:$D, $D63, '3월 단양 개인별 STAT'!$E:$E, $E63) + SUMIFS('4월 삼척 개인별 STAT'!AH:AH, '4월 삼척 개인별 STAT'!$D:$D, $D63, '4월 삼척 개인별 STAT'!$E:$E, $E63)</f>
        <v>31</v>
      </c>
      <c r="AI63" s="22" t="str">
        <f t="shared" si="10"/>
        <v>2.58</v>
      </c>
      <c r="AJ63" s="25"/>
      <c r="AK63" s="26"/>
      <c r="AL63" s="27">
        <f t="shared" si="11"/>
        <v>2.833333333</v>
      </c>
      <c r="AM63" s="27">
        <f t="shared" si="30"/>
        <v>8.416666667</v>
      </c>
      <c r="AN63" s="28">
        <f t="shared" si="13"/>
        <v>0.3366336634</v>
      </c>
      <c r="AO63" s="27">
        <f t="shared" si="14"/>
        <v>0.08333333333</v>
      </c>
      <c r="AP63" s="27">
        <f t="shared" si="15"/>
        <v>0.1666666667</v>
      </c>
      <c r="AQ63" s="27">
        <f t="shared" ref="AQ63:AR63" si="77">iferror(AB63/$M63,"-")</f>
        <v>3.083333333</v>
      </c>
      <c r="AR63" s="27">
        <f t="shared" si="77"/>
        <v>3.208333333</v>
      </c>
      <c r="AS63" s="29">
        <f t="shared" si="17"/>
        <v>0.3333333333</v>
      </c>
      <c r="AT63" s="29" t="str">
        <f t="shared" si="18"/>
        <v>2.58</v>
      </c>
      <c r="AU63" s="26"/>
      <c r="AV63" s="26"/>
      <c r="AW63" s="26"/>
      <c r="AX63" s="26"/>
    </row>
    <row r="64">
      <c r="B64" s="17">
        <v>61.0</v>
      </c>
      <c r="C64" s="18">
        <f t="shared" si="2"/>
        <v>3</v>
      </c>
      <c r="D64" s="19" t="s">
        <v>114</v>
      </c>
      <c r="E64" s="19" t="s">
        <v>117</v>
      </c>
      <c r="F64" s="19">
        <v>1.0</v>
      </c>
      <c r="G64" s="19" t="s">
        <v>50</v>
      </c>
      <c r="H64" s="19" t="s">
        <v>48</v>
      </c>
      <c r="I64" s="19">
        <v>169.0</v>
      </c>
      <c r="J64" s="19">
        <v>60.0</v>
      </c>
      <c r="K64" s="20">
        <v>3.0</v>
      </c>
      <c r="L64" s="20">
        <f>SUMIFS('3월 단양 개인별 STAT'!L:L, '3월 단양 개인별 STAT'!$D:$D, $D64, '3월 단양 개인별 STAT'!$E:$E, $E64) + SUMIFS('4월 삼척 개인별 STAT'!L:L, '4월 삼척 개인별 STAT'!$D:$D, $D64, '4월 삼척 개인별 STAT'!$E:$E, $E64)</f>
        <v>1</v>
      </c>
      <c r="M64" s="20">
        <f>SUMIFS('3월 단양 개인별 STAT'!M:M, '3월 단양 개인별 STAT'!$D:$D, $D64, '3월 단양 개인별 STAT'!$E:$E, $E64) + SUMIFS('4월 삼척 개인별 STAT'!M:M, '4월 삼척 개인별 STAT'!$D:$D, $D64, '4월 삼척 개인별 STAT'!$E:$E, $E64)</f>
        <v>3</v>
      </c>
      <c r="N64" s="20">
        <f>SUMIFS('3월 단양 개인별 STAT'!N:N, '3월 단양 개인별 STAT'!$D:$D, $D64, '3월 단양 개인별 STAT'!$E:$E, $E64) + SUMIFS('4월 삼척 개인별 STAT'!N:N, '4월 삼척 개인별 STAT'!$D:$D, $D64, '4월 삼척 개인별 STAT'!$E:$E, $E64)</f>
        <v>0</v>
      </c>
      <c r="O64" s="20">
        <f>SUMIFS('3월 단양 개인별 STAT'!O:O, '3월 단양 개인별 STAT'!$D:$D, $D64, '3월 단양 개인별 STAT'!$E:$E, $E64) + SUMIFS('4월 삼척 개인별 STAT'!O:O, '4월 삼척 개인별 STAT'!$D:$D, $D64, '4월 삼척 개인별 STAT'!$E:$E, $E64)</f>
        <v>0</v>
      </c>
      <c r="P64" s="20">
        <f>SUMIFS('3월 단양 개인별 STAT'!P:P, '3월 단양 개인별 STAT'!$D:$D, $D64, '3월 단양 개인별 STAT'!$E:$E, $E64) + SUMIFS('4월 삼척 개인별 STAT'!P:P, '4월 삼척 개인별 STAT'!$D:$D, $D64, '4월 삼척 개인별 STAT'!$E:$E, $E64)</f>
        <v>0</v>
      </c>
      <c r="Q64" s="20">
        <f>SUMIFS('3월 단양 개인별 STAT'!Q:Q, '3월 단양 개인별 STAT'!$D:$D, $D64, '3월 단양 개인별 STAT'!$E:$E, $E64) + SUMIFS('4월 삼척 개인별 STAT'!Q:Q, '4월 삼척 개인별 STAT'!$D:$D, $D64, '4월 삼척 개인별 STAT'!$E:$E, $E64)</f>
        <v>0</v>
      </c>
      <c r="R64" s="30" t="str">
        <f t="shared" si="3"/>
        <v>-</v>
      </c>
      <c r="S64" s="22" t="str">
        <f t="shared" si="4"/>
        <v>-</v>
      </c>
      <c r="T64" s="20">
        <f>SUMIFS('3월 단양 개인별 STAT'!T:T, '3월 단양 개인별 STAT'!$D:$D, $D64, '3월 단양 개인별 STAT'!$E:$E, $E64) + SUMIFS('4월 삼척 개인별 STAT'!T:T, '4월 삼척 개인별 STAT'!$D:$D, $D64, '4월 삼척 개인별 STAT'!$E:$E, $E64)</f>
        <v>0</v>
      </c>
      <c r="U64" s="20">
        <f>SUMIFS('3월 단양 개인별 STAT'!U:U, '3월 단양 개인별 STAT'!$D:$D, $D64, '3월 단양 개인별 STAT'!$E:$E, $E64) + SUMIFS('4월 삼척 개인별 STAT'!U:U, '4월 삼척 개인별 STAT'!$D:$D, $D64, '4월 삼척 개인별 STAT'!$E:$E, $E64)</f>
        <v>0</v>
      </c>
      <c r="V64" s="20">
        <f>SUMIFS('3월 단양 개인별 STAT'!V:V, '3월 단양 개인별 STAT'!$D:$D, $D64, '3월 단양 개인별 STAT'!$E:$E, $E64) + SUMIFS('4월 삼척 개인별 STAT'!V:V, '4월 삼척 개인별 STAT'!$D:$D, $D64, '4월 삼척 개인별 STAT'!$E:$E, $E64)</f>
        <v>0</v>
      </c>
      <c r="W64" s="20">
        <f>SUMIFS('3월 단양 개인별 STAT'!W:W, '3월 단양 개인별 STAT'!$D:$D, $D64, '3월 단양 개인별 STAT'!$E:$E, $E64) + SUMIFS('4월 삼척 개인별 STAT'!W:W, '4월 삼척 개인별 STAT'!$D:$D, $D64, '4월 삼척 개인별 STAT'!$E:$E, $E64)</f>
        <v>0</v>
      </c>
      <c r="X64" s="20">
        <f>SUMIFS('3월 단양 개인별 STAT'!X:X, '3월 단양 개인별 STAT'!$D:$D, $D64, '3월 단양 개인별 STAT'!$E:$E, $E64) + SUMIFS('4월 삼척 개인별 STAT'!X:X, '4월 삼척 개인별 STAT'!$D:$D, $D64, '4월 삼척 개인별 STAT'!$E:$E, $E64)</f>
        <v>0</v>
      </c>
      <c r="Y64" s="20">
        <f>SUMIFS('3월 단양 개인별 STAT'!Y:Y, '3월 단양 개인별 STAT'!$D:$D, $D64, '3월 단양 개인별 STAT'!$E:$E, $E64) + SUMIFS('4월 삼척 개인별 STAT'!Y:Y, '4월 삼척 개인별 STAT'!$D:$D, $D64, '4월 삼척 개인별 STAT'!$E:$E, $E64)</f>
        <v>0</v>
      </c>
      <c r="Z64" s="30" t="str">
        <f t="shared" si="5"/>
        <v>-</v>
      </c>
      <c r="AA64" s="20">
        <f>SUMIFS('3월 단양 개인별 STAT'!AA:AA, '3월 단양 개인별 STAT'!$D:$D, $D64, '3월 단양 개인별 STAT'!$E:$E, $E64) + SUMIFS('4월 삼척 개인별 STAT'!AA:AA, '4월 삼척 개인별 STAT'!$D:$D, $D64, '4월 삼척 개인별 STAT'!$E:$E, $E64)</f>
        <v>0</v>
      </c>
      <c r="AB64" s="30" t="str">
        <f t="shared" si="6"/>
        <v>-</v>
      </c>
      <c r="AC64" s="23">
        <f t="shared" si="7"/>
        <v>0</v>
      </c>
      <c r="AD64" s="21">
        <f t="shared" si="8"/>
        <v>25</v>
      </c>
      <c r="AE64" s="20">
        <f>SUMIFS('3월 단양 개인별 STAT'!AE:AE, '3월 단양 개인별 STAT'!$D:$D, $D64, '3월 단양 개인별 STAT'!$E:$E, $E64) + SUMIFS('4월 삼척 개인별 STAT'!AE:AE, '4월 삼척 개인별 STAT'!$D:$D, $D64, '4월 삼척 개인별 STAT'!$E:$E, $E64)</f>
        <v>21</v>
      </c>
      <c r="AF64" s="20">
        <f>SUMIFS('3월 단양 개인별 STAT'!AF:AF, '3월 단양 개인별 STAT'!$D:$D, $D64, '3월 단양 개인별 STAT'!$E:$E, $E64) + SUMIFS('4월 삼척 개인별 STAT'!AF:AF, '4월 삼척 개인별 STAT'!$D:$D, $D64, '4월 삼척 개인별 STAT'!$E:$E, $E64)</f>
        <v>4</v>
      </c>
      <c r="AG64" s="24">
        <f t="shared" si="9"/>
        <v>84</v>
      </c>
      <c r="AH64" s="20">
        <f>SUMIFS('3월 단양 개인별 STAT'!AH:AH, '3월 단양 개인별 STAT'!$D:$D, $D64, '3월 단양 개인별 STAT'!$E:$E, $E64) + SUMIFS('4월 삼척 개인별 STAT'!AH:AH, '4월 삼척 개인별 STAT'!$D:$D, $D64, '4월 삼척 개인별 STAT'!$E:$E, $E64)</f>
        <v>2</v>
      </c>
      <c r="AI64" s="22" t="str">
        <f t="shared" si="10"/>
        <v>0.67</v>
      </c>
      <c r="AJ64" s="25"/>
      <c r="AK64" s="26"/>
      <c r="AL64" s="27">
        <f t="shared" si="11"/>
        <v>0</v>
      </c>
      <c r="AM64" s="27" t="str">
        <f t="shared" si="30"/>
        <v>-</v>
      </c>
      <c r="AN64" s="28" t="str">
        <f t="shared" si="13"/>
        <v>-</v>
      </c>
      <c r="AO64" s="27">
        <f t="shared" si="14"/>
        <v>0</v>
      </c>
      <c r="AP64" s="27">
        <f t="shared" si="15"/>
        <v>0</v>
      </c>
      <c r="AQ64" s="27" t="str">
        <f t="shared" ref="AQ64:AR64" si="78">iferror(AB64/$M64,"-")</f>
        <v>-</v>
      </c>
      <c r="AR64" s="27">
        <f t="shared" si="78"/>
        <v>0</v>
      </c>
      <c r="AS64" s="29">
        <f t="shared" si="17"/>
        <v>1.333333333</v>
      </c>
      <c r="AT64" s="29" t="str">
        <f t="shared" si="18"/>
        <v>0.67</v>
      </c>
      <c r="AU64" s="26"/>
      <c r="AV64" s="26"/>
      <c r="AW64" s="26"/>
      <c r="AX64" s="26"/>
    </row>
    <row r="65">
      <c r="B65" s="17">
        <v>62.0</v>
      </c>
      <c r="C65" s="18">
        <f t="shared" si="2"/>
        <v>4</v>
      </c>
      <c r="D65" s="19" t="s">
        <v>114</v>
      </c>
      <c r="E65" s="19" t="s">
        <v>118</v>
      </c>
      <c r="F65" s="19">
        <v>1.0</v>
      </c>
      <c r="G65" s="19" t="s">
        <v>52</v>
      </c>
      <c r="H65" s="19" t="s">
        <v>57</v>
      </c>
      <c r="I65" s="19">
        <v>173.0</v>
      </c>
      <c r="J65" s="19">
        <v>66.0</v>
      </c>
      <c r="K65" s="20">
        <v>4.0</v>
      </c>
      <c r="L65" s="20">
        <f>SUMIFS('3월 단양 개인별 STAT'!L:L, '3월 단양 개인별 STAT'!$D:$D, $D65, '3월 단양 개인별 STAT'!$E:$E, $E65) + SUMIFS('4월 삼척 개인별 STAT'!L:L, '4월 삼척 개인별 STAT'!$D:$D, $D65, '4월 삼척 개인별 STAT'!$E:$E, $E65)</f>
        <v>3</v>
      </c>
      <c r="M65" s="20">
        <f>SUMIFS('3월 단양 개인별 STAT'!M:M, '3월 단양 개인별 STAT'!$D:$D, $D65, '3월 단양 개인별 STAT'!$E:$E, $E65) + SUMIFS('4월 삼척 개인별 STAT'!M:M, '4월 삼척 개인별 STAT'!$D:$D, $D65, '4월 삼척 개인별 STAT'!$E:$E, $E65)</f>
        <v>3</v>
      </c>
      <c r="N65" s="20">
        <f>SUMIFS('3월 단양 개인별 STAT'!N:N, '3월 단양 개인별 STAT'!$D:$D, $D65, '3월 단양 개인별 STAT'!$E:$E, $E65) + SUMIFS('4월 삼척 개인별 STAT'!N:N, '4월 삼척 개인별 STAT'!$D:$D, $D65, '4월 삼척 개인별 STAT'!$E:$E, $E65)</f>
        <v>0</v>
      </c>
      <c r="O65" s="20">
        <f>SUMIFS('3월 단양 개인별 STAT'!O:O, '3월 단양 개인별 STAT'!$D:$D, $D65, '3월 단양 개인별 STAT'!$E:$E, $E65) + SUMIFS('4월 삼척 개인별 STAT'!O:O, '4월 삼척 개인별 STAT'!$D:$D, $D65, '4월 삼척 개인별 STAT'!$E:$E, $E65)</f>
        <v>0</v>
      </c>
      <c r="P65" s="20">
        <f>SUMIFS('3월 단양 개인별 STAT'!P:P, '3월 단양 개인별 STAT'!$D:$D, $D65, '3월 단양 개인별 STAT'!$E:$E, $E65) + SUMIFS('4월 삼척 개인별 STAT'!P:P, '4월 삼척 개인별 STAT'!$D:$D, $D65, '4월 삼척 개인별 STAT'!$E:$E, $E65)</f>
        <v>0</v>
      </c>
      <c r="Q65" s="20">
        <f>SUMIFS('3월 단양 개인별 STAT'!Q:Q, '3월 단양 개인별 STAT'!$D:$D, $D65, '3월 단양 개인별 STAT'!$E:$E, $E65) + SUMIFS('4월 삼척 개인별 STAT'!Q:Q, '4월 삼척 개인별 STAT'!$D:$D, $D65, '4월 삼척 개인별 STAT'!$E:$E, $E65)</f>
        <v>0</v>
      </c>
      <c r="R65" s="30" t="str">
        <f t="shared" si="3"/>
        <v>-</v>
      </c>
      <c r="S65" s="22" t="str">
        <f t="shared" si="4"/>
        <v>-</v>
      </c>
      <c r="T65" s="20">
        <f>SUMIFS('3월 단양 개인별 STAT'!T:T, '3월 단양 개인별 STAT'!$D:$D, $D65, '3월 단양 개인별 STAT'!$E:$E, $E65) + SUMIFS('4월 삼척 개인별 STAT'!T:T, '4월 삼척 개인별 STAT'!$D:$D, $D65, '4월 삼척 개인별 STAT'!$E:$E, $E65)</f>
        <v>0</v>
      </c>
      <c r="U65" s="20">
        <f>SUMIFS('3월 단양 개인별 STAT'!U:U, '3월 단양 개인별 STAT'!$D:$D, $D65, '3월 단양 개인별 STAT'!$E:$E, $E65) + SUMIFS('4월 삼척 개인별 STAT'!U:U, '4월 삼척 개인별 STAT'!$D:$D, $D65, '4월 삼척 개인별 STAT'!$E:$E, $E65)</f>
        <v>0</v>
      </c>
      <c r="V65" s="20">
        <f>SUMIFS('3월 단양 개인별 STAT'!V:V, '3월 단양 개인별 STAT'!$D:$D, $D65, '3월 단양 개인별 STAT'!$E:$E, $E65) + SUMIFS('4월 삼척 개인별 STAT'!V:V, '4월 삼척 개인별 STAT'!$D:$D, $D65, '4월 삼척 개인별 STAT'!$E:$E, $E65)</f>
        <v>0</v>
      </c>
      <c r="W65" s="20">
        <f>SUMIFS('3월 단양 개인별 STAT'!W:W, '3월 단양 개인별 STAT'!$D:$D, $D65, '3월 단양 개인별 STAT'!$E:$E, $E65) + SUMIFS('4월 삼척 개인별 STAT'!W:W, '4월 삼척 개인별 STAT'!$D:$D, $D65, '4월 삼척 개인별 STAT'!$E:$E, $E65)</f>
        <v>4</v>
      </c>
      <c r="X65" s="20">
        <f>SUMIFS('3월 단양 개인별 STAT'!X:X, '3월 단양 개인별 STAT'!$D:$D, $D65, '3월 단양 개인별 STAT'!$E:$E, $E65) + SUMIFS('4월 삼척 개인별 STAT'!X:X, '4월 삼척 개인별 STAT'!$D:$D, $D65, '4월 삼척 개인별 STAT'!$E:$E, $E65)</f>
        <v>0</v>
      </c>
      <c r="Y65" s="20">
        <f>SUMIFS('3월 단양 개인별 STAT'!Y:Y, '3월 단양 개인별 STAT'!$D:$D, $D65, '3월 단양 개인별 STAT'!$E:$E, $E65) + SUMIFS('4월 삼척 개인별 STAT'!Y:Y, '4월 삼척 개인별 STAT'!$D:$D, $D65, '4월 삼척 개인별 STAT'!$E:$E, $E65)</f>
        <v>0</v>
      </c>
      <c r="Z65" s="21">
        <f t="shared" si="5"/>
        <v>4</v>
      </c>
      <c r="AA65" s="20">
        <f>SUMIFS('3월 단양 개인별 STAT'!AA:AA, '3월 단양 개인별 STAT'!$D:$D, $D65, '3월 단양 개인별 STAT'!$E:$E, $E65) + SUMIFS('4월 삼척 개인별 STAT'!AA:AA, '4월 삼척 개인별 STAT'!$D:$D, $D65, '4월 삼척 개인별 STAT'!$E:$E, $E65)</f>
        <v>0</v>
      </c>
      <c r="AB65" s="30" t="str">
        <f t="shared" si="6"/>
        <v>-</v>
      </c>
      <c r="AC65" s="23">
        <f t="shared" si="7"/>
        <v>0</v>
      </c>
      <c r="AD65" s="30" t="str">
        <f t="shared" si="8"/>
        <v>-</v>
      </c>
      <c r="AE65" s="20">
        <f>SUMIFS('3월 단양 개인별 STAT'!AE:AE, '3월 단양 개인별 STAT'!$D:$D, $D65, '3월 단양 개인별 STAT'!$E:$E, $E65) + SUMIFS('4월 삼척 개인별 STAT'!AE:AE, '4월 삼척 개인별 STAT'!$D:$D, $D65, '4월 삼척 개인별 STAT'!$E:$E, $E65)</f>
        <v>0</v>
      </c>
      <c r="AF65" s="20">
        <f>SUMIFS('3월 단양 개인별 STAT'!AF:AF, '3월 단양 개인별 STAT'!$D:$D, $D65, '3월 단양 개인별 STAT'!$E:$E, $E65) + SUMIFS('4월 삼척 개인별 STAT'!AF:AF, '4월 삼척 개인별 STAT'!$D:$D, $D65, '4월 삼척 개인별 STAT'!$E:$E, $E65)</f>
        <v>0</v>
      </c>
      <c r="AG65" s="24" t="str">
        <f t="shared" si="9"/>
        <v>-</v>
      </c>
      <c r="AH65" s="20">
        <f>SUMIFS('3월 단양 개인별 STAT'!AH:AH, '3월 단양 개인별 STAT'!$D:$D, $D65, '3월 단양 개인별 STAT'!$E:$E, $E65) + SUMIFS('4월 삼척 개인별 STAT'!AH:AH, '4월 삼척 개인별 STAT'!$D:$D, $D65, '4월 삼척 개인별 STAT'!$E:$E, $E65)</f>
        <v>0</v>
      </c>
      <c r="AI65" s="22" t="str">
        <f t="shared" si="10"/>
        <v>0</v>
      </c>
      <c r="AJ65" s="25"/>
      <c r="AK65" s="26"/>
      <c r="AL65" s="27">
        <f t="shared" si="11"/>
        <v>0</v>
      </c>
      <c r="AM65" s="27" t="str">
        <f t="shared" si="30"/>
        <v>-</v>
      </c>
      <c r="AN65" s="28" t="str">
        <f t="shared" si="13"/>
        <v>-</v>
      </c>
      <c r="AO65" s="27">
        <f t="shared" si="14"/>
        <v>0</v>
      </c>
      <c r="AP65" s="27">
        <f t="shared" si="15"/>
        <v>0</v>
      </c>
      <c r="AQ65" s="27" t="str">
        <f t="shared" ref="AQ65:AR65" si="79">iferror(AB65/$M65,"-")</f>
        <v>-</v>
      </c>
      <c r="AR65" s="27">
        <f t="shared" si="79"/>
        <v>0</v>
      </c>
      <c r="AS65" s="29">
        <f t="shared" si="17"/>
        <v>0</v>
      </c>
      <c r="AT65" s="29" t="str">
        <f t="shared" si="18"/>
        <v>0</v>
      </c>
      <c r="AU65" s="26"/>
      <c r="AV65" s="26"/>
      <c r="AW65" s="26"/>
      <c r="AX65" s="26"/>
    </row>
    <row r="66">
      <c r="B66" s="17">
        <v>63.0</v>
      </c>
      <c r="C66" s="18">
        <f t="shared" si="2"/>
        <v>5</v>
      </c>
      <c r="D66" s="19" t="s">
        <v>114</v>
      </c>
      <c r="E66" s="19" t="s">
        <v>119</v>
      </c>
      <c r="F66" s="19">
        <v>2.0</v>
      </c>
      <c r="G66" s="19" t="s">
        <v>54</v>
      </c>
      <c r="H66" s="19" t="s">
        <v>54</v>
      </c>
      <c r="I66" s="19">
        <v>172.0</v>
      </c>
      <c r="J66" s="19">
        <v>69.0</v>
      </c>
      <c r="K66" s="20">
        <v>6.0</v>
      </c>
      <c r="L66" s="20">
        <f>SUMIFS('3월 단양 개인별 STAT'!L:L, '3월 단양 개인별 STAT'!$D:$D, $D66, '3월 단양 개인별 STAT'!$E:$E, $E66) + SUMIFS('4월 삼척 개인별 STAT'!L:L, '4월 삼척 개인별 STAT'!$D:$D, $D66, '4월 삼척 개인별 STAT'!$E:$E, $E66)</f>
        <v>3</v>
      </c>
      <c r="M66" s="20">
        <f>SUMIFS('3월 단양 개인별 STAT'!M:M, '3월 단양 개인별 STAT'!$D:$D, $D66, '3월 단양 개인별 STAT'!$E:$E, $E66) + SUMIFS('4월 삼척 개인별 STAT'!M:M, '4월 삼척 개인별 STAT'!$D:$D, $D66, '4월 삼척 개인별 STAT'!$E:$E, $E66)</f>
        <v>12</v>
      </c>
      <c r="N66" s="20">
        <f>SUMIFS('3월 단양 개인별 STAT'!N:N, '3월 단양 개인별 STAT'!$D:$D, $D66, '3월 단양 개인별 STAT'!$E:$E, $E66) + SUMIFS('4월 삼척 개인별 STAT'!N:N, '4월 삼척 개인별 STAT'!$D:$D, $D66, '4월 삼척 개인별 STAT'!$E:$E, $E66)</f>
        <v>2</v>
      </c>
      <c r="O66" s="20">
        <f>SUMIFS('3월 단양 개인별 STAT'!O:O, '3월 단양 개인별 STAT'!$D:$D, $D66, '3월 단양 개인별 STAT'!$E:$E, $E66) + SUMIFS('4월 삼척 개인별 STAT'!O:O, '4월 삼척 개인별 STAT'!$D:$D, $D66, '4월 삼척 개인별 STAT'!$E:$E, $E66)</f>
        <v>119</v>
      </c>
      <c r="P66" s="20">
        <f>SUMIFS('3월 단양 개인별 STAT'!P:P, '3월 단양 개인별 STAT'!$D:$D, $D66, '3월 단양 개인별 STAT'!$E:$E, $E66) + SUMIFS('4월 삼척 개인별 STAT'!P:P, '4월 삼척 개인별 STAT'!$D:$D, $D66, '4월 삼척 개인별 STAT'!$E:$E, $E66)</f>
        <v>7</v>
      </c>
      <c r="Q66" s="20">
        <f>SUMIFS('3월 단양 개인별 STAT'!Q:Q, '3월 단양 개인별 STAT'!$D:$D, $D66, '3월 단양 개인별 STAT'!$E:$E, $E66) + SUMIFS('4월 삼척 개인별 STAT'!Q:Q, '4월 삼척 개인별 STAT'!$D:$D, $D66, '4월 삼척 개인별 STAT'!$E:$E, $E66)</f>
        <v>4</v>
      </c>
      <c r="R66" s="21">
        <f t="shared" si="3"/>
        <v>13</v>
      </c>
      <c r="S66" s="22">
        <f t="shared" si="4"/>
        <v>-0.15</v>
      </c>
      <c r="T66" s="20">
        <f>SUMIFS('3월 단양 개인별 STAT'!T:T, '3월 단양 개인별 STAT'!$D:$D, $D66, '3월 단양 개인별 STAT'!$E:$E, $E66) + SUMIFS('4월 삼척 개인별 STAT'!T:T, '4월 삼척 개인별 STAT'!$D:$D, $D66, '4월 삼척 개인별 STAT'!$E:$E, $E66)</f>
        <v>0</v>
      </c>
      <c r="U66" s="20">
        <f>SUMIFS('3월 단양 개인별 STAT'!U:U, '3월 단양 개인별 STAT'!$D:$D, $D66, '3월 단양 개인별 STAT'!$E:$E, $E66) + SUMIFS('4월 삼척 개인별 STAT'!U:U, '4월 삼척 개인별 STAT'!$D:$D, $D66, '4월 삼척 개인별 STAT'!$E:$E, $E66)</f>
        <v>1</v>
      </c>
      <c r="V66" s="20">
        <f>SUMIFS('3월 단양 개인별 STAT'!V:V, '3월 단양 개인별 STAT'!$D:$D, $D66, '3월 단양 개인별 STAT'!$E:$E, $E66) + SUMIFS('4월 삼척 개인별 STAT'!V:V, '4월 삼척 개인별 STAT'!$D:$D, $D66, '4월 삼척 개인별 STAT'!$E:$E, $E66)</f>
        <v>3</v>
      </c>
      <c r="W66" s="20">
        <f>SUMIFS('3월 단양 개인별 STAT'!W:W, '3월 단양 개인별 STAT'!$D:$D, $D66, '3월 단양 개인별 STAT'!$E:$E, $E66) + SUMIFS('4월 삼척 개인별 STAT'!W:W, '4월 삼척 개인별 STAT'!$D:$D, $D66, '4월 삼척 개인별 STAT'!$E:$E, $E66)</f>
        <v>31</v>
      </c>
      <c r="X66" s="20">
        <f>SUMIFS('3월 단양 개인별 STAT'!X:X, '3월 단양 개인별 STAT'!$D:$D, $D66, '3월 단양 개인별 STAT'!$E:$E, $E66) + SUMIFS('4월 삼척 개인별 STAT'!X:X, '4월 삼척 개인별 STAT'!$D:$D, $D66, '4월 삼척 개인별 STAT'!$E:$E, $E66)</f>
        <v>2</v>
      </c>
      <c r="Y66" s="20">
        <f>SUMIFS('3월 단양 개인별 STAT'!Y:Y, '3월 단양 개인별 STAT'!$D:$D, $D66, '3월 단양 개인별 STAT'!$E:$E, $E66) + SUMIFS('4월 삼척 개인별 STAT'!Y:Y, '4월 삼척 개인별 STAT'!$D:$D, $D66, '4월 삼척 개인별 STAT'!$E:$E, $E66)</f>
        <v>6</v>
      </c>
      <c r="Z66" s="21">
        <f t="shared" si="5"/>
        <v>39</v>
      </c>
      <c r="AA66" s="20">
        <f>SUMIFS('3월 단양 개인별 STAT'!AA:AA, '3월 단양 개인별 STAT'!$D:$D, $D66, '3월 단양 개인별 STAT'!$E:$E, $E66) + SUMIFS('4월 삼척 개인별 STAT'!AA:AA, '4월 삼척 개인별 STAT'!$D:$D, $D66, '4월 삼척 개인별 STAT'!$E:$E, $E66)</f>
        <v>7</v>
      </c>
      <c r="AB66" s="21">
        <f t="shared" si="6"/>
        <v>4</v>
      </c>
      <c r="AC66" s="23">
        <f t="shared" si="7"/>
        <v>6.25</v>
      </c>
      <c r="AD66" s="21">
        <f t="shared" si="8"/>
        <v>9</v>
      </c>
      <c r="AE66" s="20">
        <f>SUMIFS('3월 단양 개인별 STAT'!AE:AE, '3월 단양 개인별 STAT'!$D:$D, $D66, '3월 단양 개인별 STAT'!$E:$E, $E66) + SUMIFS('4월 삼척 개인별 STAT'!AE:AE, '4월 삼척 개인별 STAT'!$D:$D, $D66, '4월 삼척 개인별 STAT'!$E:$E, $E66)</f>
        <v>2</v>
      </c>
      <c r="AF66" s="20">
        <f>SUMIFS('3월 단양 개인별 STAT'!AF:AF, '3월 단양 개인별 STAT'!$D:$D, $D66, '3월 단양 개인별 STAT'!$E:$E, $E66) + SUMIFS('4월 삼척 개인별 STAT'!AF:AF, '4월 삼척 개인별 STAT'!$D:$D, $D66, '4월 삼척 개인별 STAT'!$E:$E, $E66)</f>
        <v>7</v>
      </c>
      <c r="AG66" s="24">
        <f t="shared" si="9"/>
        <v>22.22222222</v>
      </c>
      <c r="AH66" s="20">
        <f>SUMIFS('3월 단양 개인별 STAT'!AH:AH, '3월 단양 개인별 STAT'!$D:$D, $D66, '3월 단양 개인별 STAT'!$E:$E, $E66) + SUMIFS('4월 삼척 개인별 STAT'!AH:AH, '4월 삼척 개인별 STAT'!$D:$D, $D66, '4월 삼척 개인별 STAT'!$E:$E, $E66)</f>
        <v>30</v>
      </c>
      <c r="AI66" s="22" t="str">
        <f t="shared" si="10"/>
        <v>2.50</v>
      </c>
      <c r="AJ66" s="25"/>
      <c r="AK66" s="26"/>
      <c r="AL66" s="27">
        <f t="shared" si="11"/>
        <v>0.1666666667</v>
      </c>
      <c r="AM66" s="27">
        <f t="shared" si="30"/>
        <v>1.083333333</v>
      </c>
      <c r="AN66" s="28">
        <f t="shared" si="13"/>
        <v>0.1538461538</v>
      </c>
      <c r="AO66" s="27">
        <f t="shared" si="14"/>
        <v>0</v>
      </c>
      <c r="AP66" s="27">
        <f t="shared" si="15"/>
        <v>0.1666666667</v>
      </c>
      <c r="AQ66" s="27">
        <f t="shared" ref="AQ66:AR66" si="80">iferror(AB66/$M66,"-")</f>
        <v>0.3333333333</v>
      </c>
      <c r="AR66" s="27">
        <f t="shared" si="80"/>
        <v>0.5208333333</v>
      </c>
      <c r="AS66" s="29">
        <f t="shared" si="17"/>
        <v>0.5833333333</v>
      </c>
      <c r="AT66" s="29" t="str">
        <f t="shared" si="18"/>
        <v>2.50</v>
      </c>
      <c r="AU66" s="26"/>
      <c r="AV66" s="26"/>
      <c r="AW66" s="26"/>
      <c r="AX66" s="26"/>
    </row>
    <row r="67">
      <c r="B67" s="17">
        <v>64.0</v>
      </c>
      <c r="C67" s="18">
        <f t="shared" si="2"/>
        <v>6</v>
      </c>
      <c r="D67" s="19" t="s">
        <v>114</v>
      </c>
      <c r="E67" s="19" t="s">
        <v>120</v>
      </c>
      <c r="F67" s="19">
        <v>3.0</v>
      </c>
      <c r="G67" s="19" t="s">
        <v>54</v>
      </c>
      <c r="H67" s="19" t="s">
        <v>48</v>
      </c>
      <c r="I67" s="19">
        <v>175.0</v>
      </c>
      <c r="J67" s="19">
        <v>69.0</v>
      </c>
      <c r="K67" s="20">
        <v>7.0</v>
      </c>
      <c r="L67" s="20">
        <f>SUMIFS('3월 단양 개인별 STAT'!L:L, '3월 단양 개인별 STAT'!$D:$D, $D67, '3월 단양 개인별 STAT'!$E:$E, $E67) + SUMIFS('4월 삼척 개인별 STAT'!L:L, '4월 삼척 개인별 STAT'!$D:$D, $D67, '4월 삼척 개인별 STAT'!$E:$E, $E67)</f>
        <v>1</v>
      </c>
      <c r="M67" s="20">
        <f>SUMIFS('3월 단양 개인별 STAT'!M:M, '3월 단양 개인별 STAT'!$D:$D, $D67, '3월 단양 개인별 STAT'!$E:$E, $E67) + SUMIFS('4월 삼척 개인별 STAT'!M:M, '4월 삼척 개인별 STAT'!$D:$D, $D67, '4월 삼척 개인별 STAT'!$E:$E, $E67)</f>
        <v>2</v>
      </c>
      <c r="N67" s="20">
        <f>SUMIFS('3월 단양 개인별 STAT'!N:N, '3월 단양 개인별 STAT'!$D:$D, $D67, '3월 단양 개인별 STAT'!$E:$E, $E67) + SUMIFS('4월 삼척 개인별 STAT'!N:N, '4월 삼척 개인별 STAT'!$D:$D, $D67, '4월 삼척 개인별 STAT'!$E:$E, $E67)</f>
        <v>0</v>
      </c>
      <c r="O67" s="20">
        <f>SUMIFS('3월 단양 개인별 STAT'!O:O, '3월 단양 개인별 STAT'!$D:$D, $D67, '3월 단양 개인별 STAT'!$E:$E, $E67) + SUMIFS('4월 삼척 개인별 STAT'!O:O, '4월 삼척 개인별 STAT'!$D:$D, $D67, '4월 삼척 개인별 STAT'!$E:$E, $E67)</f>
        <v>0</v>
      </c>
      <c r="P67" s="20">
        <f>SUMIFS('3월 단양 개인별 STAT'!P:P, '3월 단양 개인별 STAT'!$D:$D, $D67, '3월 단양 개인별 STAT'!$E:$E, $E67) + SUMIFS('4월 삼척 개인별 STAT'!P:P, '4월 삼척 개인별 STAT'!$D:$D, $D67, '4월 삼척 개인별 STAT'!$E:$E, $E67)</f>
        <v>1</v>
      </c>
      <c r="Q67" s="20">
        <f>SUMIFS('3월 단양 개인별 STAT'!Q:Q, '3월 단양 개인별 STAT'!$D:$D, $D67, '3월 단양 개인별 STAT'!$E:$E, $E67) + SUMIFS('4월 삼척 개인별 STAT'!Q:Q, '4월 삼척 개인별 STAT'!$D:$D, $D67, '4월 삼척 개인별 STAT'!$E:$E, $E67)</f>
        <v>0</v>
      </c>
      <c r="R67" s="21">
        <f t="shared" si="3"/>
        <v>1</v>
      </c>
      <c r="S67" s="22" t="str">
        <f t="shared" si="4"/>
        <v>-</v>
      </c>
      <c r="T67" s="20">
        <f>SUMIFS('3월 단양 개인별 STAT'!T:T, '3월 단양 개인별 STAT'!$D:$D, $D67, '3월 단양 개인별 STAT'!$E:$E, $E67) + SUMIFS('4월 삼척 개인별 STAT'!T:T, '4월 삼척 개인별 STAT'!$D:$D, $D67, '4월 삼척 개인별 STAT'!$E:$E, $E67)</f>
        <v>0</v>
      </c>
      <c r="U67" s="20">
        <f>SUMIFS('3월 단양 개인별 STAT'!U:U, '3월 단양 개인별 STAT'!$D:$D, $D67, '3월 단양 개인별 STAT'!$E:$E, $E67) + SUMIFS('4월 삼척 개인별 STAT'!U:U, '4월 삼척 개인별 STAT'!$D:$D, $D67, '4월 삼척 개인별 STAT'!$E:$E, $E67)</f>
        <v>0</v>
      </c>
      <c r="V67" s="20">
        <f>SUMIFS('3월 단양 개인별 STAT'!V:V, '3월 단양 개인별 STAT'!$D:$D, $D67, '3월 단양 개인별 STAT'!$E:$E, $E67) + SUMIFS('4월 삼척 개인별 STAT'!V:V, '4월 삼척 개인별 STAT'!$D:$D, $D67, '4월 삼척 개인별 STAT'!$E:$E, $E67)</f>
        <v>0</v>
      </c>
      <c r="W67" s="20">
        <f>SUMIFS('3월 단양 개인별 STAT'!W:W, '3월 단양 개인별 STAT'!$D:$D, $D67, '3월 단양 개인별 STAT'!$E:$E, $E67) + SUMIFS('4월 삼척 개인별 STAT'!W:W, '4월 삼척 개인별 STAT'!$D:$D, $D67, '4월 삼척 개인별 STAT'!$E:$E, $E67)</f>
        <v>1</v>
      </c>
      <c r="X67" s="20">
        <f>SUMIFS('3월 단양 개인별 STAT'!X:X, '3월 단양 개인별 STAT'!$D:$D, $D67, '3월 단양 개인별 STAT'!$E:$E, $E67) + SUMIFS('4월 삼척 개인별 STAT'!X:X, '4월 삼척 개인별 STAT'!$D:$D, $D67, '4월 삼척 개인별 STAT'!$E:$E, $E67)</f>
        <v>0</v>
      </c>
      <c r="Y67" s="20">
        <f>SUMIFS('3월 단양 개인별 STAT'!Y:Y, '3월 단양 개인별 STAT'!$D:$D, $D67, '3월 단양 개인별 STAT'!$E:$E, $E67) + SUMIFS('4월 삼척 개인별 STAT'!Y:Y, '4월 삼척 개인별 STAT'!$D:$D, $D67, '4월 삼척 개인별 STAT'!$E:$E, $E67)</f>
        <v>0</v>
      </c>
      <c r="Z67" s="21">
        <f t="shared" si="5"/>
        <v>1</v>
      </c>
      <c r="AA67" s="20">
        <f>SUMIFS('3월 단양 개인별 STAT'!AA:AA, '3월 단양 개인별 STAT'!$D:$D, $D67, '3월 단양 개인별 STAT'!$E:$E, $E67) + SUMIFS('4월 삼척 개인별 STAT'!AA:AA, '4월 삼척 개인별 STAT'!$D:$D, $D67, '4월 삼척 개인별 STAT'!$E:$E, $E67)</f>
        <v>0</v>
      </c>
      <c r="AB67" s="30" t="str">
        <f t="shared" si="6"/>
        <v>-</v>
      </c>
      <c r="AC67" s="23">
        <f t="shared" si="7"/>
        <v>0</v>
      </c>
      <c r="AD67" s="30" t="str">
        <f t="shared" si="8"/>
        <v>-</v>
      </c>
      <c r="AE67" s="20">
        <f>SUMIFS('3월 단양 개인별 STAT'!AE:AE, '3월 단양 개인별 STAT'!$D:$D, $D67, '3월 단양 개인별 STAT'!$E:$E, $E67) + SUMIFS('4월 삼척 개인별 STAT'!AE:AE, '4월 삼척 개인별 STAT'!$D:$D, $D67, '4월 삼척 개인별 STAT'!$E:$E, $E67)</f>
        <v>0</v>
      </c>
      <c r="AF67" s="20">
        <f>SUMIFS('3월 단양 개인별 STAT'!AF:AF, '3월 단양 개인별 STAT'!$D:$D, $D67, '3월 단양 개인별 STAT'!$E:$E, $E67) + SUMIFS('4월 삼척 개인별 STAT'!AF:AF, '4월 삼척 개인별 STAT'!$D:$D, $D67, '4월 삼척 개인별 STAT'!$E:$E, $E67)</f>
        <v>0</v>
      </c>
      <c r="AG67" s="24" t="str">
        <f t="shared" si="9"/>
        <v>-</v>
      </c>
      <c r="AH67" s="20">
        <f>SUMIFS('3월 단양 개인별 STAT'!AH:AH, '3월 단양 개인별 STAT'!$D:$D, $D67, '3월 단양 개인별 STAT'!$E:$E, $E67) + SUMIFS('4월 삼척 개인별 STAT'!AH:AH, '4월 삼척 개인별 STAT'!$D:$D, $D67, '4월 삼척 개인별 STAT'!$E:$E, $E67)</f>
        <v>0</v>
      </c>
      <c r="AI67" s="22" t="str">
        <f t="shared" si="10"/>
        <v>0</v>
      </c>
      <c r="AJ67" s="25"/>
      <c r="AK67" s="26"/>
      <c r="AL67" s="27">
        <f t="shared" si="11"/>
        <v>0</v>
      </c>
      <c r="AM67" s="27">
        <f t="shared" si="30"/>
        <v>0.5</v>
      </c>
      <c r="AN67" s="28">
        <f t="shared" si="13"/>
        <v>0</v>
      </c>
      <c r="AO67" s="27">
        <f t="shared" si="14"/>
        <v>0</v>
      </c>
      <c r="AP67" s="27">
        <f t="shared" si="15"/>
        <v>0</v>
      </c>
      <c r="AQ67" s="27" t="str">
        <f t="shared" ref="AQ67:AR67" si="81">iferror(AB67/$M67,"-")</f>
        <v>-</v>
      </c>
      <c r="AR67" s="27">
        <f t="shared" si="81"/>
        <v>0</v>
      </c>
      <c r="AS67" s="29">
        <f t="shared" si="17"/>
        <v>0</v>
      </c>
      <c r="AT67" s="29" t="str">
        <f t="shared" si="18"/>
        <v>0</v>
      </c>
      <c r="AU67" s="26"/>
      <c r="AV67" s="26"/>
      <c r="AW67" s="26"/>
      <c r="AX67" s="26"/>
    </row>
    <row r="68">
      <c r="B68" s="17">
        <v>65.0</v>
      </c>
      <c r="C68" s="18">
        <f t="shared" si="2"/>
        <v>7</v>
      </c>
      <c r="D68" s="19" t="s">
        <v>114</v>
      </c>
      <c r="E68" s="19" t="s">
        <v>121</v>
      </c>
      <c r="F68" s="19">
        <v>1.0</v>
      </c>
      <c r="G68" s="19" t="s">
        <v>57</v>
      </c>
      <c r="H68" s="19" t="s">
        <v>47</v>
      </c>
      <c r="I68" s="19">
        <v>183.0</v>
      </c>
      <c r="J68" s="19">
        <v>84.0</v>
      </c>
      <c r="K68" s="20">
        <v>8.0</v>
      </c>
      <c r="L68" s="20">
        <f>SUMIFS('3월 단양 개인별 STAT'!L:L, '3월 단양 개인별 STAT'!$D:$D, $D68, '3월 단양 개인별 STAT'!$E:$E, $E68) + SUMIFS('4월 삼척 개인별 STAT'!L:L, '4월 삼척 개인별 STAT'!$D:$D, $D68, '4월 삼척 개인별 STAT'!$E:$E, $E68)</f>
        <v>3</v>
      </c>
      <c r="M68" s="20">
        <f>SUMIFS('3월 단양 개인별 STAT'!M:M, '3월 단양 개인별 STAT'!$D:$D, $D68, '3월 단양 개인별 STAT'!$E:$E, $E68) + SUMIFS('4월 삼척 개인별 STAT'!M:M, '4월 삼척 개인별 STAT'!$D:$D, $D68, '4월 삼척 개인별 STAT'!$E:$E, $E68)</f>
        <v>12</v>
      </c>
      <c r="N68" s="20">
        <f>SUMIFS('3월 단양 개인별 STAT'!N:N, '3월 단양 개인별 STAT'!$D:$D, $D68, '3월 단양 개인별 STAT'!$E:$E, $E68) + SUMIFS('4월 삼척 개인별 STAT'!N:N, '4월 삼척 개인별 STAT'!$D:$D, $D68, '4월 삼척 개인별 STAT'!$E:$E, $E68)</f>
        <v>19</v>
      </c>
      <c r="O68" s="20">
        <f>SUMIFS('3월 단양 개인별 STAT'!O:O, '3월 단양 개인별 STAT'!$D:$D, $D68, '3월 단양 개인별 STAT'!$E:$E, $E68) + SUMIFS('4월 삼척 개인별 STAT'!O:O, '4월 삼척 개인별 STAT'!$D:$D, $D68, '4월 삼척 개인별 STAT'!$E:$E, $E68)</f>
        <v>3</v>
      </c>
      <c r="P68" s="20">
        <f>SUMIFS('3월 단양 개인별 STAT'!P:P, '3월 단양 개인별 STAT'!$D:$D, $D68, '3월 단양 개인별 STAT'!$E:$E, $E68) + SUMIFS('4월 삼척 개인별 STAT'!P:P, '4월 삼척 개인별 STAT'!$D:$D, $D68, '4월 삼척 개인별 STAT'!$E:$E, $E68)</f>
        <v>14</v>
      </c>
      <c r="Q68" s="20">
        <f>SUMIFS('3월 단양 개인별 STAT'!Q:Q, '3월 단양 개인별 STAT'!$D:$D, $D68, '3월 단양 개인별 STAT'!$E:$E, $E68) + SUMIFS('4월 삼척 개인별 STAT'!Q:Q, '4월 삼척 개인별 STAT'!$D:$D, $D68, '4월 삼척 개인별 STAT'!$E:$E, $E68)</f>
        <v>6</v>
      </c>
      <c r="R68" s="21">
        <f t="shared" si="3"/>
        <v>39</v>
      </c>
      <c r="S68" s="22">
        <f t="shared" si="4"/>
        <v>0.33</v>
      </c>
      <c r="T68" s="20">
        <f>SUMIFS('3월 단양 개인별 STAT'!T:T, '3월 단양 개인별 STAT'!$D:$D, $D68, '3월 단양 개인별 STAT'!$E:$E, $E68) + SUMIFS('4월 삼척 개인별 STAT'!T:T, '4월 삼척 개인별 STAT'!$D:$D, $D68, '4월 삼척 개인별 STAT'!$E:$E, $E68)</f>
        <v>2</v>
      </c>
      <c r="U68" s="20">
        <f>SUMIFS('3월 단양 개인별 STAT'!U:U, '3월 단양 개인별 STAT'!$D:$D, $D68, '3월 단양 개인별 STAT'!$E:$E, $E68) + SUMIFS('4월 삼척 개인별 STAT'!U:U, '4월 삼척 개인별 STAT'!$D:$D, $D68, '4월 삼척 개인별 STAT'!$E:$E, $E68)</f>
        <v>0</v>
      </c>
      <c r="V68" s="20">
        <f>SUMIFS('3월 단양 개인별 STAT'!V:V, '3월 단양 개인별 STAT'!$D:$D, $D68, '3월 단양 개인별 STAT'!$E:$E, $E68) + SUMIFS('4월 삼척 개인별 STAT'!V:V, '4월 삼척 개인별 STAT'!$D:$D, $D68, '4월 삼척 개인별 STAT'!$E:$E, $E68)</f>
        <v>4</v>
      </c>
      <c r="W68" s="20">
        <f>SUMIFS('3월 단양 개인별 STAT'!W:W, '3월 단양 개인별 STAT'!$D:$D, $D68, '3월 단양 개인별 STAT'!$E:$E, $E68) + SUMIFS('4월 삼척 개인별 STAT'!W:W, '4월 삼척 개인별 STAT'!$D:$D, $D68, '4월 삼척 개인별 STAT'!$E:$E, $E68)</f>
        <v>35</v>
      </c>
      <c r="X68" s="20">
        <f>SUMIFS('3월 단양 개인별 STAT'!X:X, '3월 단양 개인별 STAT'!$D:$D, $D68, '3월 단양 개인별 STAT'!$E:$E, $E68) + SUMIFS('4월 삼척 개인별 STAT'!X:X, '4월 삼척 개인별 STAT'!$D:$D, $D68, '4월 삼척 개인별 STAT'!$E:$E, $E68)</f>
        <v>0</v>
      </c>
      <c r="Y68" s="20">
        <f>SUMIFS('3월 단양 개인별 STAT'!Y:Y, '3월 단양 개인별 STAT'!$D:$D, $D68, '3월 단양 개인별 STAT'!$E:$E, $E68) + SUMIFS('4월 삼척 개인별 STAT'!Y:Y, '4월 삼척 개인별 STAT'!$D:$D, $D68, '4월 삼척 개인별 STAT'!$E:$E, $E68)</f>
        <v>2</v>
      </c>
      <c r="Z68" s="21">
        <f t="shared" si="5"/>
        <v>37</v>
      </c>
      <c r="AA68" s="20">
        <f>SUMIFS('3월 단양 개인별 STAT'!AA:AA, '3월 단양 개인별 STAT'!$D:$D, $D68, '3월 단양 개인별 STAT'!$E:$E, $E68) + SUMIFS('4월 삼척 개인별 STAT'!AA:AA, '4월 삼척 개인별 STAT'!$D:$D, $D68, '4월 삼척 개인별 STAT'!$E:$E, $E68)</f>
        <v>3</v>
      </c>
      <c r="AB68" s="21">
        <f t="shared" si="6"/>
        <v>21</v>
      </c>
      <c r="AC68" s="23">
        <f t="shared" si="7"/>
        <v>24</v>
      </c>
      <c r="AD68" s="21">
        <f t="shared" si="8"/>
        <v>5</v>
      </c>
      <c r="AE68" s="20">
        <f>SUMIFS('3월 단양 개인별 STAT'!AE:AE, '3월 단양 개인별 STAT'!$D:$D, $D68, '3월 단양 개인별 STAT'!$E:$E, $E68) + SUMIFS('4월 삼척 개인별 STAT'!AE:AE, '4월 삼척 개인별 STAT'!$D:$D, $D68, '4월 삼척 개인별 STAT'!$E:$E, $E68)</f>
        <v>2</v>
      </c>
      <c r="AF68" s="20">
        <f>SUMIFS('3월 단양 개인별 STAT'!AF:AF, '3월 단양 개인별 STAT'!$D:$D, $D68, '3월 단양 개인별 STAT'!$E:$E, $E68) + SUMIFS('4월 삼척 개인별 STAT'!AF:AF, '4월 삼척 개인별 STAT'!$D:$D, $D68, '4월 삼척 개인별 STAT'!$E:$E, $E68)</f>
        <v>3</v>
      </c>
      <c r="AG68" s="24">
        <f t="shared" si="9"/>
        <v>40</v>
      </c>
      <c r="AH68" s="20">
        <f>SUMIFS('3월 단양 개인별 STAT'!AH:AH, '3월 단양 개인별 STAT'!$D:$D, $D68, '3월 단양 개인별 STAT'!$E:$E, $E68) + SUMIFS('4월 삼척 개인별 STAT'!AH:AH, '4월 삼척 개인별 STAT'!$D:$D, $D68, '4월 삼척 개인별 STAT'!$E:$E, $E68)</f>
        <v>6</v>
      </c>
      <c r="AI68" s="22" t="str">
        <f t="shared" si="10"/>
        <v>0.50</v>
      </c>
      <c r="AJ68" s="25"/>
      <c r="AK68" s="26"/>
      <c r="AL68" s="27">
        <f t="shared" si="11"/>
        <v>1.583333333</v>
      </c>
      <c r="AM68" s="27">
        <f t="shared" si="30"/>
        <v>3.25</v>
      </c>
      <c r="AN68" s="28">
        <f t="shared" si="13"/>
        <v>0.4871794872</v>
      </c>
      <c r="AO68" s="27">
        <f t="shared" si="14"/>
        <v>0.1666666667</v>
      </c>
      <c r="AP68" s="27">
        <f t="shared" si="15"/>
        <v>0</v>
      </c>
      <c r="AQ68" s="27">
        <f t="shared" ref="AQ68:AR68" si="82">iferror(AB68/$M68,"-")</f>
        <v>1.75</v>
      </c>
      <c r="AR68" s="27">
        <f t="shared" si="82"/>
        <v>2</v>
      </c>
      <c r="AS68" s="29">
        <f t="shared" si="17"/>
        <v>0.25</v>
      </c>
      <c r="AT68" s="29" t="str">
        <f t="shared" si="18"/>
        <v>0.50</v>
      </c>
      <c r="AU68" s="26"/>
      <c r="AV68" s="26"/>
      <c r="AW68" s="26"/>
      <c r="AX68" s="26"/>
    </row>
    <row r="69">
      <c r="B69" s="17">
        <v>66.0</v>
      </c>
      <c r="C69" s="18">
        <f t="shared" si="2"/>
        <v>8</v>
      </c>
      <c r="D69" s="19" t="s">
        <v>114</v>
      </c>
      <c r="E69" s="19" t="s">
        <v>122</v>
      </c>
      <c r="F69" s="19">
        <v>1.0</v>
      </c>
      <c r="G69" s="19" t="s">
        <v>52</v>
      </c>
      <c r="H69" s="19" t="s">
        <v>57</v>
      </c>
      <c r="I69" s="19">
        <v>174.0</v>
      </c>
      <c r="J69" s="19">
        <v>69.0</v>
      </c>
      <c r="K69" s="20">
        <v>9.0</v>
      </c>
      <c r="L69" s="20">
        <f>SUMIFS('3월 단양 개인별 STAT'!L:L, '3월 단양 개인별 STAT'!$D:$D, $D69, '3월 단양 개인별 STAT'!$E:$E, $E69) + SUMIFS('4월 삼척 개인별 STAT'!L:L, '4월 삼척 개인별 STAT'!$D:$D, $D69, '4월 삼척 개인별 STAT'!$E:$E, $E69)</f>
        <v>3</v>
      </c>
      <c r="M69" s="20">
        <f>SUMIFS('3월 단양 개인별 STAT'!M:M, '3월 단양 개인별 STAT'!$D:$D, $D69, '3월 단양 개인별 STAT'!$E:$E, $E69) + SUMIFS('4월 삼척 개인별 STAT'!M:M, '4월 삼척 개인별 STAT'!$D:$D, $D69, '4월 삼척 개인별 STAT'!$E:$E, $E69)</f>
        <v>4</v>
      </c>
      <c r="N69" s="20">
        <f>SUMIFS('3월 단양 개인별 STAT'!N:N, '3월 단양 개인별 STAT'!$D:$D, $D69, '3월 단양 개인별 STAT'!$E:$E, $E69) + SUMIFS('4월 삼척 개인별 STAT'!N:N, '4월 삼척 개인별 STAT'!$D:$D, $D69, '4월 삼척 개인별 STAT'!$E:$E, $E69)</f>
        <v>0</v>
      </c>
      <c r="O69" s="20">
        <f>SUMIFS('3월 단양 개인별 STAT'!O:O, '3월 단양 개인별 STAT'!$D:$D, $D69, '3월 단양 개인별 STAT'!$E:$E, $E69) + SUMIFS('4월 삼척 개인별 STAT'!O:O, '4월 삼척 개인별 STAT'!$D:$D, $D69, '4월 삼척 개인별 STAT'!$E:$E, $E69)</f>
        <v>0</v>
      </c>
      <c r="P69" s="20">
        <f>SUMIFS('3월 단양 개인별 STAT'!P:P, '3월 단양 개인별 STAT'!$D:$D, $D69, '3월 단양 개인별 STAT'!$E:$E, $E69) + SUMIFS('4월 삼척 개인별 STAT'!P:P, '4월 삼척 개인별 STAT'!$D:$D, $D69, '4월 삼척 개인별 STAT'!$E:$E, $E69)</f>
        <v>2</v>
      </c>
      <c r="Q69" s="20">
        <f>SUMIFS('3월 단양 개인별 STAT'!Q:Q, '3월 단양 개인별 STAT'!$D:$D, $D69, '3월 단양 개인별 STAT'!$E:$E, $E69) + SUMIFS('4월 삼척 개인별 STAT'!Q:Q, '4월 삼척 개인별 STAT'!$D:$D, $D69, '4월 삼척 개인별 STAT'!$E:$E, $E69)</f>
        <v>0</v>
      </c>
      <c r="R69" s="21">
        <f t="shared" si="3"/>
        <v>2</v>
      </c>
      <c r="S69" s="22" t="str">
        <f t="shared" si="4"/>
        <v>-</v>
      </c>
      <c r="T69" s="20">
        <f>SUMIFS('3월 단양 개인별 STAT'!T:T, '3월 단양 개인별 STAT'!$D:$D, $D69, '3월 단양 개인별 STAT'!$E:$E, $E69) + SUMIFS('4월 삼척 개인별 STAT'!T:T, '4월 삼척 개인별 STAT'!$D:$D, $D69, '4월 삼척 개인별 STAT'!$E:$E, $E69)</f>
        <v>0</v>
      </c>
      <c r="U69" s="20">
        <f>SUMIFS('3월 단양 개인별 STAT'!U:U, '3월 단양 개인별 STAT'!$D:$D, $D69, '3월 단양 개인별 STAT'!$E:$E, $E69) + SUMIFS('4월 삼척 개인별 STAT'!U:U, '4월 삼척 개인별 STAT'!$D:$D, $D69, '4월 삼척 개인별 STAT'!$E:$E, $E69)</f>
        <v>0</v>
      </c>
      <c r="V69" s="20">
        <f>SUMIFS('3월 단양 개인별 STAT'!V:V, '3월 단양 개인별 STAT'!$D:$D, $D69, '3월 단양 개인별 STAT'!$E:$E, $E69) + SUMIFS('4월 삼척 개인별 STAT'!V:V, '4월 삼척 개인별 STAT'!$D:$D, $D69, '4월 삼척 개인별 STAT'!$E:$E, $E69)</f>
        <v>0</v>
      </c>
      <c r="W69" s="20">
        <f>SUMIFS('3월 단양 개인별 STAT'!W:W, '3월 단양 개인별 STAT'!$D:$D, $D69, '3월 단양 개인별 STAT'!$E:$E, $E69) + SUMIFS('4월 삼척 개인별 STAT'!W:W, '4월 삼척 개인별 STAT'!$D:$D, $D69, '4월 삼척 개인별 STAT'!$E:$E, $E69)</f>
        <v>4</v>
      </c>
      <c r="X69" s="20">
        <f>SUMIFS('3월 단양 개인별 STAT'!X:X, '3월 단양 개인별 STAT'!$D:$D, $D69, '3월 단양 개인별 STAT'!$E:$E, $E69) + SUMIFS('4월 삼척 개인별 STAT'!X:X, '4월 삼척 개인별 STAT'!$D:$D, $D69, '4월 삼척 개인별 STAT'!$E:$E, $E69)</f>
        <v>0</v>
      </c>
      <c r="Y69" s="20">
        <f>SUMIFS('3월 단양 개인별 STAT'!Y:Y, '3월 단양 개인별 STAT'!$D:$D, $D69, '3월 단양 개인별 STAT'!$E:$E, $E69) + SUMIFS('4월 삼척 개인별 STAT'!Y:Y, '4월 삼척 개인별 STAT'!$D:$D, $D69, '4월 삼척 개인별 STAT'!$E:$E, $E69)</f>
        <v>1</v>
      </c>
      <c r="Z69" s="21">
        <f t="shared" si="5"/>
        <v>5</v>
      </c>
      <c r="AA69" s="20">
        <f>SUMIFS('3월 단양 개인별 STAT'!AA:AA, '3월 단양 개인별 STAT'!$D:$D, $D69, '3월 단양 개인별 STAT'!$E:$E, $E69) + SUMIFS('4월 삼척 개인별 STAT'!AA:AA, '4월 삼척 개인별 STAT'!$D:$D, $D69, '4월 삼척 개인별 STAT'!$E:$E, $E69)</f>
        <v>0</v>
      </c>
      <c r="AB69" s="30" t="str">
        <f t="shared" si="6"/>
        <v>-</v>
      </c>
      <c r="AC69" s="23">
        <f t="shared" si="7"/>
        <v>0</v>
      </c>
      <c r="AD69" s="21">
        <f t="shared" si="8"/>
        <v>1</v>
      </c>
      <c r="AE69" s="20">
        <f>SUMIFS('3월 단양 개인별 STAT'!AE:AE, '3월 단양 개인별 STAT'!$D:$D, $D69, '3월 단양 개인별 STAT'!$E:$E, $E69) + SUMIFS('4월 삼척 개인별 STAT'!AE:AE, '4월 삼척 개인별 STAT'!$D:$D, $D69, '4월 삼척 개인별 STAT'!$E:$E, $E69)</f>
        <v>1</v>
      </c>
      <c r="AF69" s="20">
        <f>SUMIFS('3월 단양 개인별 STAT'!AF:AF, '3월 단양 개인별 STAT'!$D:$D, $D69, '3월 단양 개인별 STAT'!$E:$E, $E69) + SUMIFS('4월 삼척 개인별 STAT'!AF:AF, '4월 삼척 개인별 STAT'!$D:$D, $D69, '4월 삼척 개인별 STAT'!$E:$E, $E69)</f>
        <v>0</v>
      </c>
      <c r="AG69" s="24">
        <f t="shared" si="9"/>
        <v>100</v>
      </c>
      <c r="AH69" s="20">
        <f>SUMIFS('3월 단양 개인별 STAT'!AH:AH, '3월 단양 개인별 STAT'!$D:$D, $D69, '3월 단양 개인별 STAT'!$E:$E, $E69) + SUMIFS('4월 삼척 개인별 STAT'!AH:AH, '4월 삼척 개인별 STAT'!$D:$D, $D69, '4월 삼척 개인별 STAT'!$E:$E, $E69)</f>
        <v>0</v>
      </c>
      <c r="AI69" s="22" t="str">
        <f t="shared" si="10"/>
        <v>0</v>
      </c>
      <c r="AJ69" s="25"/>
      <c r="AK69" s="26"/>
      <c r="AL69" s="27">
        <f t="shared" si="11"/>
        <v>0</v>
      </c>
      <c r="AM69" s="27">
        <f t="shared" si="30"/>
        <v>0.5</v>
      </c>
      <c r="AN69" s="28">
        <f t="shared" si="13"/>
        <v>0</v>
      </c>
      <c r="AO69" s="27">
        <f t="shared" si="14"/>
        <v>0</v>
      </c>
      <c r="AP69" s="27">
        <f t="shared" si="15"/>
        <v>0</v>
      </c>
      <c r="AQ69" s="27" t="str">
        <f t="shared" ref="AQ69:AR69" si="83">iferror(AB69/$M69,"-")</f>
        <v>-</v>
      </c>
      <c r="AR69" s="27">
        <f t="shared" si="83"/>
        <v>0</v>
      </c>
      <c r="AS69" s="29">
        <f t="shared" si="17"/>
        <v>0</v>
      </c>
      <c r="AT69" s="29" t="str">
        <f t="shared" si="18"/>
        <v>0</v>
      </c>
      <c r="AU69" s="26"/>
      <c r="AV69" s="26"/>
      <c r="AW69" s="26"/>
      <c r="AX69" s="26"/>
    </row>
    <row r="70">
      <c r="B70" s="17">
        <v>67.0</v>
      </c>
      <c r="C70" s="18">
        <f t="shared" si="2"/>
        <v>9</v>
      </c>
      <c r="D70" s="19" t="s">
        <v>114</v>
      </c>
      <c r="E70" s="19" t="s">
        <v>123</v>
      </c>
      <c r="F70" s="19">
        <v>3.0</v>
      </c>
      <c r="G70" s="19" t="s">
        <v>57</v>
      </c>
      <c r="H70" s="19" t="s">
        <v>52</v>
      </c>
      <c r="I70" s="19">
        <v>172.0</v>
      </c>
      <c r="J70" s="19">
        <v>70.0</v>
      </c>
      <c r="K70" s="20">
        <v>11.0</v>
      </c>
      <c r="L70" s="20">
        <f>SUMIFS('3월 단양 개인별 STAT'!L:L, '3월 단양 개인별 STAT'!$D:$D, $D70, '3월 단양 개인별 STAT'!$E:$E, $E70) + SUMIFS('4월 삼척 개인별 STAT'!L:L, '4월 삼척 개인별 STAT'!$D:$D, $D70, '4월 삼척 개인별 STAT'!$E:$E, $E70)</f>
        <v>3</v>
      </c>
      <c r="M70" s="20">
        <f>SUMIFS('3월 단양 개인별 STAT'!M:M, '3월 단양 개인별 STAT'!$D:$D, $D70, '3월 단양 개인별 STAT'!$E:$E, $E70) + SUMIFS('4월 삼척 개인별 STAT'!M:M, '4월 삼척 개인별 STAT'!$D:$D, $D70, '4월 삼척 개인별 STAT'!$E:$E, $E70)</f>
        <v>12</v>
      </c>
      <c r="N70" s="20">
        <f>SUMIFS('3월 단양 개인별 STAT'!N:N, '3월 단양 개인별 STAT'!$D:$D, $D70, '3월 단양 개인별 STAT'!$E:$E, $E70) + SUMIFS('4월 삼척 개인별 STAT'!N:N, '4월 삼척 개인별 STAT'!$D:$D, $D70, '4월 삼척 개인별 STAT'!$E:$E, $E70)</f>
        <v>37</v>
      </c>
      <c r="O70" s="20">
        <f>SUMIFS('3월 단양 개인별 STAT'!O:O, '3월 단양 개인별 STAT'!$D:$D, $D70, '3월 단양 개인별 STAT'!$E:$E, $E70) + SUMIFS('4월 삼척 개인별 STAT'!O:O, '4월 삼척 개인별 STAT'!$D:$D, $D70, '4월 삼척 개인별 STAT'!$E:$E, $E70)</f>
        <v>4</v>
      </c>
      <c r="P70" s="20">
        <f>SUMIFS('3월 단양 개인별 STAT'!P:P, '3월 단양 개인별 STAT'!$D:$D, $D70, '3월 단양 개인별 STAT'!$E:$E, $E70) + SUMIFS('4월 삼척 개인별 STAT'!P:P, '4월 삼척 개인별 STAT'!$D:$D, $D70, '4월 삼척 개인별 STAT'!$E:$E, $E70)</f>
        <v>38</v>
      </c>
      <c r="Q70" s="20">
        <f>SUMIFS('3월 단양 개인별 STAT'!Q:Q, '3월 단양 개인별 STAT'!$D:$D, $D70, '3월 단양 개인별 STAT'!$E:$E, $E70) + SUMIFS('4월 삼척 개인별 STAT'!Q:Q, '4월 삼척 개인별 STAT'!$D:$D, $D70, '4월 삼척 개인별 STAT'!$E:$E, $E70)</f>
        <v>21</v>
      </c>
      <c r="R70" s="21">
        <f t="shared" si="3"/>
        <v>96</v>
      </c>
      <c r="S70" s="22">
        <f t="shared" si="4"/>
        <v>0.17</v>
      </c>
      <c r="T70" s="20">
        <f>SUMIFS('3월 단양 개인별 STAT'!T:T, '3월 단양 개인별 STAT'!$D:$D, $D70, '3월 단양 개인별 STAT'!$E:$E, $E70) + SUMIFS('4월 삼척 개인별 STAT'!T:T, '4월 삼척 개인별 STAT'!$D:$D, $D70, '4월 삼척 개인별 STAT'!$E:$E, $E70)</f>
        <v>2</v>
      </c>
      <c r="U70" s="20">
        <f>SUMIFS('3월 단양 개인별 STAT'!U:U, '3월 단양 개인별 STAT'!$D:$D, $D70, '3월 단양 개인별 STAT'!$E:$E, $E70) + SUMIFS('4월 삼척 개인별 STAT'!U:U, '4월 삼척 개인별 STAT'!$D:$D, $D70, '4월 삼척 개인별 STAT'!$E:$E, $E70)</f>
        <v>0</v>
      </c>
      <c r="V70" s="20">
        <f>SUMIFS('3월 단양 개인별 STAT'!V:V, '3월 단양 개인별 STAT'!$D:$D, $D70, '3월 단양 개인별 STAT'!$E:$E, $E70) + SUMIFS('4월 삼척 개인별 STAT'!V:V, '4월 삼척 개인별 STAT'!$D:$D, $D70, '4월 삼척 개인별 STAT'!$E:$E, $E70)</f>
        <v>0</v>
      </c>
      <c r="W70" s="20">
        <f>SUMIFS('3월 단양 개인별 STAT'!W:W, '3월 단양 개인별 STAT'!$D:$D, $D70, '3월 단양 개인별 STAT'!$E:$E, $E70) + SUMIFS('4월 삼척 개인별 STAT'!W:W, '4월 삼척 개인별 STAT'!$D:$D, $D70, '4월 삼척 개인별 STAT'!$E:$E, $E70)</f>
        <v>37</v>
      </c>
      <c r="X70" s="20">
        <f>SUMIFS('3월 단양 개인별 STAT'!X:X, '3월 단양 개인별 STAT'!$D:$D, $D70, '3월 단양 개인별 STAT'!$E:$E, $E70) + SUMIFS('4월 삼척 개인별 STAT'!X:X, '4월 삼척 개인별 STAT'!$D:$D, $D70, '4월 삼척 개인별 STAT'!$E:$E, $E70)</f>
        <v>2</v>
      </c>
      <c r="Y70" s="20">
        <f>SUMIFS('3월 단양 개인별 STAT'!Y:Y, '3월 단양 개인별 STAT'!$D:$D, $D70, '3월 단양 개인별 STAT'!$E:$E, $E70) + SUMIFS('4월 삼척 개인별 STAT'!Y:Y, '4월 삼척 개인별 STAT'!$D:$D, $D70, '4월 삼척 개인별 STAT'!$E:$E, $E70)</f>
        <v>7</v>
      </c>
      <c r="Z70" s="21">
        <f t="shared" si="5"/>
        <v>46</v>
      </c>
      <c r="AA70" s="20">
        <f>SUMIFS('3월 단양 개인별 STAT'!AA:AA, '3월 단양 개인별 STAT'!$D:$D, $D70, '3월 단양 개인별 STAT'!$E:$E, $E70) + SUMIFS('4월 삼척 개인별 STAT'!AA:AA, '4월 삼척 개인별 STAT'!$D:$D, $D70, '4월 삼척 개인별 STAT'!$E:$E, $E70)</f>
        <v>3</v>
      </c>
      <c r="AB70" s="21">
        <f t="shared" si="6"/>
        <v>41</v>
      </c>
      <c r="AC70" s="23">
        <f t="shared" si="7"/>
        <v>41</v>
      </c>
      <c r="AD70" s="21">
        <f t="shared" si="8"/>
        <v>19</v>
      </c>
      <c r="AE70" s="20">
        <f>SUMIFS('3월 단양 개인별 STAT'!AE:AE, '3월 단양 개인별 STAT'!$D:$D, $D70, '3월 단양 개인별 STAT'!$E:$E, $E70) + SUMIFS('4월 삼척 개인별 STAT'!AE:AE, '4월 삼척 개인별 STAT'!$D:$D, $D70, '4월 삼척 개인별 STAT'!$E:$E, $E70)</f>
        <v>14</v>
      </c>
      <c r="AF70" s="20">
        <f>SUMIFS('3월 단양 개인별 STAT'!AF:AF, '3월 단양 개인별 STAT'!$D:$D, $D70, '3월 단양 개인별 STAT'!$E:$E, $E70) + SUMIFS('4월 삼척 개인별 STAT'!AF:AF, '4월 삼척 개인별 STAT'!$D:$D, $D70, '4월 삼척 개인별 STAT'!$E:$E, $E70)</f>
        <v>5</v>
      </c>
      <c r="AG70" s="24">
        <f t="shared" si="9"/>
        <v>73.68421053</v>
      </c>
      <c r="AH70" s="20">
        <f>SUMIFS('3월 단양 개인별 STAT'!AH:AH, '3월 단양 개인별 STAT'!$D:$D, $D70, '3월 단양 개인별 STAT'!$E:$E, $E70) + SUMIFS('4월 삼척 개인별 STAT'!AH:AH, '4월 삼척 개인별 STAT'!$D:$D, $D70, '4월 삼척 개인별 STAT'!$E:$E, $E70)</f>
        <v>19</v>
      </c>
      <c r="AI70" s="22" t="str">
        <f t="shared" si="10"/>
        <v>1.58</v>
      </c>
      <c r="AJ70" s="25"/>
      <c r="AK70" s="26"/>
      <c r="AL70" s="27">
        <f t="shared" si="11"/>
        <v>3.083333333</v>
      </c>
      <c r="AM70" s="27">
        <f t="shared" si="30"/>
        <v>8</v>
      </c>
      <c r="AN70" s="28">
        <f t="shared" si="13"/>
        <v>0.3854166667</v>
      </c>
      <c r="AO70" s="27">
        <f t="shared" si="14"/>
        <v>0.1666666667</v>
      </c>
      <c r="AP70" s="27">
        <f t="shared" si="15"/>
        <v>0.1666666667</v>
      </c>
      <c r="AQ70" s="27">
        <f t="shared" ref="AQ70:AR70" si="84">iferror(AB70/$M70,"-")</f>
        <v>3.416666667</v>
      </c>
      <c r="AR70" s="27">
        <f t="shared" si="84"/>
        <v>3.416666667</v>
      </c>
      <c r="AS70" s="29">
        <f t="shared" si="17"/>
        <v>0.4166666667</v>
      </c>
      <c r="AT70" s="29" t="str">
        <f t="shared" si="18"/>
        <v>1.58</v>
      </c>
      <c r="AU70" s="26"/>
      <c r="AV70" s="26"/>
      <c r="AW70" s="26"/>
      <c r="AX70" s="26"/>
    </row>
    <row r="71">
      <c r="B71" s="17">
        <v>68.0</v>
      </c>
      <c r="C71" s="18">
        <f t="shared" si="2"/>
        <v>10</v>
      </c>
      <c r="D71" s="19" t="s">
        <v>114</v>
      </c>
      <c r="E71" s="19" t="s">
        <v>124</v>
      </c>
      <c r="F71" s="19">
        <v>1.0</v>
      </c>
      <c r="G71" s="19" t="s">
        <v>50</v>
      </c>
      <c r="H71" s="19" t="s">
        <v>48</v>
      </c>
      <c r="I71" s="19">
        <v>159.0</v>
      </c>
      <c r="J71" s="19">
        <v>49.0</v>
      </c>
      <c r="K71" s="20">
        <v>12.0</v>
      </c>
      <c r="L71" s="20">
        <f>SUMIFS('3월 단양 개인별 STAT'!L:L, '3월 단양 개인별 STAT'!$D:$D, $D71, '3월 단양 개인별 STAT'!$E:$E, $E71) + SUMIFS('4월 삼척 개인별 STAT'!L:L, '4월 삼척 개인별 STAT'!$D:$D, $D71, '4월 삼척 개인별 STAT'!$E:$E, $E71)</f>
        <v>3</v>
      </c>
      <c r="M71" s="20">
        <f>SUMIFS('3월 단양 개인별 STAT'!M:M, '3월 단양 개인별 STAT'!$D:$D, $D71, '3월 단양 개인별 STAT'!$E:$E, $E71) + SUMIFS('4월 삼척 개인별 STAT'!M:M, '4월 삼척 개인별 STAT'!$D:$D, $D71, '4월 삼척 개인별 STAT'!$E:$E, $E71)</f>
        <v>11</v>
      </c>
      <c r="N71" s="20">
        <f>SUMIFS('3월 단양 개인별 STAT'!N:N, '3월 단양 개인별 STAT'!$D:$D, $D71, '3월 단양 개인별 STAT'!$E:$E, $E71) + SUMIFS('4월 삼척 개인별 STAT'!N:N, '4월 삼척 개인별 STAT'!$D:$D, $D71, '4월 삼척 개인별 STAT'!$E:$E, $E71)</f>
        <v>0</v>
      </c>
      <c r="O71" s="20">
        <f>SUMIFS('3월 단양 개인별 STAT'!O:O, '3월 단양 개인별 STAT'!$D:$D, $D71, '3월 단양 개인별 STAT'!$E:$E, $E71) + SUMIFS('4월 삼척 개인별 STAT'!O:O, '4월 삼척 개인별 STAT'!$D:$D, $D71, '4월 삼척 개인별 STAT'!$E:$E, $E71)</f>
        <v>2</v>
      </c>
      <c r="P71" s="20">
        <f>SUMIFS('3월 단양 개인별 STAT'!P:P, '3월 단양 개인별 STAT'!$D:$D, $D71, '3월 단양 개인별 STAT'!$E:$E, $E71) + SUMIFS('4월 삼척 개인별 STAT'!P:P, '4월 삼척 개인별 STAT'!$D:$D, $D71, '4월 삼척 개인별 STAT'!$E:$E, $E71)</f>
        <v>0</v>
      </c>
      <c r="Q71" s="20">
        <f>SUMIFS('3월 단양 개인별 STAT'!Q:Q, '3월 단양 개인별 STAT'!$D:$D, $D71, '3월 단양 개인별 STAT'!$E:$E, $E71) + SUMIFS('4월 삼척 개인별 STAT'!Q:Q, '4월 삼척 개인별 STAT'!$D:$D, $D71, '4월 삼척 개인별 STAT'!$E:$E, $E71)</f>
        <v>0</v>
      </c>
      <c r="R71" s="30" t="str">
        <f t="shared" si="3"/>
        <v>-</v>
      </c>
      <c r="S71" s="22" t="str">
        <f t="shared" si="4"/>
        <v>-</v>
      </c>
      <c r="T71" s="20">
        <f>SUMIFS('3월 단양 개인별 STAT'!T:T, '3월 단양 개인별 STAT'!$D:$D, $D71, '3월 단양 개인별 STAT'!$E:$E, $E71) + SUMIFS('4월 삼척 개인별 STAT'!T:T, '4월 삼척 개인별 STAT'!$D:$D, $D71, '4월 삼척 개인별 STAT'!$E:$E, $E71)</f>
        <v>0</v>
      </c>
      <c r="U71" s="20">
        <f>SUMIFS('3월 단양 개인별 STAT'!U:U, '3월 단양 개인별 STAT'!$D:$D, $D71, '3월 단양 개인별 STAT'!$E:$E, $E71) + SUMIFS('4월 삼척 개인별 STAT'!U:U, '4월 삼척 개인별 STAT'!$D:$D, $D71, '4월 삼척 개인별 STAT'!$E:$E, $E71)</f>
        <v>0</v>
      </c>
      <c r="V71" s="20">
        <f>SUMIFS('3월 단양 개인별 STAT'!V:V, '3월 단양 개인별 STAT'!$D:$D, $D71, '3월 단양 개인별 STAT'!$E:$E, $E71) + SUMIFS('4월 삼척 개인별 STAT'!V:V, '4월 삼척 개인별 STAT'!$D:$D, $D71, '4월 삼척 개인별 STAT'!$E:$E, $E71)</f>
        <v>0</v>
      </c>
      <c r="W71" s="20">
        <f>SUMIFS('3월 단양 개인별 STAT'!W:W, '3월 단양 개인별 STAT'!$D:$D, $D71, '3월 단양 개인별 STAT'!$E:$E, $E71) + SUMIFS('4월 삼척 개인별 STAT'!W:W, '4월 삼척 개인별 STAT'!$D:$D, $D71, '4월 삼척 개인별 STAT'!$E:$E, $E71)</f>
        <v>0</v>
      </c>
      <c r="X71" s="20">
        <f>SUMIFS('3월 단양 개인별 STAT'!X:X, '3월 단양 개인별 STAT'!$D:$D, $D71, '3월 단양 개인별 STAT'!$E:$E, $E71) + SUMIFS('4월 삼척 개인별 STAT'!X:X, '4월 삼척 개인별 STAT'!$D:$D, $D71, '4월 삼척 개인별 STAT'!$E:$E, $E71)</f>
        <v>0</v>
      </c>
      <c r="Y71" s="20">
        <f>SUMIFS('3월 단양 개인별 STAT'!Y:Y, '3월 단양 개인별 STAT'!$D:$D, $D71, '3월 단양 개인별 STAT'!$E:$E, $E71) + SUMIFS('4월 삼척 개인별 STAT'!Y:Y, '4월 삼척 개인별 STAT'!$D:$D, $D71, '4월 삼척 개인별 STAT'!$E:$E, $E71)</f>
        <v>0</v>
      </c>
      <c r="Z71" s="30" t="str">
        <f t="shared" si="5"/>
        <v>-</v>
      </c>
      <c r="AA71" s="20">
        <f>SUMIFS('3월 단양 개인별 STAT'!AA:AA, '3월 단양 개인별 STAT'!$D:$D, $D71, '3월 단양 개인별 STAT'!$E:$E, $E71) + SUMIFS('4월 삼척 개인별 STAT'!AA:AA, '4월 삼척 개인별 STAT'!$D:$D, $D71, '4월 삼척 개인별 STAT'!$E:$E, $E71)</f>
        <v>0</v>
      </c>
      <c r="AB71" s="30" t="str">
        <f t="shared" si="6"/>
        <v>-</v>
      </c>
      <c r="AC71" s="23">
        <f t="shared" si="7"/>
        <v>0</v>
      </c>
      <c r="AD71" s="21">
        <f t="shared" si="8"/>
        <v>58</v>
      </c>
      <c r="AE71" s="20">
        <f>SUMIFS('3월 단양 개인별 STAT'!AE:AE, '3월 단양 개인별 STAT'!$D:$D, $D71, '3월 단양 개인별 STAT'!$E:$E, $E71) + SUMIFS('4월 삼척 개인별 STAT'!AE:AE, '4월 삼척 개인별 STAT'!$D:$D, $D71, '4월 삼척 개인별 STAT'!$E:$E, $E71)</f>
        <v>55</v>
      </c>
      <c r="AF71" s="20">
        <f>SUMIFS('3월 단양 개인별 STAT'!AF:AF, '3월 단양 개인별 STAT'!$D:$D, $D71, '3월 단양 개인별 STAT'!$E:$E, $E71) + SUMIFS('4월 삼척 개인별 STAT'!AF:AF, '4월 삼척 개인별 STAT'!$D:$D, $D71, '4월 삼척 개인별 STAT'!$E:$E, $E71)</f>
        <v>3</v>
      </c>
      <c r="AG71" s="24">
        <f t="shared" si="9"/>
        <v>94.82758621</v>
      </c>
      <c r="AH71" s="20">
        <f>SUMIFS('3월 단양 개인별 STAT'!AH:AH, '3월 단양 개인별 STAT'!$D:$D, $D71, '3월 단양 개인별 STAT'!$E:$E, $E71) + SUMIFS('4월 삼척 개인별 STAT'!AH:AH, '4월 삼척 개인별 STAT'!$D:$D, $D71, '4월 삼척 개인별 STAT'!$E:$E, $E71)</f>
        <v>24</v>
      </c>
      <c r="AI71" s="22" t="str">
        <f t="shared" si="10"/>
        <v>2.18</v>
      </c>
      <c r="AJ71" s="25"/>
      <c r="AK71" s="26"/>
      <c r="AL71" s="27">
        <f t="shared" si="11"/>
        <v>0</v>
      </c>
      <c r="AM71" s="27" t="str">
        <f t="shared" si="30"/>
        <v>-</v>
      </c>
      <c r="AN71" s="28" t="str">
        <f t="shared" si="13"/>
        <v>-</v>
      </c>
      <c r="AO71" s="27">
        <f t="shared" si="14"/>
        <v>0</v>
      </c>
      <c r="AP71" s="27">
        <f t="shared" si="15"/>
        <v>0</v>
      </c>
      <c r="AQ71" s="27" t="str">
        <f t="shared" ref="AQ71:AR71" si="85">iferror(AB71/$M71,"-")</f>
        <v>-</v>
      </c>
      <c r="AR71" s="27">
        <f t="shared" si="85"/>
        <v>0</v>
      </c>
      <c r="AS71" s="29">
        <f t="shared" si="17"/>
        <v>0.2727272727</v>
      </c>
      <c r="AT71" s="29" t="str">
        <f t="shared" si="18"/>
        <v>2.18</v>
      </c>
      <c r="AU71" s="26"/>
      <c r="AV71" s="26"/>
      <c r="AW71" s="26"/>
      <c r="AX71" s="26"/>
    </row>
    <row r="72">
      <c r="B72" s="17">
        <v>69.0</v>
      </c>
      <c r="C72" s="18">
        <f t="shared" si="2"/>
        <v>11</v>
      </c>
      <c r="D72" s="19" t="s">
        <v>114</v>
      </c>
      <c r="E72" s="19" t="s">
        <v>125</v>
      </c>
      <c r="F72" s="19">
        <v>2.0</v>
      </c>
      <c r="G72" s="19" t="s">
        <v>52</v>
      </c>
      <c r="H72" s="19" t="s">
        <v>57</v>
      </c>
      <c r="I72" s="19">
        <v>176.0</v>
      </c>
      <c r="J72" s="19">
        <v>68.0</v>
      </c>
      <c r="K72" s="20">
        <v>13.0</v>
      </c>
      <c r="L72" s="20">
        <f>SUMIFS('3월 단양 개인별 STAT'!L:L, '3월 단양 개인별 STAT'!$D:$D, $D72, '3월 단양 개인별 STAT'!$E:$E, $E72) + SUMIFS('4월 삼척 개인별 STAT'!L:L, '4월 삼척 개인별 STAT'!$D:$D, $D72, '4월 삼척 개인별 STAT'!$E:$E, $E72)</f>
        <v>3</v>
      </c>
      <c r="M72" s="20">
        <f>SUMIFS('3월 단양 개인별 STAT'!M:M, '3월 단양 개인별 STAT'!$D:$D, $D72, '3월 단양 개인별 STAT'!$E:$E, $E72) + SUMIFS('4월 삼척 개인별 STAT'!M:M, '4월 삼척 개인별 STAT'!$D:$D, $D72, '4월 삼척 개인별 STAT'!$E:$E, $E72)</f>
        <v>5</v>
      </c>
      <c r="N72" s="20">
        <f>SUMIFS('3월 단양 개인별 STAT'!N:N, '3월 단양 개인별 STAT'!$D:$D, $D72, '3월 단양 개인별 STAT'!$E:$E, $E72) + SUMIFS('4월 삼척 개인별 STAT'!N:N, '4월 삼척 개인별 STAT'!$D:$D, $D72, '4월 삼척 개인별 STAT'!$E:$E, $E72)</f>
        <v>0</v>
      </c>
      <c r="O72" s="20">
        <f>SUMIFS('3월 단양 개인별 STAT'!O:O, '3월 단양 개인별 STAT'!$D:$D, $D72, '3월 단양 개인별 STAT'!$E:$E, $E72) + SUMIFS('4월 삼척 개인별 STAT'!O:O, '4월 삼척 개인별 STAT'!$D:$D, $D72, '4월 삼척 개인별 STAT'!$E:$E, $E72)</f>
        <v>0</v>
      </c>
      <c r="P72" s="20">
        <f>SUMIFS('3월 단양 개인별 STAT'!P:P, '3월 단양 개인별 STAT'!$D:$D, $D72, '3월 단양 개인별 STAT'!$E:$E, $E72) + SUMIFS('4월 삼척 개인별 STAT'!P:P, '4월 삼척 개인별 STAT'!$D:$D, $D72, '4월 삼척 개인별 STAT'!$E:$E, $E72)</f>
        <v>0</v>
      </c>
      <c r="Q72" s="20">
        <f>SUMIFS('3월 단양 개인별 STAT'!Q:Q, '3월 단양 개인별 STAT'!$D:$D, $D72, '3월 단양 개인별 STAT'!$E:$E, $E72) + SUMIFS('4월 삼척 개인별 STAT'!Q:Q, '4월 삼척 개인별 STAT'!$D:$D, $D72, '4월 삼척 개인별 STAT'!$E:$E, $E72)</f>
        <v>0</v>
      </c>
      <c r="R72" s="30" t="str">
        <f t="shared" si="3"/>
        <v>-</v>
      </c>
      <c r="S72" s="22" t="str">
        <f t="shared" si="4"/>
        <v>-</v>
      </c>
      <c r="T72" s="20">
        <f>SUMIFS('3월 단양 개인별 STAT'!T:T, '3월 단양 개인별 STAT'!$D:$D, $D72, '3월 단양 개인별 STAT'!$E:$E, $E72) + SUMIFS('4월 삼척 개인별 STAT'!T:T, '4월 삼척 개인별 STAT'!$D:$D, $D72, '4월 삼척 개인별 STAT'!$E:$E, $E72)</f>
        <v>0</v>
      </c>
      <c r="U72" s="20">
        <f>SUMIFS('3월 단양 개인별 STAT'!U:U, '3월 단양 개인별 STAT'!$D:$D, $D72, '3월 단양 개인별 STAT'!$E:$E, $E72) + SUMIFS('4월 삼척 개인별 STAT'!U:U, '4월 삼척 개인별 STAT'!$D:$D, $D72, '4월 삼척 개인별 STAT'!$E:$E, $E72)</f>
        <v>0</v>
      </c>
      <c r="V72" s="20">
        <f>SUMIFS('3월 단양 개인별 STAT'!V:V, '3월 단양 개인별 STAT'!$D:$D, $D72, '3월 단양 개인별 STAT'!$E:$E, $E72) + SUMIFS('4월 삼척 개인별 STAT'!V:V, '4월 삼척 개인별 STAT'!$D:$D, $D72, '4월 삼척 개인별 STAT'!$E:$E, $E72)</f>
        <v>0</v>
      </c>
      <c r="W72" s="20">
        <f>SUMIFS('3월 단양 개인별 STAT'!W:W, '3월 단양 개인별 STAT'!$D:$D, $D72, '3월 단양 개인별 STAT'!$E:$E, $E72) + SUMIFS('4월 삼척 개인별 STAT'!W:W, '4월 삼척 개인별 STAT'!$D:$D, $D72, '4월 삼척 개인별 STAT'!$E:$E, $E72)</f>
        <v>4</v>
      </c>
      <c r="X72" s="20">
        <f>SUMIFS('3월 단양 개인별 STAT'!X:X, '3월 단양 개인별 STAT'!$D:$D, $D72, '3월 단양 개인별 STAT'!$E:$E, $E72) + SUMIFS('4월 삼척 개인별 STAT'!X:X, '4월 삼척 개인별 STAT'!$D:$D, $D72, '4월 삼척 개인별 STAT'!$E:$E, $E72)</f>
        <v>2</v>
      </c>
      <c r="Y72" s="20">
        <f>SUMIFS('3월 단양 개인별 STAT'!Y:Y, '3월 단양 개인별 STAT'!$D:$D, $D72, '3월 단양 개인별 STAT'!$E:$E, $E72) + SUMIFS('4월 삼척 개인별 STAT'!Y:Y, '4월 삼척 개인별 STAT'!$D:$D, $D72, '4월 삼척 개인별 STAT'!$E:$E, $E72)</f>
        <v>2</v>
      </c>
      <c r="Z72" s="21">
        <f t="shared" si="5"/>
        <v>8</v>
      </c>
      <c r="AA72" s="20">
        <f>SUMIFS('3월 단양 개인별 STAT'!AA:AA, '3월 단양 개인별 STAT'!$D:$D, $D72, '3월 단양 개인별 STAT'!$E:$E, $E72) + SUMIFS('4월 삼척 개인별 STAT'!AA:AA, '4월 삼척 개인별 STAT'!$D:$D, $D72, '4월 삼척 개인별 STAT'!$E:$E, $E72)</f>
        <v>0</v>
      </c>
      <c r="AB72" s="21">
        <f t="shared" si="6"/>
        <v>2</v>
      </c>
      <c r="AC72" s="23">
        <f t="shared" si="7"/>
        <v>2</v>
      </c>
      <c r="AD72" s="30" t="str">
        <f t="shared" si="8"/>
        <v>-</v>
      </c>
      <c r="AE72" s="20">
        <f>SUMIFS('3월 단양 개인별 STAT'!AE:AE, '3월 단양 개인별 STAT'!$D:$D, $D72, '3월 단양 개인별 STAT'!$E:$E, $E72) + SUMIFS('4월 삼척 개인별 STAT'!AE:AE, '4월 삼척 개인별 STAT'!$D:$D, $D72, '4월 삼척 개인별 STAT'!$E:$E, $E72)</f>
        <v>0</v>
      </c>
      <c r="AF72" s="20">
        <f>SUMIFS('3월 단양 개인별 STAT'!AF:AF, '3월 단양 개인별 STAT'!$D:$D, $D72, '3월 단양 개인별 STAT'!$E:$E, $E72) + SUMIFS('4월 삼척 개인별 STAT'!AF:AF, '4월 삼척 개인별 STAT'!$D:$D, $D72, '4월 삼척 개인별 STAT'!$E:$E, $E72)</f>
        <v>0</v>
      </c>
      <c r="AG72" s="24" t="str">
        <f t="shared" si="9"/>
        <v>-</v>
      </c>
      <c r="AH72" s="20">
        <f>SUMIFS('3월 단양 개인별 STAT'!AH:AH, '3월 단양 개인별 STAT'!$D:$D, $D72, '3월 단양 개인별 STAT'!$E:$E, $E72) + SUMIFS('4월 삼척 개인별 STAT'!AH:AH, '4월 삼척 개인별 STAT'!$D:$D, $D72, '4월 삼척 개인별 STAT'!$E:$E, $E72)</f>
        <v>2</v>
      </c>
      <c r="AI72" s="22" t="str">
        <f t="shared" si="10"/>
        <v>0.40</v>
      </c>
      <c r="AJ72" s="25"/>
      <c r="AK72" s="26"/>
      <c r="AL72" s="27">
        <f t="shared" si="11"/>
        <v>0</v>
      </c>
      <c r="AM72" s="27" t="str">
        <f t="shared" si="30"/>
        <v>-</v>
      </c>
      <c r="AN72" s="28" t="str">
        <f t="shared" si="13"/>
        <v>-</v>
      </c>
      <c r="AO72" s="27">
        <f t="shared" si="14"/>
        <v>0</v>
      </c>
      <c r="AP72" s="27">
        <f t="shared" si="15"/>
        <v>0.4</v>
      </c>
      <c r="AQ72" s="27">
        <f t="shared" ref="AQ72:AR72" si="86">iferror(AB72/$M72,"-")</f>
        <v>0.4</v>
      </c>
      <c r="AR72" s="27">
        <f t="shared" si="86"/>
        <v>0.4</v>
      </c>
      <c r="AS72" s="29">
        <f t="shared" si="17"/>
        <v>0</v>
      </c>
      <c r="AT72" s="29" t="str">
        <f t="shared" si="18"/>
        <v>0.40</v>
      </c>
      <c r="AU72" s="26"/>
      <c r="AV72" s="26"/>
      <c r="AW72" s="26"/>
      <c r="AX72" s="26"/>
    </row>
    <row r="73">
      <c r="B73" s="17">
        <v>70.0</v>
      </c>
      <c r="C73" s="18">
        <f t="shared" si="2"/>
        <v>12</v>
      </c>
      <c r="D73" s="19" t="s">
        <v>114</v>
      </c>
      <c r="E73" s="19" t="s">
        <v>126</v>
      </c>
      <c r="F73" s="19">
        <v>2.0</v>
      </c>
      <c r="G73" s="19" t="s">
        <v>47</v>
      </c>
      <c r="H73" s="19" t="s">
        <v>48</v>
      </c>
      <c r="I73" s="19">
        <v>188.0</v>
      </c>
      <c r="J73" s="19">
        <v>73.0</v>
      </c>
      <c r="K73" s="20">
        <v>19.0</v>
      </c>
      <c r="L73" s="20">
        <f>SUMIFS('3월 단양 개인별 STAT'!L:L, '3월 단양 개인별 STAT'!$D:$D, $D73, '3월 단양 개인별 STAT'!$E:$E, $E73) + SUMIFS('4월 삼척 개인별 STAT'!L:L, '4월 삼척 개인별 STAT'!$D:$D, $D73, '4월 삼척 개인별 STAT'!$E:$E, $E73)</f>
        <v>3</v>
      </c>
      <c r="M73" s="20">
        <f>SUMIFS('3월 단양 개인별 STAT'!M:M, '3월 단양 개인별 STAT'!$D:$D, $D73, '3월 단양 개인별 STAT'!$E:$E, $E73) + SUMIFS('4월 삼척 개인별 STAT'!M:M, '4월 삼척 개인별 STAT'!$D:$D, $D73, '4월 삼척 개인별 STAT'!$E:$E, $E73)</f>
        <v>12</v>
      </c>
      <c r="N73" s="20">
        <f>SUMIFS('3월 단양 개인별 STAT'!N:N, '3월 단양 개인별 STAT'!$D:$D, $D73, '3월 단양 개인별 STAT'!$E:$E, $E73) + SUMIFS('4월 삼척 개인별 STAT'!N:N, '4월 삼척 개인별 STAT'!$D:$D, $D73, '4월 삼척 개인별 STAT'!$E:$E, $E73)</f>
        <v>6</v>
      </c>
      <c r="O73" s="20">
        <f>SUMIFS('3월 단양 개인별 STAT'!O:O, '3월 단양 개인별 STAT'!$D:$D, $D73, '3월 단양 개인별 STAT'!$E:$E, $E73) + SUMIFS('4월 삼척 개인별 STAT'!O:O, '4월 삼척 개인별 STAT'!$D:$D, $D73, '4월 삼척 개인별 STAT'!$E:$E, $E73)</f>
        <v>0</v>
      </c>
      <c r="P73" s="20">
        <f>SUMIFS('3월 단양 개인별 STAT'!P:P, '3월 단양 개인별 STAT'!$D:$D, $D73, '3월 단양 개인별 STAT'!$E:$E, $E73) + SUMIFS('4월 삼척 개인별 STAT'!P:P, '4월 삼척 개인별 STAT'!$D:$D, $D73, '4월 삼척 개인별 STAT'!$E:$E, $E73)</f>
        <v>15</v>
      </c>
      <c r="Q73" s="20">
        <f>SUMIFS('3월 단양 개인별 STAT'!Q:Q, '3월 단양 개인별 STAT'!$D:$D, $D73, '3월 단양 개인별 STAT'!$E:$E, $E73) + SUMIFS('4월 삼척 개인별 STAT'!Q:Q, '4월 삼척 개인별 STAT'!$D:$D, $D73, '4월 삼척 개인별 STAT'!$E:$E, $E73)</f>
        <v>6</v>
      </c>
      <c r="R73" s="21">
        <f t="shared" si="3"/>
        <v>27</v>
      </c>
      <c r="S73" s="22" t="str">
        <f t="shared" si="4"/>
        <v>-</v>
      </c>
      <c r="T73" s="20">
        <f>SUMIFS('3월 단양 개인별 STAT'!T:T, '3월 단양 개인별 STAT'!$D:$D, $D73, '3월 단양 개인별 STAT'!$E:$E, $E73) + SUMIFS('4월 삼척 개인별 STAT'!T:T, '4월 삼척 개인별 STAT'!$D:$D, $D73, '4월 삼척 개인별 STAT'!$E:$E, $E73)</f>
        <v>4</v>
      </c>
      <c r="U73" s="20">
        <f>SUMIFS('3월 단양 개인별 STAT'!U:U, '3월 단양 개인별 STAT'!$D:$D, $D73, '3월 단양 개인별 STAT'!$E:$E, $E73) + SUMIFS('4월 삼척 개인별 STAT'!U:U, '4월 삼척 개인별 STAT'!$D:$D, $D73, '4월 삼척 개인별 STAT'!$E:$E, $E73)</f>
        <v>4</v>
      </c>
      <c r="V73" s="20">
        <f>SUMIFS('3월 단양 개인별 STAT'!V:V, '3월 단양 개인별 STAT'!$D:$D, $D73, '3월 단양 개인별 STAT'!$E:$E, $E73) + SUMIFS('4월 삼척 개인별 STAT'!V:V, '4월 삼척 개인별 STAT'!$D:$D, $D73, '4월 삼척 개인별 STAT'!$E:$E, $E73)</f>
        <v>1</v>
      </c>
      <c r="W73" s="20">
        <f>SUMIFS('3월 단양 개인별 STAT'!W:W, '3월 단양 개인별 STAT'!$D:$D, $D73, '3월 단양 개인별 STAT'!$E:$E, $E73) + SUMIFS('4월 삼척 개인별 STAT'!W:W, '4월 삼척 개인별 STAT'!$D:$D, $D73, '4월 삼척 개인별 STAT'!$E:$E, $E73)</f>
        <v>20</v>
      </c>
      <c r="X73" s="20">
        <f>SUMIFS('3월 단양 개인별 STAT'!X:X, '3월 단양 개인별 STAT'!$D:$D, $D73, '3월 단양 개인별 STAT'!$E:$E, $E73) + SUMIFS('4월 삼척 개인별 STAT'!X:X, '4월 삼척 개인별 STAT'!$D:$D, $D73, '4월 삼척 개인별 STAT'!$E:$E, $E73)</f>
        <v>2</v>
      </c>
      <c r="Y73" s="20">
        <f>SUMIFS('3월 단양 개인별 STAT'!Y:Y, '3월 단양 개인별 STAT'!$D:$D, $D73, '3월 단양 개인별 STAT'!$E:$E, $E73) + SUMIFS('4월 삼척 개인별 STAT'!Y:Y, '4월 삼척 개인별 STAT'!$D:$D, $D73, '4월 삼척 개인별 STAT'!$E:$E, $E73)</f>
        <v>4</v>
      </c>
      <c r="Z73" s="21">
        <f t="shared" si="5"/>
        <v>26</v>
      </c>
      <c r="AA73" s="20">
        <f>SUMIFS('3월 단양 개인별 STAT'!AA:AA, '3월 단양 개인별 STAT'!$D:$D, $D73, '3월 단양 개인별 STAT'!$E:$E, $E73) + SUMIFS('4월 삼척 개인별 STAT'!AA:AA, '4월 삼척 개인별 STAT'!$D:$D, $D73, '4월 삼척 개인별 STAT'!$E:$E, $E73)</f>
        <v>0</v>
      </c>
      <c r="AB73" s="21">
        <f t="shared" si="6"/>
        <v>12</v>
      </c>
      <c r="AC73" s="23">
        <f t="shared" si="7"/>
        <v>12.75</v>
      </c>
      <c r="AD73" s="21">
        <f t="shared" si="8"/>
        <v>2</v>
      </c>
      <c r="AE73" s="20">
        <f>SUMIFS('3월 단양 개인별 STAT'!AE:AE, '3월 단양 개인별 STAT'!$D:$D, $D73, '3월 단양 개인별 STAT'!$E:$E, $E73) + SUMIFS('4월 삼척 개인별 STAT'!AE:AE, '4월 삼척 개인별 STAT'!$D:$D, $D73, '4월 삼척 개인별 STAT'!$E:$E, $E73)</f>
        <v>2</v>
      </c>
      <c r="AF73" s="20">
        <f>SUMIFS('3월 단양 개인별 STAT'!AF:AF, '3월 단양 개인별 STAT'!$D:$D, $D73, '3월 단양 개인별 STAT'!$E:$E, $E73) + SUMIFS('4월 삼척 개인별 STAT'!AF:AF, '4월 삼척 개인별 STAT'!$D:$D, $D73, '4월 삼척 개인별 STAT'!$E:$E, $E73)</f>
        <v>0</v>
      </c>
      <c r="AG73" s="24">
        <f t="shared" si="9"/>
        <v>100</v>
      </c>
      <c r="AH73" s="20">
        <f>SUMIFS('3월 단양 개인별 STAT'!AH:AH, '3월 단양 개인별 STAT'!$D:$D, $D73, '3월 단양 개인별 STAT'!$E:$E, $E73) + SUMIFS('4월 삼척 개인별 STAT'!AH:AH, '4월 삼척 개인별 STAT'!$D:$D, $D73, '4월 삼척 개인별 STAT'!$E:$E, $E73)</f>
        <v>4</v>
      </c>
      <c r="AI73" s="22" t="str">
        <f t="shared" si="10"/>
        <v>0.33</v>
      </c>
      <c r="AJ73" s="25"/>
      <c r="AK73" s="26"/>
      <c r="AL73" s="27">
        <f t="shared" si="11"/>
        <v>0.5</v>
      </c>
      <c r="AM73" s="27">
        <f t="shared" si="30"/>
        <v>2.25</v>
      </c>
      <c r="AN73" s="28">
        <f t="shared" si="13"/>
        <v>0.2222222222</v>
      </c>
      <c r="AO73" s="27">
        <f t="shared" si="14"/>
        <v>0.3333333333</v>
      </c>
      <c r="AP73" s="27">
        <f t="shared" si="15"/>
        <v>0.1666666667</v>
      </c>
      <c r="AQ73" s="27">
        <f t="shared" ref="AQ73:AR73" si="87">iferror(AB73/$M73,"-")</f>
        <v>1</v>
      </c>
      <c r="AR73" s="27">
        <f t="shared" si="87"/>
        <v>1.0625</v>
      </c>
      <c r="AS73" s="29">
        <f t="shared" si="17"/>
        <v>0</v>
      </c>
      <c r="AT73" s="29" t="str">
        <f t="shared" si="18"/>
        <v>0.33</v>
      </c>
      <c r="AU73" s="26"/>
      <c r="AV73" s="26"/>
      <c r="AW73" s="26"/>
      <c r="AX73" s="26"/>
    </row>
    <row r="74">
      <c r="B74" s="17">
        <v>71.0</v>
      </c>
      <c r="C74" s="18">
        <f t="shared" si="2"/>
        <v>1</v>
      </c>
      <c r="D74" s="19" t="s">
        <v>127</v>
      </c>
      <c r="E74" s="19" t="s">
        <v>128</v>
      </c>
      <c r="F74" s="19">
        <v>1.0</v>
      </c>
      <c r="G74" s="19" t="s">
        <v>52</v>
      </c>
      <c r="H74" s="19" t="s">
        <v>48</v>
      </c>
      <c r="I74" s="19">
        <v>173.0</v>
      </c>
      <c r="J74" s="19">
        <v>66.0</v>
      </c>
      <c r="K74" s="20">
        <v>6.0</v>
      </c>
      <c r="L74" s="20">
        <f>SUMIFS('3월 단양 개인별 STAT'!L:L, '3월 단양 개인별 STAT'!$D:$D, $D74, '3월 단양 개인별 STAT'!$E:$E, $E74) + SUMIFS('4월 삼척 개인별 STAT'!L:L, '4월 삼척 개인별 STAT'!$D:$D, $D74, '4월 삼척 개인별 STAT'!$E:$E, $E74)</f>
        <v>7</v>
      </c>
      <c r="M74" s="20">
        <f>SUMIFS('3월 단양 개인별 STAT'!M:M, '3월 단양 개인별 STAT'!$D:$D, $D74, '3월 단양 개인별 STAT'!$E:$E, $E74) + SUMIFS('4월 삼척 개인별 STAT'!M:M, '4월 삼척 개인별 STAT'!$D:$D, $D74, '4월 삼척 개인별 STAT'!$E:$E, $E74)</f>
        <v>18</v>
      </c>
      <c r="N74" s="20">
        <f>SUMIFS('3월 단양 개인별 STAT'!N:N, '3월 단양 개인별 STAT'!$D:$D, $D74, '3월 단양 개인별 STAT'!$E:$E, $E74) + SUMIFS('4월 삼척 개인별 STAT'!N:N, '4월 삼척 개인별 STAT'!$D:$D, $D74, '4월 삼척 개인별 STAT'!$E:$E, $E74)</f>
        <v>5</v>
      </c>
      <c r="O74" s="20">
        <f>SUMIFS('3월 단양 개인별 STAT'!O:O, '3월 단양 개인별 STAT'!$D:$D, $D74, '3월 단양 개인별 STAT'!$E:$E, $E74) + SUMIFS('4월 삼척 개인별 STAT'!O:O, '4월 삼척 개인별 STAT'!$D:$D, $D74, '4월 삼척 개인별 STAT'!$E:$E, $E74)</f>
        <v>0</v>
      </c>
      <c r="P74" s="20">
        <f>SUMIFS('3월 단양 개인별 STAT'!P:P, '3월 단양 개인별 STAT'!$D:$D, $D74, '3월 단양 개인별 STAT'!$E:$E, $E74) + SUMIFS('4월 삼척 개인별 STAT'!P:P, '4월 삼척 개인별 STAT'!$D:$D, $D74, '4월 삼척 개인별 STAT'!$E:$E, $E74)</f>
        <v>26</v>
      </c>
      <c r="Q74" s="20">
        <f>SUMIFS('3월 단양 개인별 STAT'!Q:Q, '3월 단양 개인별 STAT'!$D:$D, $D74, '3월 단양 개인별 STAT'!$E:$E, $E74) + SUMIFS('4월 삼척 개인별 STAT'!Q:Q, '4월 삼척 개인별 STAT'!$D:$D, $D74, '4월 삼척 개인별 STAT'!$E:$E, $E74)</f>
        <v>4</v>
      </c>
      <c r="R74" s="21">
        <f t="shared" si="3"/>
        <v>35</v>
      </c>
      <c r="S74" s="22">
        <f t="shared" si="4"/>
        <v>0.03</v>
      </c>
      <c r="T74" s="20">
        <f>SUMIFS('3월 단양 개인별 STAT'!T:T, '3월 단양 개인별 STAT'!$D:$D, $D74, '3월 단양 개인별 STAT'!$E:$E, $E74) + SUMIFS('4월 삼척 개인별 STAT'!T:T, '4월 삼척 개인별 STAT'!$D:$D, $D74, '4월 삼척 개인별 STAT'!$E:$E, $E74)</f>
        <v>0</v>
      </c>
      <c r="U74" s="20">
        <f>SUMIFS('3월 단양 개인별 STAT'!U:U, '3월 단양 개인별 STAT'!$D:$D, $D74, '3월 단양 개인별 STAT'!$E:$E, $E74) + SUMIFS('4월 삼척 개인별 STAT'!U:U, '4월 삼척 개인별 STAT'!$D:$D, $D74, '4월 삼척 개인별 STAT'!$E:$E, $E74)</f>
        <v>1</v>
      </c>
      <c r="V74" s="20">
        <f>SUMIFS('3월 단양 개인별 STAT'!V:V, '3월 단양 개인별 STAT'!$D:$D, $D74, '3월 단양 개인별 STAT'!$E:$E, $E74) + SUMIFS('4월 삼척 개인별 STAT'!V:V, '4월 삼척 개인별 STAT'!$D:$D, $D74, '4월 삼척 개인별 STAT'!$E:$E, $E74)</f>
        <v>0</v>
      </c>
      <c r="W74" s="20">
        <f>SUMIFS('3월 단양 개인별 STAT'!W:W, '3월 단양 개인별 STAT'!$D:$D, $D74, '3월 단양 개인별 STAT'!$E:$E, $E74) + SUMIFS('4월 삼척 개인별 STAT'!W:W, '4월 삼척 개인별 STAT'!$D:$D, $D74, '4월 삼척 개인별 STAT'!$E:$E, $E74)</f>
        <v>18</v>
      </c>
      <c r="X74" s="20">
        <f>SUMIFS('3월 단양 개인별 STAT'!X:X, '3월 단양 개인별 STAT'!$D:$D, $D74, '3월 단양 개인별 STAT'!$E:$E, $E74) + SUMIFS('4월 삼척 개인별 STAT'!X:X, '4월 삼척 개인별 STAT'!$D:$D, $D74, '4월 삼척 개인별 STAT'!$E:$E, $E74)</f>
        <v>3</v>
      </c>
      <c r="Y74" s="20">
        <f>SUMIFS('3월 단양 개인별 STAT'!Y:Y, '3월 단양 개인별 STAT'!$D:$D, $D74, '3월 단양 개인별 STAT'!$E:$E, $E74) + SUMIFS('4월 삼척 개인별 STAT'!Y:Y, '4월 삼척 개인별 STAT'!$D:$D, $D74, '4월 삼척 개인별 STAT'!$E:$E, $E74)</f>
        <v>6</v>
      </c>
      <c r="Z74" s="21">
        <f t="shared" si="5"/>
        <v>27</v>
      </c>
      <c r="AA74" s="20">
        <f>SUMIFS('3월 단양 개인별 STAT'!AA:AA, '3월 단양 개인별 STAT'!$D:$D, $D74, '3월 단양 개인별 STAT'!$E:$E, $E74) + SUMIFS('4월 삼척 개인별 STAT'!AA:AA, '4월 삼척 개인별 STAT'!$D:$D, $D74, '4월 삼척 개인별 STAT'!$E:$E, $E74)</f>
        <v>0</v>
      </c>
      <c r="AB74" s="21">
        <f t="shared" si="6"/>
        <v>8</v>
      </c>
      <c r="AC74" s="23">
        <f t="shared" si="7"/>
        <v>8</v>
      </c>
      <c r="AD74" s="21">
        <f t="shared" si="8"/>
        <v>35</v>
      </c>
      <c r="AE74" s="20">
        <f>SUMIFS('3월 단양 개인별 STAT'!AE:AE, '3월 단양 개인별 STAT'!$D:$D, $D74, '3월 단양 개인별 STAT'!$E:$E, $E74) + SUMIFS('4월 삼척 개인별 STAT'!AE:AE, '4월 삼척 개인별 STAT'!$D:$D, $D74, '4월 삼척 개인별 STAT'!$E:$E, $E74)</f>
        <v>26</v>
      </c>
      <c r="AF74" s="20">
        <f>SUMIFS('3월 단양 개인별 STAT'!AF:AF, '3월 단양 개인별 STAT'!$D:$D, $D74, '3월 단양 개인별 STAT'!$E:$E, $E74) + SUMIFS('4월 삼척 개인별 STAT'!AF:AF, '4월 삼척 개인별 STAT'!$D:$D, $D74, '4월 삼척 개인별 STAT'!$E:$E, $E74)</f>
        <v>9</v>
      </c>
      <c r="AG74" s="24">
        <f t="shared" si="9"/>
        <v>74.28571429</v>
      </c>
      <c r="AH74" s="20">
        <f>SUMIFS('3월 단양 개인별 STAT'!AH:AH, '3월 단양 개인별 STAT'!$D:$D, $D74, '3월 단양 개인별 STAT'!$E:$E, $E74) + SUMIFS('4월 삼척 개인별 STAT'!AH:AH, '4월 삼척 개인별 STAT'!$D:$D, $D74, '4월 삼척 개인별 STAT'!$E:$E, $E74)</f>
        <v>19</v>
      </c>
      <c r="AI74" s="22" t="str">
        <f t="shared" si="10"/>
        <v>1.06</v>
      </c>
      <c r="AJ74" s="25"/>
      <c r="AK74" s="26"/>
      <c r="AL74" s="27">
        <f t="shared" si="11"/>
        <v>0.2777777778</v>
      </c>
      <c r="AM74" s="27">
        <f t="shared" si="30"/>
        <v>1.944444444</v>
      </c>
      <c r="AN74" s="28">
        <f t="shared" si="13"/>
        <v>0.1428571429</v>
      </c>
      <c r="AO74" s="27">
        <f t="shared" si="14"/>
        <v>0</v>
      </c>
      <c r="AP74" s="27">
        <f t="shared" si="15"/>
        <v>0.1666666667</v>
      </c>
      <c r="AQ74" s="27">
        <f t="shared" ref="AQ74:AR74" si="88">iferror(AB74/$M74,"-")</f>
        <v>0.4444444444</v>
      </c>
      <c r="AR74" s="27">
        <f t="shared" si="88"/>
        <v>0.4444444444</v>
      </c>
      <c r="AS74" s="29">
        <f t="shared" si="17"/>
        <v>0.5</v>
      </c>
      <c r="AT74" s="29" t="str">
        <f t="shared" si="18"/>
        <v>1.06</v>
      </c>
      <c r="AU74" s="26"/>
      <c r="AV74" s="26"/>
      <c r="AW74" s="26"/>
      <c r="AX74" s="26"/>
    </row>
    <row r="75">
      <c r="B75" s="17">
        <v>72.0</v>
      </c>
      <c r="C75" s="18">
        <f t="shared" si="2"/>
        <v>2</v>
      </c>
      <c r="D75" s="19" t="s">
        <v>127</v>
      </c>
      <c r="E75" s="19" t="s">
        <v>129</v>
      </c>
      <c r="F75" s="19">
        <v>3.0</v>
      </c>
      <c r="G75" s="19" t="s">
        <v>57</v>
      </c>
      <c r="H75" s="19" t="s">
        <v>48</v>
      </c>
      <c r="I75" s="19">
        <v>172.0</v>
      </c>
      <c r="J75" s="19">
        <v>62.0</v>
      </c>
      <c r="K75" s="20">
        <v>7.0</v>
      </c>
      <c r="L75" s="20">
        <f>SUMIFS('3월 단양 개인별 STAT'!L:L, '3월 단양 개인별 STAT'!$D:$D, $D75, '3월 단양 개인별 STAT'!$E:$E, $E75) + SUMIFS('4월 삼척 개인별 STAT'!L:L, '4월 삼척 개인별 STAT'!$D:$D, $D75, '4월 삼척 개인별 STAT'!$E:$E, $E75)</f>
        <v>7</v>
      </c>
      <c r="M75" s="20">
        <f>SUMIFS('3월 단양 개인별 STAT'!M:M, '3월 단양 개인별 STAT'!$D:$D, $D75, '3월 단양 개인별 STAT'!$E:$E, $E75) + SUMIFS('4월 삼척 개인별 STAT'!M:M, '4월 삼척 개인별 STAT'!$D:$D, $D75, '4월 삼척 개인별 STAT'!$E:$E, $E75)</f>
        <v>26</v>
      </c>
      <c r="N75" s="20">
        <f>SUMIFS('3월 단양 개인별 STAT'!N:N, '3월 단양 개인별 STAT'!$D:$D, $D75, '3월 단양 개인별 STAT'!$E:$E, $E75) + SUMIFS('4월 삼척 개인별 STAT'!N:N, '4월 삼척 개인별 STAT'!$D:$D, $D75, '4월 삼척 개인별 STAT'!$E:$E, $E75)</f>
        <v>65</v>
      </c>
      <c r="O75" s="20">
        <f>SUMIFS('3월 단양 개인별 STAT'!O:O, '3월 단양 개인별 STAT'!$D:$D, $D75, '3월 단양 개인별 STAT'!$E:$E, $E75) + SUMIFS('4월 삼척 개인별 STAT'!O:O, '4월 삼척 개인별 STAT'!$D:$D, $D75, '4월 삼척 개인별 STAT'!$E:$E, $E75)</f>
        <v>11</v>
      </c>
      <c r="P75" s="20">
        <f>SUMIFS('3월 단양 개인별 STAT'!P:P, '3월 단양 개인별 STAT'!$D:$D, $D75, '3월 단양 개인별 STAT'!$E:$E, $E75) + SUMIFS('4월 삼척 개인별 STAT'!P:P, '4월 삼척 개인별 STAT'!$D:$D, $D75, '4월 삼척 개인별 STAT'!$E:$E, $E75)</f>
        <v>89</v>
      </c>
      <c r="Q75" s="20">
        <f>SUMIFS('3월 단양 개인별 STAT'!Q:Q, '3월 단양 개인별 STAT'!$D:$D, $D75, '3월 단양 개인별 STAT'!$E:$E, $E75) + SUMIFS('4월 삼척 개인별 STAT'!Q:Q, '4월 삼척 개인별 STAT'!$D:$D, $D75, '4월 삼척 개인별 STAT'!$E:$E, $E75)</f>
        <v>17</v>
      </c>
      <c r="R75" s="21">
        <f t="shared" si="3"/>
        <v>171</v>
      </c>
      <c r="S75" s="22">
        <f t="shared" si="4"/>
        <v>0.28</v>
      </c>
      <c r="T75" s="20">
        <f>SUMIFS('3월 단양 개인별 STAT'!T:T, '3월 단양 개인별 STAT'!$D:$D, $D75, '3월 단양 개인별 STAT'!$E:$E, $E75) + SUMIFS('4월 삼척 개인별 STAT'!T:T, '4월 삼척 개인별 STAT'!$D:$D, $D75, '4월 삼척 개인별 STAT'!$E:$E, $E75)</f>
        <v>4</v>
      </c>
      <c r="U75" s="20">
        <f>SUMIFS('3월 단양 개인별 STAT'!U:U, '3월 단양 개인별 STAT'!$D:$D, $D75, '3월 단양 개인별 STAT'!$E:$E, $E75) + SUMIFS('4월 삼척 개인별 STAT'!U:U, '4월 삼척 개인별 STAT'!$D:$D, $D75, '4월 삼척 개인별 STAT'!$E:$E, $E75)</f>
        <v>2</v>
      </c>
      <c r="V75" s="20">
        <f>SUMIFS('3월 단양 개인별 STAT'!V:V, '3월 단양 개인별 STAT'!$D:$D, $D75, '3월 단양 개인별 STAT'!$E:$E, $E75) + SUMIFS('4월 삼척 개인별 STAT'!V:V, '4월 삼척 개인별 STAT'!$D:$D, $D75, '4월 삼척 개인별 STAT'!$E:$E, $E75)</f>
        <v>0</v>
      </c>
      <c r="W75" s="20">
        <f>SUMIFS('3월 단양 개인별 STAT'!W:W, '3월 단양 개인별 STAT'!$D:$D, $D75, '3월 단양 개인별 STAT'!$E:$E, $E75) + SUMIFS('4월 삼척 개인별 STAT'!W:W, '4월 삼척 개인별 STAT'!$D:$D, $D75, '4월 삼척 개인별 STAT'!$E:$E, $E75)</f>
        <v>58</v>
      </c>
      <c r="X75" s="20">
        <f>SUMIFS('3월 단양 개인별 STAT'!X:X, '3월 단양 개인별 STAT'!$D:$D, $D75, '3월 단양 개인별 STAT'!$E:$E, $E75) + SUMIFS('4월 삼척 개인별 STAT'!X:X, '4월 삼척 개인별 STAT'!$D:$D, $D75, '4월 삼척 개인별 STAT'!$E:$E, $E75)</f>
        <v>5</v>
      </c>
      <c r="Y75" s="20">
        <f>SUMIFS('3월 단양 개인별 STAT'!Y:Y, '3월 단양 개인별 STAT'!$D:$D, $D75, '3월 단양 개인별 STAT'!$E:$E, $E75) + SUMIFS('4월 삼척 개인별 STAT'!Y:Y, '4월 삼척 개인별 STAT'!$D:$D, $D75, '4월 삼척 개인별 STAT'!$E:$E, $E75)</f>
        <v>10</v>
      </c>
      <c r="Z75" s="21">
        <f t="shared" si="5"/>
        <v>73</v>
      </c>
      <c r="AA75" s="20">
        <f>SUMIFS('3월 단양 개인별 STAT'!AA:AA, '3월 단양 개인별 STAT'!$D:$D, $D75, '3월 단양 개인별 STAT'!$E:$E, $E75) + SUMIFS('4월 삼척 개인별 STAT'!AA:AA, '4월 삼척 개인별 STAT'!$D:$D, $D75, '4월 삼척 개인별 STAT'!$E:$E, $E75)</f>
        <v>1</v>
      </c>
      <c r="AB75" s="21">
        <f t="shared" si="6"/>
        <v>74</v>
      </c>
      <c r="AC75" s="23">
        <f t="shared" si="7"/>
        <v>74</v>
      </c>
      <c r="AD75" s="21">
        <f t="shared" si="8"/>
        <v>42</v>
      </c>
      <c r="AE75" s="20">
        <f>SUMIFS('3월 단양 개인별 STAT'!AE:AE, '3월 단양 개인별 STAT'!$D:$D, $D75, '3월 단양 개인별 STAT'!$E:$E, $E75) + SUMIFS('4월 삼척 개인별 STAT'!AE:AE, '4월 삼척 개인별 STAT'!$D:$D, $D75, '4월 삼척 개인별 STAT'!$E:$E, $E75)</f>
        <v>37</v>
      </c>
      <c r="AF75" s="20">
        <f>SUMIFS('3월 단양 개인별 STAT'!AF:AF, '3월 단양 개인별 STAT'!$D:$D, $D75, '3월 단양 개인별 STAT'!$E:$E, $E75) + SUMIFS('4월 삼척 개인별 STAT'!AF:AF, '4월 삼척 개인별 STAT'!$D:$D, $D75, '4월 삼척 개인별 STAT'!$E:$E, $E75)</f>
        <v>5</v>
      </c>
      <c r="AG75" s="24">
        <f t="shared" si="9"/>
        <v>88.0952381</v>
      </c>
      <c r="AH75" s="20">
        <f>SUMIFS('3월 단양 개인별 STAT'!AH:AH, '3월 단양 개인별 STAT'!$D:$D, $D75, '3월 단양 개인별 STAT'!$E:$E, $E75) + SUMIFS('4월 삼척 개인별 STAT'!AH:AH, '4월 삼척 개인별 STAT'!$D:$D, $D75, '4월 삼척 개인별 STAT'!$E:$E, $E75)</f>
        <v>46</v>
      </c>
      <c r="AI75" s="22" t="str">
        <f t="shared" si="10"/>
        <v>1.77</v>
      </c>
      <c r="AJ75" s="25"/>
      <c r="AK75" s="26"/>
      <c r="AL75" s="27">
        <f t="shared" si="11"/>
        <v>2.5</v>
      </c>
      <c r="AM75" s="27">
        <f t="shared" si="30"/>
        <v>6.576923077</v>
      </c>
      <c r="AN75" s="28">
        <f t="shared" si="13"/>
        <v>0.3801169591</v>
      </c>
      <c r="AO75" s="27">
        <f t="shared" si="14"/>
        <v>0.1538461538</v>
      </c>
      <c r="AP75" s="27">
        <f t="shared" si="15"/>
        <v>0.1923076923</v>
      </c>
      <c r="AQ75" s="27">
        <f t="shared" ref="AQ75:AR75" si="89">iferror(AB75/$M75,"-")</f>
        <v>2.846153846</v>
      </c>
      <c r="AR75" s="27">
        <f t="shared" si="89"/>
        <v>2.846153846</v>
      </c>
      <c r="AS75" s="29">
        <f t="shared" si="17"/>
        <v>0.1923076923</v>
      </c>
      <c r="AT75" s="29" t="str">
        <f t="shared" si="18"/>
        <v>1.77</v>
      </c>
      <c r="AU75" s="26"/>
      <c r="AV75" s="26"/>
      <c r="AW75" s="26"/>
      <c r="AX75" s="26"/>
    </row>
    <row r="76">
      <c r="B76" s="17">
        <v>73.0</v>
      </c>
      <c r="C76" s="18">
        <f t="shared" si="2"/>
        <v>3</v>
      </c>
      <c r="D76" s="19" t="s">
        <v>127</v>
      </c>
      <c r="E76" s="19" t="s">
        <v>130</v>
      </c>
      <c r="F76" s="19">
        <v>1.0</v>
      </c>
      <c r="G76" s="19" t="s">
        <v>50</v>
      </c>
      <c r="H76" s="19" t="s">
        <v>48</v>
      </c>
      <c r="I76" s="19">
        <v>158.0</v>
      </c>
      <c r="J76" s="19">
        <v>53.0</v>
      </c>
      <c r="K76" s="20">
        <v>8.0</v>
      </c>
      <c r="L76" s="20">
        <f>SUMIFS('3월 단양 개인별 STAT'!L:L, '3월 단양 개인별 STAT'!$D:$D, $D76, '3월 단양 개인별 STAT'!$E:$E, $E76) + SUMIFS('4월 삼척 개인별 STAT'!L:L, '4월 삼척 개인별 STAT'!$D:$D, $D76, '4월 삼척 개인별 STAT'!$E:$E, $E76)</f>
        <v>5</v>
      </c>
      <c r="M76" s="20">
        <f>SUMIFS('3월 단양 개인별 STAT'!M:M, '3월 단양 개인별 STAT'!$D:$D, $D76, '3월 단양 개인별 STAT'!$E:$E, $E76) + SUMIFS('4월 삼척 개인별 STAT'!M:M, '4월 삼척 개인별 STAT'!$D:$D, $D76, '4월 삼척 개인별 STAT'!$E:$E, $E76)</f>
        <v>12</v>
      </c>
      <c r="N76" s="20">
        <f>SUMIFS('3월 단양 개인별 STAT'!N:N, '3월 단양 개인별 STAT'!$D:$D, $D76, '3월 단양 개인별 STAT'!$E:$E, $E76) + SUMIFS('4월 삼척 개인별 STAT'!N:N, '4월 삼척 개인별 STAT'!$D:$D, $D76, '4월 삼척 개인별 STAT'!$E:$E, $E76)</f>
        <v>0</v>
      </c>
      <c r="O76" s="20">
        <f>SUMIFS('3월 단양 개인별 STAT'!O:O, '3월 단양 개인별 STAT'!$D:$D, $D76, '3월 단양 개인별 STAT'!$E:$E, $E76) + SUMIFS('4월 삼척 개인별 STAT'!O:O, '4월 삼척 개인별 STAT'!$D:$D, $D76, '4월 삼척 개인별 STAT'!$E:$E, $E76)</f>
        <v>1</v>
      </c>
      <c r="P76" s="20">
        <f>SUMIFS('3월 단양 개인별 STAT'!P:P, '3월 단양 개인별 STAT'!$D:$D, $D76, '3월 단양 개인별 STAT'!$E:$E, $E76) + SUMIFS('4월 삼척 개인별 STAT'!P:P, '4월 삼척 개인별 STAT'!$D:$D, $D76, '4월 삼척 개인별 STAT'!$E:$E, $E76)</f>
        <v>0</v>
      </c>
      <c r="Q76" s="20">
        <f>SUMIFS('3월 단양 개인별 STAT'!Q:Q, '3월 단양 개인별 STAT'!$D:$D, $D76, '3월 단양 개인별 STAT'!$E:$E, $E76) + SUMIFS('4월 삼척 개인별 STAT'!Q:Q, '4월 삼척 개인별 STAT'!$D:$D, $D76, '4월 삼척 개인별 STAT'!$E:$E, $E76)</f>
        <v>0</v>
      </c>
      <c r="R76" s="30" t="str">
        <f t="shared" si="3"/>
        <v>-</v>
      </c>
      <c r="S76" s="22" t="str">
        <f t="shared" si="4"/>
        <v>-</v>
      </c>
      <c r="T76" s="20">
        <f>SUMIFS('3월 단양 개인별 STAT'!T:T, '3월 단양 개인별 STAT'!$D:$D, $D76, '3월 단양 개인별 STAT'!$E:$E, $E76) + SUMIFS('4월 삼척 개인별 STAT'!T:T, '4월 삼척 개인별 STAT'!$D:$D, $D76, '4월 삼척 개인별 STAT'!$E:$E, $E76)</f>
        <v>0</v>
      </c>
      <c r="U76" s="20">
        <f>SUMIFS('3월 단양 개인별 STAT'!U:U, '3월 단양 개인별 STAT'!$D:$D, $D76, '3월 단양 개인별 STAT'!$E:$E, $E76) + SUMIFS('4월 삼척 개인별 STAT'!U:U, '4월 삼척 개인별 STAT'!$D:$D, $D76, '4월 삼척 개인별 STAT'!$E:$E, $E76)</f>
        <v>0</v>
      </c>
      <c r="V76" s="20">
        <f>SUMIFS('3월 단양 개인별 STAT'!V:V, '3월 단양 개인별 STAT'!$D:$D, $D76, '3월 단양 개인별 STAT'!$E:$E, $E76) + SUMIFS('4월 삼척 개인별 STAT'!V:V, '4월 삼척 개인별 STAT'!$D:$D, $D76, '4월 삼척 개인별 STAT'!$E:$E, $E76)</f>
        <v>0</v>
      </c>
      <c r="W76" s="20">
        <f>SUMIFS('3월 단양 개인별 STAT'!W:W, '3월 단양 개인별 STAT'!$D:$D, $D76, '3월 단양 개인별 STAT'!$E:$E, $E76) + SUMIFS('4월 삼척 개인별 STAT'!W:W, '4월 삼척 개인별 STAT'!$D:$D, $D76, '4월 삼척 개인별 STAT'!$E:$E, $E76)</f>
        <v>15</v>
      </c>
      <c r="X76" s="20">
        <f>SUMIFS('3월 단양 개인별 STAT'!X:X, '3월 단양 개인별 STAT'!$D:$D, $D76, '3월 단양 개인별 STAT'!$E:$E, $E76) + SUMIFS('4월 삼척 개인별 STAT'!X:X, '4월 삼척 개인별 STAT'!$D:$D, $D76, '4월 삼척 개인별 STAT'!$E:$E, $E76)</f>
        <v>1</v>
      </c>
      <c r="Y76" s="20">
        <f>SUMIFS('3월 단양 개인별 STAT'!Y:Y, '3월 단양 개인별 STAT'!$D:$D, $D76, '3월 단양 개인별 STAT'!$E:$E, $E76) + SUMIFS('4월 삼척 개인별 STAT'!Y:Y, '4월 삼척 개인별 STAT'!$D:$D, $D76, '4월 삼척 개인별 STAT'!$E:$E, $E76)</f>
        <v>1</v>
      </c>
      <c r="Z76" s="21">
        <f t="shared" si="5"/>
        <v>17</v>
      </c>
      <c r="AA76" s="20">
        <f>SUMIFS('3월 단양 개인별 STAT'!AA:AA, '3월 단양 개인별 STAT'!$D:$D, $D76, '3월 단양 개인별 STAT'!$E:$E, $E76) + SUMIFS('4월 삼척 개인별 STAT'!AA:AA, '4월 삼척 개인별 STAT'!$D:$D, $D76, '4월 삼척 개인별 STAT'!$E:$E, $E76)</f>
        <v>0</v>
      </c>
      <c r="AB76" s="21">
        <f t="shared" si="6"/>
        <v>1</v>
      </c>
      <c r="AC76" s="23">
        <f t="shared" si="7"/>
        <v>1</v>
      </c>
      <c r="AD76" s="21">
        <f t="shared" si="8"/>
        <v>4</v>
      </c>
      <c r="AE76" s="20">
        <f>SUMIFS('3월 단양 개인별 STAT'!AE:AE, '3월 단양 개인별 STAT'!$D:$D, $D76, '3월 단양 개인별 STAT'!$E:$E, $E76) + SUMIFS('4월 삼척 개인별 STAT'!AE:AE, '4월 삼척 개인별 STAT'!$D:$D, $D76, '4월 삼척 개인별 STAT'!$E:$E, $E76)</f>
        <v>4</v>
      </c>
      <c r="AF76" s="20">
        <f>SUMIFS('3월 단양 개인별 STAT'!AF:AF, '3월 단양 개인별 STAT'!$D:$D, $D76, '3월 단양 개인별 STAT'!$E:$E, $E76) + SUMIFS('4월 삼척 개인별 STAT'!AF:AF, '4월 삼척 개인별 STAT'!$D:$D, $D76, '4월 삼척 개인별 STAT'!$E:$E, $E76)</f>
        <v>0</v>
      </c>
      <c r="AG76" s="24">
        <f t="shared" si="9"/>
        <v>100</v>
      </c>
      <c r="AH76" s="20">
        <f>SUMIFS('3월 단양 개인별 STAT'!AH:AH, '3월 단양 개인별 STAT'!$D:$D, $D76, '3월 단양 개인별 STAT'!$E:$E, $E76) + SUMIFS('4월 삼척 개인별 STAT'!AH:AH, '4월 삼척 개인별 STAT'!$D:$D, $D76, '4월 삼척 개인별 STAT'!$E:$E, $E76)</f>
        <v>8</v>
      </c>
      <c r="AI76" s="22" t="str">
        <f t="shared" si="10"/>
        <v>0.67</v>
      </c>
      <c r="AJ76" s="25"/>
      <c r="AK76" s="26"/>
      <c r="AL76" s="27">
        <f t="shared" si="11"/>
        <v>0</v>
      </c>
      <c r="AM76" s="27" t="str">
        <f t="shared" si="30"/>
        <v>-</v>
      </c>
      <c r="AN76" s="28" t="str">
        <f t="shared" si="13"/>
        <v>-</v>
      </c>
      <c r="AO76" s="27">
        <f t="shared" si="14"/>
        <v>0</v>
      </c>
      <c r="AP76" s="27">
        <f t="shared" si="15"/>
        <v>0.08333333333</v>
      </c>
      <c r="AQ76" s="27">
        <f t="shared" ref="AQ76:AR76" si="90">iferror(AB76/$M76,"-")</f>
        <v>0.08333333333</v>
      </c>
      <c r="AR76" s="27">
        <f t="shared" si="90"/>
        <v>0.08333333333</v>
      </c>
      <c r="AS76" s="29">
        <f t="shared" si="17"/>
        <v>0</v>
      </c>
      <c r="AT76" s="29" t="str">
        <f t="shared" si="18"/>
        <v>0.67</v>
      </c>
      <c r="AU76" s="26"/>
      <c r="AV76" s="26"/>
      <c r="AW76" s="26"/>
      <c r="AX76" s="26"/>
    </row>
    <row r="77">
      <c r="B77" s="17">
        <v>74.0</v>
      </c>
      <c r="C77" s="18">
        <f t="shared" si="2"/>
        <v>4</v>
      </c>
      <c r="D77" s="19" t="s">
        <v>127</v>
      </c>
      <c r="E77" s="19" t="s">
        <v>131</v>
      </c>
      <c r="F77" s="19">
        <v>1.0</v>
      </c>
      <c r="G77" s="19" t="s">
        <v>54</v>
      </c>
      <c r="H77" s="19" t="s">
        <v>48</v>
      </c>
      <c r="I77" s="19">
        <v>165.0</v>
      </c>
      <c r="J77" s="19">
        <v>52.0</v>
      </c>
      <c r="K77" s="20">
        <v>9.0</v>
      </c>
      <c r="L77" s="20">
        <f>SUMIFS('3월 단양 개인별 STAT'!L:L, '3월 단양 개인별 STAT'!$D:$D, $D77, '3월 단양 개인별 STAT'!$E:$E, $E77) + SUMIFS('4월 삼척 개인별 STAT'!L:L, '4월 삼척 개인별 STAT'!$D:$D, $D77, '4월 삼척 개인별 STAT'!$E:$E, $E77)</f>
        <v>7</v>
      </c>
      <c r="M77" s="20">
        <f>SUMIFS('3월 단양 개인별 STAT'!M:M, '3월 단양 개인별 STAT'!$D:$D, $D77, '3월 단양 개인별 STAT'!$E:$E, $E77) + SUMIFS('4월 삼척 개인별 STAT'!M:M, '4월 삼척 개인별 STAT'!$D:$D, $D77, '4월 삼척 개인별 STAT'!$E:$E, $E77)</f>
        <v>21</v>
      </c>
      <c r="N77" s="20">
        <f>SUMIFS('3월 단양 개인별 STAT'!N:N, '3월 단양 개인별 STAT'!$D:$D, $D77, '3월 단양 개인별 STAT'!$E:$E, $E77) + SUMIFS('4월 삼척 개인별 STAT'!N:N, '4월 삼척 개인별 STAT'!$D:$D, $D77, '4월 삼척 개인별 STAT'!$E:$E, $E77)</f>
        <v>0</v>
      </c>
      <c r="O77" s="20">
        <f>SUMIFS('3월 단양 개인별 STAT'!O:O, '3월 단양 개인별 STAT'!$D:$D, $D77, '3월 단양 개인별 STAT'!$E:$E, $E77) + SUMIFS('4월 삼척 개인별 STAT'!O:O, '4월 삼척 개인별 STAT'!$D:$D, $D77, '4월 삼척 개인별 STAT'!$E:$E, $E77)</f>
        <v>71</v>
      </c>
      <c r="P77" s="20">
        <f>SUMIFS('3월 단양 개인별 STAT'!P:P, '3월 단양 개인별 STAT'!$D:$D, $D77, '3월 단양 개인별 STAT'!$E:$E, $E77) + SUMIFS('4월 삼척 개인별 STAT'!P:P, '4월 삼척 개인별 STAT'!$D:$D, $D77, '4월 삼척 개인별 STAT'!$E:$E, $E77)</f>
        <v>1</v>
      </c>
      <c r="Q77" s="20">
        <f>SUMIFS('3월 단양 개인별 STAT'!Q:Q, '3월 단양 개인별 STAT'!$D:$D, $D77, '3월 단양 개인별 STAT'!$E:$E, $E77) + SUMIFS('4월 삼척 개인별 STAT'!Q:Q, '4월 삼척 개인별 STAT'!$D:$D, $D77, '4월 삼척 개인별 STAT'!$E:$E, $E77)</f>
        <v>1</v>
      </c>
      <c r="R77" s="21">
        <f t="shared" si="3"/>
        <v>2</v>
      </c>
      <c r="S77" s="22">
        <f t="shared" si="4"/>
        <v>-0.5</v>
      </c>
      <c r="T77" s="20">
        <f>SUMIFS('3월 단양 개인별 STAT'!T:T, '3월 단양 개인별 STAT'!$D:$D, $D77, '3월 단양 개인별 STAT'!$E:$E, $E77) + SUMIFS('4월 삼척 개인별 STAT'!T:T, '4월 삼척 개인별 STAT'!$D:$D, $D77, '4월 삼척 개인별 STAT'!$E:$E, $E77)</f>
        <v>0</v>
      </c>
      <c r="U77" s="20">
        <f>SUMIFS('3월 단양 개인별 STAT'!U:U, '3월 단양 개인별 STAT'!$D:$D, $D77, '3월 단양 개인별 STAT'!$E:$E, $E77) + SUMIFS('4월 삼척 개인별 STAT'!U:U, '4월 삼척 개인별 STAT'!$D:$D, $D77, '4월 삼척 개인별 STAT'!$E:$E, $E77)</f>
        <v>0</v>
      </c>
      <c r="V77" s="20">
        <f>SUMIFS('3월 단양 개인별 STAT'!V:V, '3월 단양 개인별 STAT'!$D:$D, $D77, '3월 단양 개인별 STAT'!$E:$E, $E77) + SUMIFS('4월 삼척 개인별 STAT'!V:V, '4월 삼척 개인별 STAT'!$D:$D, $D77, '4월 삼척 개인별 STAT'!$E:$E, $E77)</f>
        <v>3</v>
      </c>
      <c r="W77" s="20">
        <f>SUMIFS('3월 단양 개인별 STAT'!W:W, '3월 단양 개인별 STAT'!$D:$D, $D77, '3월 단양 개인별 STAT'!$E:$E, $E77) + SUMIFS('4월 삼척 개인별 STAT'!W:W, '4월 삼척 개인별 STAT'!$D:$D, $D77, '4월 삼척 개인별 STAT'!$E:$E, $E77)</f>
        <v>29</v>
      </c>
      <c r="X77" s="20">
        <f>SUMIFS('3월 단양 개인별 STAT'!X:X, '3월 단양 개인별 STAT'!$D:$D, $D77, '3월 단양 개인별 STAT'!$E:$E, $E77) + SUMIFS('4월 삼척 개인별 STAT'!X:X, '4월 삼척 개인별 STAT'!$D:$D, $D77, '4월 삼척 개인별 STAT'!$E:$E, $E77)</f>
        <v>1</v>
      </c>
      <c r="Y77" s="20">
        <f>SUMIFS('3월 단양 개인별 STAT'!Y:Y, '3월 단양 개인별 STAT'!$D:$D, $D77, '3월 단양 개인별 STAT'!$E:$E, $E77) + SUMIFS('4월 삼척 개인별 STAT'!Y:Y, '4월 삼척 개인별 STAT'!$D:$D, $D77, '4월 삼척 개인별 STAT'!$E:$E, $E77)</f>
        <v>1</v>
      </c>
      <c r="Z77" s="21">
        <f t="shared" si="5"/>
        <v>31</v>
      </c>
      <c r="AA77" s="20">
        <f>SUMIFS('3월 단양 개인별 STAT'!AA:AA, '3월 단양 개인별 STAT'!$D:$D, $D77, '3월 단양 개인별 STAT'!$E:$E, $E77) + SUMIFS('4월 삼척 개인별 STAT'!AA:AA, '4월 삼척 개인별 STAT'!$D:$D, $D77, '4월 삼척 개인별 STAT'!$E:$E, $E77)</f>
        <v>3</v>
      </c>
      <c r="AB77" s="21">
        <f t="shared" si="6"/>
        <v>1</v>
      </c>
      <c r="AC77" s="23">
        <f t="shared" si="7"/>
        <v>3.25</v>
      </c>
      <c r="AD77" s="21">
        <f t="shared" si="8"/>
        <v>4</v>
      </c>
      <c r="AE77" s="20">
        <f>SUMIFS('3월 단양 개인별 STAT'!AE:AE, '3월 단양 개인별 STAT'!$D:$D, $D77, '3월 단양 개인별 STAT'!$E:$E, $E77) + SUMIFS('4월 삼척 개인별 STAT'!AE:AE, '4월 삼척 개인별 STAT'!$D:$D, $D77, '4월 삼척 개인별 STAT'!$E:$E, $E77)</f>
        <v>1</v>
      </c>
      <c r="AF77" s="20">
        <f>SUMIFS('3월 단양 개인별 STAT'!AF:AF, '3월 단양 개인별 STAT'!$D:$D, $D77, '3월 단양 개인별 STAT'!$E:$E, $E77) + SUMIFS('4월 삼척 개인별 STAT'!AF:AF, '4월 삼척 개인별 STAT'!$D:$D, $D77, '4월 삼척 개인별 STAT'!$E:$E, $E77)</f>
        <v>3</v>
      </c>
      <c r="AG77" s="24">
        <f t="shared" si="9"/>
        <v>25</v>
      </c>
      <c r="AH77" s="20">
        <f>SUMIFS('3월 단양 개인별 STAT'!AH:AH, '3월 단양 개인별 STAT'!$D:$D, $D77, '3월 단양 개인별 STAT'!$E:$E, $E77) + SUMIFS('4월 삼척 개인별 STAT'!AH:AH, '4월 삼척 개인별 STAT'!$D:$D, $D77, '4월 삼척 개인별 STAT'!$E:$E, $E77)</f>
        <v>12</v>
      </c>
      <c r="AI77" s="22" t="str">
        <f t="shared" si="10"/>
        <v>0.57</v>
      </c>
      <c r="AJ77" s="25"/>
      <c r="AK77" s="26"/>
      <c r="AL77" s="27">
        <f t="shared" si="11"/>
        <v>0</v>
      </c>
      <c r="AM77" s="27">
        <f t="shared" si="30"/>
        <v>0.09523809524</v>
      </c>
      <c r="AN77" s="28">
        <f t="shared" si="13"/>
        <v>0</v>
      </c>
      <c r="AO77" s="27">
        <f t="shared" si="14"/>
        <v>0</v>
      </c>
      <c r="AP77" s="27">
        <f t="shared" si="15"/>
        <v>0.04761904762</v>
      </c>
      <c r="AQ77" s="27">
        <f t="shared" ref="AQ77:AR77" si="91">iferror(AB77/$M77,"-")</f>
        <v>0.04761904762</v>
      </c>
      <c r="AR77" s="27">
        <f t="shared" si="91"/>
        <v>0.1547619048</v>
      </c>
      <c r="AS77" s="29">
        <f t="shared" si="17"/>
        <v>0.1428571429</v>
      </c>
      <c r="AT77" s="29" t="str">
        <f t="shared" si="18"/>
        <v>0.57</v>
      </c>
      <c r="AU77" s="26"/>
      <c r="AV77" s="26"/>
      <c r="AW77" s="26"/>
      <c r="AX77" s="26"/>
    </row>
    <row r="78">
      <c r="B78" s="17">
        <v>75.0</v>
      </c>
      <c r="C78" s="18">
        <f t="shared" si="2"/>
        <v>5</v>
      </c>
      <c r="D78" s="19" t="s">
        <v>127</v>
      </c>
      <c r="E78" s="19" t="s">
        <v>132</v>
      </c>
      <c r="F78" s="19">
        <v>3.0</v>
      </c>
      <c r="G78" s="19" t="s">
        <v>52</v>
      </c>
      <c r="H78" s="19" t="s">
        <v>48</v>
      </c>
      <c r="I78" s="19">
        <v>172.0</v>
      </c>
      <c r="J78" s="19">
        <v>68.0</v>
      </c>
      <c r="K78" s="20">
        <v>10.0</v>
      </c>
      <c r="L78" s="20">
        <f>SUMIFS('3월 단양 개인별 STAT'!L:L, '3월 단양 개인별 STAT'!$D:$D, $D78, '3월 단양 개인별 STAT'!$E:$E, $E78) + SUMIFS('4월 삼척 개인별 STAT'!L:L, '4월 삼척 개인별 STAT'!$D:$D, $D78, '4월 삼척 개인별 STAT'!$E:$E, $E78)</f>
        <v>7</v>
      </c>
      <c r="M78" s="20">
        <f>SUMIFS('3월 단양 개인별 STAT'!M:M, '3월 단양 개인별 STAT'!$D:$D, $D78, '3월 단양 개인별 STAT'!$E:$E, $E78) + SUMIFS('4월 삼척 개인별 STAT'!M:M, '4월 삼척 개인별 STAT'!$D:$D, $D78, '4월 삼척 개인별 STAT'!$E:$E, $E78)</f>
        <v>24</v>
      </c>
      <c r="N78" s="20">
        <f>SUMIFS('3월 단양 개인별 STAT'!N:N, '3월 단양 개인별 STAT'!$D:$D, $D78, '3월 단양 개인별 STAT'!$E:$E, $E78) + SUMIFS('4월 삼척 개인별 STAT'!N:N, '4월 삼척 개인별 STAT'!$D:$D, $D78, '4월 삼척 개인별 STAT'!$E:$E, $E78)</f>
        <v>7</v>
      </c>
      <c r="O78" s="20">
        <f>SUMIFS('3월 단양 개인별 STAT'!O:O, '3월 단양 개인별 STAT'!$D:$D, $D78, '3월 단양 개인별 STAT'!$E:$E, $E78) + SUMIFS('4월 삼척 개인별 STAT'!O:O, '4월 삼척 개인별 STAT'!$D:$D, $D78, '4월 삼척 개인별 STAT'!$E:$E, $E78)</f>
        <v>4</v>
      </c>
      <c r="P78" s="20">
        <f>SUMIFS('3월 단양 개인별 STAT'!P:P, '3월 단양 개인별 STAT'!$D:$D, $D78, '3월 단양 개인별 STAT'!$E:$E, $E78) + SUMIFS('4월 삼척 개인별 STAT'!P:P, '4월 삼척 개인별 STAT'!$D:$D, $D78, '4월 삼척 개인별 STAT'!$E:$E, $E78)</f>
        <v>19</v>
      </c>
      <c r="Q78" s="20">
        <f>SUMIFS('3월 단양 개인별 STAT'!Q:Q, '3월 단양 개인별 STAT'!$D:$D, $D78, '3월 단양 개인별 STAT'!$E:$E, $E78) + SUMIFS('4월 삼척 개인별 STAT'!Q:Q, '4월 삼척 개인별 STAT'!$D:$D, $D78, '4월 삼척 개인별 STAT'!$E:$E, $E78)</f>
        <v>3</v>
      </c>
      <c r="R78" s="21">
        <f t="shared" si="3"/>
        <v>29</v>
      </c>
      <c r="S78" s="22">
        <f t="shared" si="4"/>
        <v>0.14</v>
      </c>
      <c r="T78" s="20">
        <f>SUMIFS('3월 단양 개인별 STAT'!T:T, '3월 단양 개인별 STAT'!$D:$D, $D78, '3월 단양 개인별 STAT'!$E:$E, $E78) + SUMIFS('4월 삼척 개인별 STAT'!T:T, '4월 삼척 개인별 STAT'!$D:$D, $D78, '4월 삼척 개인별 STAT'!$E:$E, $E78)</f>
        <v>2</v>
      </c>
      <c r="U78" s="20">
        <f>SUMIFS('3월 단양 개인별 STAT'!U:U, '3월 단양 개인별 STAT'!$D:$D, $D78, '3월 단양 개인별 STAT'!$E:$E, $E78) + SUMIFS('4월 삼척 개인별 STAT'!U:U, '4월 삼척 개인별 STAT'!$D:$D, $D78, '4월 삼척 개인별 STAT'!$E:$E, $E78)</f>
        <v>0</v>
      </c>
      <c r="V78" s="20">
        <f>SUMIFS('3월 단양 개인별 STAT'!V:V, '3월 단양 개인별 STAT'!$D:$D, $D78, '3월 단양 개인별 STAT'!$E:$E, $E78) + SUMIFS('4월 삼척 개인별 STAT'!V:V, '4월 삼척 개인별 STAT'!$D:$D, $D78, '4월 삼척 개인별 STAT'!$E:$E, $E78)</f>
        <v>3</v>
      </c>
      <c r="W78" s="20">
        <f>SUMIFS('3월 단양 개인별 STAT'!W:W, '3월 단양 개인별 STAT'!$D:$D, $D78, '3월 단양 개인별 STAT'!$E:$E, $E78) + SUMIFS('4월 삼척 개인별 STAT'!W:W, '4월 삼척 개인별 STAT'!$D:$D, $D78, '4월 삼척 개인별 STAT'!$E:$E, $E78)</f>
        <v>54</v>
      </c>
      <c r="X78" s="20">
        <f>SUMIFS('3월 단양 개인별 STAT'!X:X, '3월 단양 개인별 STAT'!$D:$D, $D78, '3월 단양 개인별 STAT'!$E:$E, $E78) + SUMIFS('4월 삼척 개인별 STAT'!X:X, '4월 삼척 개인별 STAT'!$D:$D, $D78, '4월 삼척 개인별 STAT'!$E:$E, $E78)</f>
        <v>4</v>
      </c>
      <c r="Y78" s="20">
        <f>SUMIFS('3월 단양 개인별 STAT'!Y:Y, '3월 단양 개인별 STAT'!$D:$D, $D78, '3월 단양 개인별 STAT'!$E:$E, $E78) + SUMIFS('4월 삼척 개인별 STAT'!Y:Y, '4월 삼척 개인별 STAT'!$D:$D, $D78, '4월 삼척 개인별 STAT'!$E:$E, $E78)</f>
        <v>1</v>
      </c>
      <c r="Z78" s="21">
        <f t="shared" si="5"/>
        <v>59</v>
      </c>
      <c r="AA78" s="20">
        <f>SUMIFS('3월 단양 개인별 STAT'!AA:AA, '3월 단양 개인별 STAT'!$D:$D, $D78, '3월 단양 개인별 STAT'!$E:$E, $E78) + SUMIFS('4월 삼척 개인별 STAT'!AA:AA, '4월 삼척 개인별 STAT'!$D:$D, $D78, '4월 삼척 개인별 STAT'!$E:$E, $E78)</f>
        <v>0</v>
      </c>
      <c r="AB78" s="21">
        <f t="shared" si="6"/>
        <v>13</v>
      </c>
      <c r="AC78" s="23">
        <f t="shared" si="7"/>
        <v>15.25</v>
      </c>
      <c r="AD78" s="21">
        <f t="shared" si="8"/>
        <v>8</v>
      </c>
      <c r="AE78" s="20">
        <f>SUMIFS('3월 단양 개인별 STAT'!AE:AE, '3월 단양 개인별 STAT'!$D:$D, $D78, '3월 단양 개인별 STAT'!$E:$E, $E78) + SUMIFS('4월 삼척 개인별 STAT'!AE:AE, '4월 삼척 개인별 STAT'!$D:$D, $D78, '4월 삼척 개인별 STAT'!$E:$E, $E78)</f>
        <v>7</v>
      </c>
      <c r="AF78" s="20">
        <f>SUMIFS('3월 단양 개인별 STAT'!AF:AF, '3월 단양 개인별 STAT'!$D:$D, $D78, '3월 단양 개인별 STAT'!$E:$E, $E78) + SUMIFS('4월 삼척 개인별 STAT'!AF:AF, '4월 삼척 개인별 STAT'!$D:$D, $D78, '4월 삼척 개인별 STAT'!$E:$E, $E78)</f>
        <v>1</v>
      </c>
      <c r="AG78" s="24">
        <f t="shared" si="9"/>
        <v>87.5</v>
      </c>
      <c r="AH78" s="20">
        <f>SUMIFS('3월 단양 개인별 STAT'!AH:AH, '3월 단양 개인별 STAT'!$D:$D, $D78, '3월 단양 개인별 STAT'!$E:$E, $E78) + SUMIFS('4월 삼척 개인별 STAT'!AH:AH, '4월 삼척 개인별 STAT'!$D:$D, $D78, '4월 삼척 개인별 STAT'!$E:$E, $E78)</f>
        <v>13</v>
      </c>
      <c r="AI78" s="22" t="str">
        <f t="shared" si="10"/>
        <v>0.54</v>
      </c>
      <c r="AJ78" s="25"/>
      <c r="AK78" s="26"/>
      <c r="AL78" s="27">
        <f t="shared" si="11"/>
        <v>0.2916666667</v>
      </c>
      <c r="AM78" s="27">
        <f t="shared" si="30"/>
        <v>1.208333333</v>
      </c>
      <c r="AN78" s="28">
        <f t="shared" si="13"/>
        <v>0.2413793103</v>
      </c>
      <c r="AO78" s="27">
        <f t="shared" si="14"/>
        <v>0.08333333333</v>
      </c>
      <c r="AP78" s="27">
        <f t="shared" si="15"/>
        <v>0.1666666667</v>
      </c>
      <c r="AQ78" s="27">
        <f t="shared" ref="AQ78:AR78" si="92">iferror(AB78/$M78,"-")</f>
        <v>0.5416666667</v>
      </c>
      <c r="AR78" s="27">
        <f t="shared" si="92"/>
        <v>0.6354166667</v>
      </c>
      <c r="AS78" s="29">
        <f t="shared" si="17"/>
        <v>0.04166666667</v>
      </c>
      <c r="AT78" s="29" t="str">
        <f t="shared" si="18"/>
        <v>0.54</v>
      </c>
      <c r="AU78" s="26"/>
      <c r="AV78" s="26"/>
      <c r="AW78" s="26"/>
      <c r="AX78" s="26"/>
    </row>
    <row r="79">
      <c r="B79" s="17">
        <v>76.0</v>
      </c>
      <c r="C79" s="18">
        <f t="shared" si="2"/>
        <v>6</v>
      </c>
      <c r="D79" s="19" t="s">
        <v>127</v>
      </c>
      <c r="E79" s="19" t="s">
        <v>133</v>
      </c>
      <c r="F79" s="19">
        <v>2.0</v>
      </c>
      <c r="G79" s="19" t="s">
        <v>52</v>
      </c>
      <c r="H79" s="19" t="s">
        <v>48</v>
      </c>
      <c r="I79" s="19">
        <v>172.0</v>
      </c>
      <c r="J79" s="19">
        <v>60.0</v>
      </c>
      <c r="K79" s="20">
        <v>11.0</v>
      </c>
      <c r="L79" s="20">
        <f>SUMIFS('3월 단양 개인별 STAT'!L:L, '3월 단양 개인별 STAT'!$D:$D, $D79, '3월 단양 개인별 STAT'!$E:$E, $E79) + SUMIFS('4월 삼척 개인별 STAT'!L:L, '4월 삼척 개인별 STAT'!$D:$D, $D79, '4월 삼척 개인별 STAT'!$E:$E, $E79)</f>
        <v>7</v>
      </c>
      <c r="M79" s="20">
        <f>SUMIFS('3월 단양 개인별 STAT'!M:M, '3월 단양 개인별 STAT'!$D:$D, $D79, '3월 단양 개인별 STAT'!$E:$E, $E79) + SUMIFS('4월 삼척 개인별 STAT'!M:M, '4월 삼척 개인별 STAT'!$D:$D, $D79, '4월 삼척 개인별 STAT'!$E:$E, $E79)</f>
        <v>26</v>
      </c>
      <c r="N79" s="20">
        <f>SUMIFS('3월 단양 개인별 STAT'!N:N, '3월 단양 개인별 STAT'!$D:$D, $D79, '3월 단양 개인별 STAT'!$E:$E, $E79) + SUMIFS('4월 삼척 개인별 STAT'!N:N, '4월 삼척 개인별 STAT'!$D:$D, $D79, '4월 삼척 개인별 STAT'!$E:$E, $E79)</f>
        <v>44</v>
      </c>
      <c r="O79" s="20">
        <f>SUMIFS('3월 단양 개인별 STAT'!O:O, '3월 단양 개인별 STAT'!$D:$D, $D79, '3월 단양 개인별 STAT'!$E:$E, $E79) + SUMIFS('4월 삼척 개인별 STAT'!O:O, '4월 삼척 개인별 STAT'!$D:$D, $D79, '4월 삼척 개인별 STAT'!$E:$E, $E79)</f>
        <v>7</v>
      </c>
      <c r="P79" s="20">
        <f>SUMIFS('3월 단양 개인별 STAT'!P:P, '3월 단양 개인별 STAT'!$D:$D, $D79, '3월 단양 개인별 STAT'!$E:$E, $E79) + SUMIFS('4월 삼척 개인별 STAT'!P:P, '4월 삼척 개인별 STAT'!$D:$D, $D79, '4월 삼척 개인별 STAT'!$E:$E, $E79)</f>
        <v>82</v>
      </c>
      <c r="Q79" s="20">
        <f>SUMIFS('3월 단양 개인별 STAT'!Q:Q, '3월 단양 개인별 STAT'!$D:$D, $D79, '3월 단양 개인별 STAT'!$E:$E, $E79) + SUMIFS('4월 삼척 개인별 STAT'!Q:Q, '4월 삼척 개인별 STAT'!$D:$D, $D79, '4월 삼척 개인별 STAT'!$E:$E, $E79)</f>
        <v>12</v>
      </c>
      <c r="R79" s="21">
        <f t="shared" si="3"/>
        <v>138</v>
      </c>
      <c r="S79" s="22">
        <f t="shared" si="4"/>
        <v>0.23</v>
      </c>
      <c r="T79" s="20">
        <f>SUMIFS('3월 단양 개인별 STAT'!T:T, '3월 단양 개인별 STAT'!$D:$D, $D79, '3월 단양 개인별 STAT'!$E:$E, $E79) + SUMIFS('4월 삼척 개인별 STAT'!T:T, '4월 삼척 개인별 STAT'!$D:$D, $D79, '4월 삼척 개인별 STAT'!$E:$E, $E79)</f>
        <v>0</v>
      </c>
      <c r="U79" s="20">
        <f>SUMIFS('3월 단양 개인별 STAT'!U:U, '3월 단양 개인별 STAT'!$D:$D, $D79, '3월 단양 개인별 STAT'!$E:$E, $E79) + SUMIFS('4월 삼척 개인별 STAT'!U:U, '4월 삼척 개인별 STAT'!$D:$D, $D79, '4월 삼척 개인별 STAT'!$E:$E, $E79)</f>
        <v>0</v>
      </c>
      <c r="V79" s="20">
        <f>SUMIFS('3월 단양 개인별 STAT'!V:V, '3월 단양 개인별 STAT'!$D:$D, $D79, '3월 단양 개인별 STAT'!$E:$E, $E79) + SUMIFS('4월 삼척 개인별 STAT'!V:V, '4월 삼척 개인별 STAT'!$D:$D, $D79, '4월 삼척 개인별 STAT'!$E:$E, $E79)</f>
        <v>3</v>
      </c>
      <c r="W79" s="20">
        <f>SUMIFS('3월 단양 개인별 STAT'!W:W, '3월 단양 개인별 STAT'!$D:$D, $D79, '3월 단양 개인별 STAT'!$E:$E, $E79) + SUMIFS('4월 삼척 개인별 STAT'!W:W, '4월 삼척 개인별 STAT'!$D:$D, $D79, '4월 삼척 개인별 STAT'!$E:$E, $E79)</f>
        <v>71</v>
      </c>
      <c r="X79" s="20">
        <f>SUMIFS('3월 단양 개인별 STAT'!X:X, '3월 단양 개인별 STAT'!$D:$D, $D79, '3월 단양 개인별 STAT'!$E:$E, $E79) + SUMIFS('4월 삼척 개인별 STAT'!X:X, '4월 삼척 개인별 STAT'!$D:$D, $D79, '4월 삼척 개인별 STAT'!$E:$E, $E79)</f>
        <v>7</v>
      </c>
      <c r="Y79" s="20">
        <f>SUMIFS('3월 단양 개인별 STAT'!Y:Y, '3월 단양 개인별 STAT'!$D:$D, $D79, '3월 단양 개인별 STAT'!$E:$E, $E79) + SUMIFS('4월 삼척 개인별 STAT'!Y:Y, '4월 삼척 개인별 STAT'!$D:$D, $D79, '4월 삼척 개인별 STAT'!$E:$E, $E79)</f>
        <v>1</v>
      </c>
      <c r="Z79" s="21">
        <f t="shared" si="5"/>
        <v>79</v>
      </c>
      <c r="AA79" s="20">
        <f>SUMIFS('3월 단양 개인별 STAT'!AA:AA, '3월 단양 개인별 STAT'!$D:$D, $D79, '3월 단양 개인별 STAT'!$E:$E, $E79) + SUMIFS('4월 삼척 개인별 STAT'!AA:AA, '4월 삼척 개인별 STAT'!$D:$D, $D79, '4월 삼척 개인별 STAT'!$E:$E, $E79)</f>
        <v>0</v>
      </c>
      <c r="AB79" s="21">
        <f t="shared" si="6"/>
        <v>51</v>
      </c>
      <c r="AC79" s="23">
        <f t="shared" si="7"/>
        <v>53.25</v>
      </c>
      <c r="AD79" s="21">
        <f t="shared" si="8"/>
        <v>106</v>
      </c>
      <c r="AE79" s="20">
        <f>SUMIFS('3월 단양 개인별 STAT'!AE:AE, '3월 단양 개인별 STAT'!$D:$D, $D79, '3월 단양 개인별 STAT'!$E:$E, $E79) + SUMIFS('4월 삼척 개인별 STAT'!AE:AE, '4월 삼척 개인별 STAT'!$D:$D, $D79, '4월 삼척 개인별 STAT'!$E:$E, $E79)</f>
        <v>95</v>
      </c>
      <c r="AF79" s="20">
        <f>SUMIFS('3월 단양 개인별 STAT'!AF:AF, '3월 단양 개인별 STAT'!$D:$D, $D79, '3월 단양 개인별 STAT'!$E:$E, $E79) + SUMIFS('4월 삼척 개인별 STAT'!AF:AF, '4월 삼척 개인별 STAT'!$D:$D, $D79, '4월 삼척 개인별 STAT'!$E:$E, $E79)</f>
        <v>11</v>
      </c>
      <c r="AG79" s="24">
        <f t="shared" si="9"/>
        <v>89.62264151</v>
      </c>
      <c r="AH79" s="20">
        <f>SUMIFS('3월 단양 개인별 STAT'!AH:AH, '3월 단양 개인별 STAT'!$D:$D, $D79, '3월 단양 개인별 STAT'!$E:$E, $E79) + SUMIFS('4월 삼척 개인별 STAT'!AH:AH, '4월 삼척 개인별 STAT'!$D:$D, $D79, '4월 삼척 개인별 STAT'!$E:$E, $E79)</f>
        <v>44</v>
      </c>
      <c r="AI79" s="22" t="str">
        <f t="shared" si="10"/>
        <v>1.69</v>
      </c>
      <c r="AJ79" s="25"/>
      <c r="AK79" s="26"/>
      <c r="AL79" s="27">
        <f t="shared" si="11"/>
        <v>1.692307692</v>
      </c>
      <c r="AM79" s="27">
        <f t="shared" si="30"/>
        <v>5.307692308</v>
      </c>
      <c r="AN79" s="28">
        <f t="shared" si="13"/>
        <v>0.3188405797</v>
      </c>
      <c r="AO79" s="27">
        <f t="shared" si="14"/>
        <v>0</v>
      </c>
      <c r="AP79" s="27">
        <f t="shared" si="15"/>
        <v>0.2692307692</v>
      </c>
      <c r="AQ79" s="27">
        <f t="shared" ref="AQ79:AR79" si="93">iferror(AB79/$M79,"-")</f>
        <v>1.961538462</v>
      </c>
      <c r="AR79" s="27">
        <f t="shared" si="93"/>
        <v>2.048076923</v>
      </c>
      <c r="AS79" s="29">
        <f t="shared" si="17"/>
        <v>0.4230769231</v>
      </c>
      <c r="AT79" s="29" t="str">
        <f t="shared" si="18"/>
        <v>1.69</v>
      </c>
      <c r="AU79" s="26"/>
      <c r="AV79" s="26"/>
      <c r="AW79" s="26"/>
      <c r="AX79" s="26"/>
    </row>
    <row r="80">
      <c r="B80" s="17">
        <v>77.0</v>
      </c>
      <c r="C80" s="18">
        <f t="shared" si="2"/>
        <v>7</v>
      </c>
      <c r="D80" s="19" t="s">
        <v>127</v>
      </c>
      <c r="E80" s="19" t="s">
        <v>134</v>
      </c>
      <c r="F80" s="19">
        <v>2.0</v>
      </c>
      <c r="G80" s="19" t="s">
        <v>47</v>
      </c>
      <c r="H80" s="19" t="s">
        <v>48</v>
      </c>
      <c r="I80" s="19">
        <v>179.0</v>
      </c>
      <c r="J80" s="19">
        <v>75.0</v>
      </c>
      <c r="K80" s="20">
        <v>13.0</v>
      </c>
      <c r="L80" s="20">
        <f>SUMIFS('3월 단양 개인별 STAT'!L:L, '3월 단양 개인별 STAT'!$D:$D, $D80, '3월 단양 개인별 STAT'!$E:$E, $E80) + SUMIFS('4월 삼척 개인별 STAT'!L:L, '4월 삼척 개인별 STAT'!$D:$D, $D80, '4월 삼척 개인별 STAT'!$E:$E, $E80)</f>
        <v>7</v>
      </c>
      <c r="M80" s="20">
        <f>SUMIFS('3월 단양 개인별 STAT'!M:M, '3월 단양 개인별 STAT'!$D:$D, $D80, '3월 단양 개인별 STAT'!$E:$E, $E80) + SUMIFS('4월 삼척 개인별 STAT'!M:M, '4월 삼척 개인별 STAT'!$D:$D, $D80, '4월 삼척 개인별 STAT'!$E:$E, $E80)</f>
        <v>26</v>
      </c>
      <c r="N80" s="20">
        <f>SUMIFS('3월 단양 개인별 STAT'!N:N, '3월 단양 개인별 STAT'!$D:$D, $D80, '3월 단양 개인별 STAT'!$E:$E, $E80) + SUMIFS('4월 삼척 개인별 STAT'!N:N, '4월 삼척 개인별 STAT'!$D:$D, $D80, '4월 삼척 개인별 STAT'!$E:$E, $E80)</f>
        <v>47</v>
      </c>
      <c r="O80" s="20">
        <f>SUMIFS('3월 단양 개인별 STAT'!O:O, '3월 단양 개인별 STAT'!$D:$D, $D80, '3월 단양 개인별 STAT'!$E:$E, $E80) + SUMIFS('4월 삼척 개인별 STAT'!O:O, '4월 삼척 개인별 STAT'!$D:$D, $D80, '4월 삼척 개인별 STAT'!$E:$E, $E80)</f>
        <v>4</v>
      </c>
      <c r="P80" s="20">
        <f>SUMIFS('3월 단양 개인별 STAT'!P:P, '3월 단양 개인별 STAT'!$D:$D, $D80, '3월 단양 개인별 STAT'!$E:$E, $E80) + SUMIFS('4월 삼척 개인별 STAT'!P:P, '4월 삼척 개인별 STAT'!$D:$D, $D80, '4월 삼척 개인별 STAT'!$E:$E, $E80)</f>
        <v>65</v>
      </c>
      <c r="Q80" s="20">
        <f>SUMIFS('3월 단양 개인별 STAT'!Q:Q, '3월 단양 개인별 STAT'!$D:$D, $D80, '3월 단양 개인별 STAT'!$E:$E, $E80) + SUMIFS('4월 삼척 개인별 STAT'!Q:Q, '4월 삼척 개인별 STAT'!$D:$D, $D80, '4월 삼척 개인별 STAT'!$E:$E, $E80)</f>
        <v>18</v>
      </c>
      <c r="R80" s="21">
        <f t="shared" si="3"/>
        <v>130</v>
      </c>
      <c r="S80" s="22">
        <f t="shared" si="4"/>
        <v>0.22</v>
      </c>
      <c r="T80" s="20">
        <f>SUMIFS('3월 단양 개인별 STAT'!T:T, '3월 단양 개인별 STAT'!$D:$D, $D80, '3월 단양 개인별 STAT'!$E:$E, $E80) + SUMIFS('4월 삼척 개인별 STAT'!T:T, '4월 삼척 개인별 STAT'!$D:$D, $D80, '4월 삼척 개인별 STAT'!$E:$E, $E80)</f>
        <v>3</v>
      </c>
      <c r="U80" s="20">
        <f>SUMIFS('3월 단양 개인별 STAT'!U:U, '3월 단양 개인별 STAT'!$D:$D, $D80, '3월 단양 개인별 STAT'!$E:$E, $E80) + SUMIFS('4월 삼척 개인별 STAT'!U:U, '4월 삼척 개인별 STAT'!$D:$D, $D80, '4월 삼척 개인별 STAT'!$E:$E, $E80)</f>
        <v>0</v>
      </c>
      <c r="V80" s="20">
        <f>SUMIFS('3월 단양 개인별 STAT'!V:V, '3월 단양 개인별 STAT'!$D:$D, $D80, '3월 단양 개인별 STAT'!$E:$E, $E80) + SUMIFS('4월 삼척 개인별 STAT'!V:V, '4월 삼척 개인별 STAT'!$D:$D, $D80, '4월 삼척 개인별 STAT'!$E:$E, $E80)</f>
        <v>4</v>
      </c>
      <c r="W80" s="20">
        <f>SUMIFS('3월 단양 개인별 STAT'!W:W, '3월 단양 개인별 STAT'!$D:$D, $D80, '3월 단양 개인별 STAT'!$E:$E, $E80) + SUMIFS('4월 삼척 개인별 STAT'!W:W, '4월 삼척 개인별 STAT'!$D:$D, $D80, '4월 삼척 개인별 STAT'!$E:$E, $E80)</f>
        <v>65</v>
      </c>
      <c r="X80" s="20">
        <f>SUMIFS('3월 단양 개인별 STAT'!X:X, '3월 단양 개인별 STAT'!$D:$D, $D80, '3월 단양 개인별 STAT'!$E:$E, $E80) + SUMIFS('4월 삼척 개인별 STAT'!X:X, '4월 삼척 개인별 STAT'!$D:$D, $D80, '4월 삼척 개인별 STAT'!$E:$E, $E80)</f>
        <v>7</v>
      </c>
      <c r="Y80" s="20">
        <f>SUMIFS('3월 단양 개인별 STAT'!Y:Y, '3월 단양 개인별 STAT'!$D:$D, $D80, '3월 단양 개인별 STAT'!$E:$E, $E80) + SUMIFS('4월 삼척 개인별 STAT'!Y:Y, '4월 삼척 개인별 STAT'!$D:$D, $D80, '4월 삼척 개인별 STAT'!$E:$E, $E80)</f>
        <v>24</v>
      </c>
      <c r="Z80" s="21">
        <f t="shared" si="5"/>
        <v>96</v>
      </c>
      <c r="AA80" s="20">
        <f>SUMIFS('3월 단양 개인별 STAT'!AA:AA, '3월 단양 개인별 STAT'!$D:$D, $D80, '3월 단양 개인별 STAT'!$E:$E, $E80) + SUMIFS('4월 삼척 개인별 STAT'!AA:AA, '4월 삼척 개인별 STAT'!$D:$D, $D80, '4월 삼척 개인별 STAT'!$E:$E, $E80)</f>
        <v>3</v>
      </c>
      <c r="AB80" s="21">
        <f t="shared" si="6"/>
        <v>57</v>
      </c>
      <c r="AC80" s="23">
        <f t="shared" si="7"/>
        <v>60</v>
      </c>
      <c r="AD80" s="21">
        <f t="shared" si="8"/>
        <v>11</v>
      </c>
      <c r="AE80" s="20">
        <f>SUMIFS('3월 단양 개인별 STAT'!AE:AE, '3월 단양 개인별 STAT'!$D:$D, $D80, '3월 단양 개인별 STAT'!$E:$E, $E80) + SUMIFS('4월 삼척 개인별 STAT'!AE:AE, '4월 삼척 개인별 STAT'!$D:$D, $D80, '4월 삼척 개인별 STAT'!$E:$E, $E80)</f>
        <v>8</v>
      </c>
      <c r="AF80" s="20">
        <f>SUMIFS('3월 단양 개인별 STAT'!AF:AF, '3월 단양 개인별 STAT'!$D:$D, $D80, '3월 단양 개인별 STAT'!$E:$E, $E80) + SUMIFS('4월 삼척 개인별 STAT'!AF:AF, '4월 삼척 개인별 STAT'!$D:$D, $D80, '4월 삼척 개인별 STAT'!$E:$E, $E80)</f>
        <v>3</v>
      </c>
      <c r="AG80" s="24">
        <f t="shared" si="9"/>
        <v>72.72727273</v>
      </c>
      <c r="AH80" s="20">
        <f>SUMIFS('3월 단양 개인별 STAT'!AH:AH, '3월 단양 개인별 STAT'!$D:$D, $D80, '3월 단양 개인별 STAT'!$E:$E, $E80) + SUMIFS('4월 삼척 개인별 STAT'!AH:AH, '4월 삼척 개인별 STAT'!$D:$D, $D80, '4월 삼척 개인별 STAT'!$E:$E, $E80)</f>
        <v>15</v>
      </c>
      <c r="AI80" s="22" t="str">
        <f t="shared" si="10"/>
        <v>0.58</v>
      </c>
      <c r="AJ80" s="25"/>
      <c r="AK80" s="26"/>
      <c r="AL80" s="27">
        <f t="shared" si="11"/>
        <v>1.807692308</v>
      </c>
      <c r="AM80" s="27">
        <f t="shared" si="30"/>
        <v>5</v>
      </c>
      <c r="AN80" s="28">
        <f t="shared" si="13"/>
        <v>0.3615384615</v>
      </c>
      <c r="AO80" s="27">
        <f t="shared" si="14"/>
        <v>0.1153846154</v>
      </c>
      <c r="AP80" s="27">
        <f t="shared" si="15"/>
        <v>0.2692307692</v>
      </c>
      <c r="AQ80" s="27">
        <f t="shared" ref="AQ80:AR80" si="94">iferror(AB80/$M80,"-")</f>
        <v>2.192307692</v>
      </c>
      <c r="AR80" s="27">
        <f t="shared" si="94"/>
        <v>2.307692308</v>
      </c>
      <c r="AS80" s="29">
        <f t="shared" si="17"/>
        <v>0.1153846154</v>
      </c>
      <c r="AT80" s="29" t="str">
        <f t="shared" si="18"/>
        <v>0.58</v>
      </c>
      <c r="AU80" s="26"/>
      <c r="AV80" s="26"/>
      <c r="AW80" s="26"/>
      <c r="AX80" s="26"/>
    </row>
    <row r="81">
      <c r="B81" s="17">
        <v>78.0</v>
      </c>
      <c r="C81" s="18">
        <f t="shared" si="2"/>
        <v>8</v>
      </c>
      <c r="D81" s="19" t="s">
        <v>127</v>
      </c>
      <c r="E81" s="19" t="s">
        <v>135</v>
      </c>
      <c r="F81" s="19">
        <v>2.0</v>
      </c>
      <c r="G81" s="19" t="s">
        <v>50</v>
      </c>
      <c r="H81" s="19" t="s">
        <v>48</v>
      </c>
      <c r="I81" s="19">
        <v>168.0</v>
      </c>
      <c r="J81" s="19">
        <v>62.0</v>
      </c>
      <c r="K81" s="20">
        <v>15.0</v>
      </c>
      <c r="L81" s="20">
        <f>SUMIFS('3월 단양 개인별 STAT'!L:L, '3월 단양 개인별 STAT'!$D:$D, $D81, '3월 단양 개인별 STAT'!$E:$E, $E81) + SUMIFS('4월 삼척 개인별 STAT'!L:L, '4월 삼척 개인별 STAT'!$D:$D, $D81, '4월 삼척 개인별 STAT'!$E:$E, $E81)</f>
        <v>7</v>
      </c>
      <c r="M81" s="20">
        <f>SUMIFS('3월 단양 개인별 STAT'!M:M, '3월 단양 개인별 STAT'!$D:$D, $D81, '3월 단양 개인별 STAT'!$E:$E, $E81) + SUMIFS('4월 삼척 개인별 STAT'!M:M, '4월 삼척 개인별 STAT'!$D:$D, $D81, '4월 삼척 개인별 STAT'!$E:$E, $E81)</f>
        <v>26</v>
      </c>
      <c r="N81" s="20">
        <f>SUMIFS('3월 단양 개인별 STAT'!N:N, '3월 단양 개인별 STAT'!$D:$D, $D81, '3월 단양 개인별 STAT'!$E:$E, $E81) + SUMIFS('4월 삼척 개인별 STAT'!N:N, '4월 삼척 개인별 STAT'!$D:$D, $D81, '4월 삼척 개인별 STAT'!$E:$E, $E81)</f>
        <v>0</v>
      </c>
      <c r="O81" s="20">
        <f>SUMIFS('3월 단양 개인별 STAT'!O:O, '3월 단양 개인별 STAT'!$D:$D, $D81, '3월 단양 개인별 STAT'!$E:$E, $E81) + SUMIFS('4월 삼척 개인별 STAT'!O:O, '4월 삼척 개인별 STAT'!$D:$D, $D81, '4월 삼척 개인별 STAT'!$E:$E, $E81)</f>
        <v>15</v>
      </c>
      <c r="P81" s="20">
        <f>SUMIFS('3월 단양 개인별 STAT'!P:P, '3월 단양 개인별 STAT'!$D:$D, $D81, '3월 단양 개인별 STAT'!$E:$E, $E81) + SUMIFS('4월 삼척 개인별 STAT'!P:P, '4월 삼척 개인별 STAT'!$D:$D, $D81, '4월 삼척 개인별 STAT'!$E:$E, $E81)</f>
        <v>0</v>
      </c>
      <c r="Q81" s="20">
        <f>SUMIFS('3월 단양 개인별 STAT'!Q:Q, '3월 단양 개인별 STAT'!$D:$D, $D81, '3월 단양 개인별 STAT'!$E:$E, $E81) + SUMIFS('4월 삼척 개인별 STAT'!Q:Q, '4월 삼척 개인별 STAT'!$D:$D, $D81, '4월 삼척 개인별 STAT'!$E:$E, $E81)</f>
        <v>0</v>
      </c>
      <c r="R81" s="30" t="str">
        <f t="shared" si="3"/>
        <v>-</v>
      </c>
      <c r="S81" s="22" t="str">
        <f t="shared" si="4"/>
        <v>-</v>
      </c>
      <c r="T81" s="20">
        <f>SUMIFS('3월 단양 개인별 STAT'!T:T, '3월 단양 개인별 STAT'!$D:$D, $D81, '3월 단양 개인별 STAT'!$E:$E, $E81) + SUMIFS('4월 삼척 개인별 STAT'!T:T, '4월 삼척 개인별 STAT'!$D:$D, $D81, '4월 삼척 개인별 STAT'!$E:$E, $E81)</f>
        <v>0</v>
      </c>
      <c r="U81" s="20">
        <f>SUMIFS('3월 단양 개인별 STAT'!U:U, '3월 단양 개인별 STAT'!$D:$D, $D81, '3월 단양 개인별 STAT'!$E:$E, $E81) + SUMIFS('4월 삼척 개인별 STAT'!U:U, '4월 삼척 개인별 STAT'!$D:$D, $D81, '4월 삼척 개인별 STAT'!$E:$E, $E81)</f>
        <v>0</v>
      </c>
      <c r="V81" s="20">
        <f>SUMIFS('3월 단양 개인별 STAT'!V:V, '3월 단양 개인별 STAT'!$D:$D, $D81, '3월 단양 개인별 STAT'!$E:$E, $E81) + SUMIFS('4월 삼척 개인별 STAT'!V:V, '4월 삼척 개인별 STAT'!$D:$D, $D81, '4월 삼척 개인별 STAT'!$E:$E, $E81)</f>
        <v>0</v>
      </c>
      <c r="W81" s="20">
        <f>SUMIFS('3월 단양 개인별 STAT'!W:W, '3월 단양 개인별 STAT'!$D:$D, $D81, '3월 단양 개인별 STAT'!$E:$E, $E81) + SUMIFS('4월 삼척 개인별 STAT'!W:W, '4월 삼척 개인별 STAT'!$D:$D, $D81, '4월 삼척 개인별 STAT'!$E:$E, $E81)</f>
        <v>0</v>
      </c>
      <c r="X81" s="20">
        <f>SUMIFS('3월 단양 개인별 STAT'!X:X, '3월 단양 개인별 STAT'!$D:$D, $D81, '3월 단양 개인별 STAT'!$E:$E, $E81) + SUMIFS('4월 삼척 개인별 STAT'!X:X, '4월 삼척 개인별 STAT'!$D:$D, $D81, '4월 삼척 개인별 STAT'!$E:$E, $E81)</f>
        <v>0</v>
      </c>
      <c r="Y81" s="20">
        <f>SUMIFS('3월 단양 개인별 STAT'!Y:Y, '3월 단양 개인별 STAT'!$D:$D, $D81, '3월 단양 개인별 STAT'!$E:$E, $E81) + SUMIFS('4월 삼척 개인별 STAT'!Y:Y, '4월 삼척 개인별 STAT'!$D:$D, $D81, '4월 삼척 개인별 STAT'!$E:$E, $E81)</f>
        <v>0</v>
      </c>
      <c r="Z81" s="30" t="str">
        <f t="shared" si="5"/>
        <v>-</v>
      </c>
      <c r="AA81" s="20">
        <f>SUMIFS('3월 단양 개인별 STAT'!AA:AA, '3월 단양 개인별 STAT'!$D:$D, $D81, '3월 단양 개인별 STAT'!$E:$E, $E81) + SUMIFS('4월 삼척 개인별 STAT'!AA:AA, '4월 삼척 개인별 STAT'!$D:$D, $D81, '4월 삼척 개인별 STAT'!$E:$E, $E81)</f>
        <v>1</v>
      </c>
      <c r="AB81" s="30" t="str">
        <f t="shared" si="6"/>
        <v>-</v>
      </c>
      <c r="AC81" s="23">
        <f t="shared" si="7"/>
        <v>0</v>
      </c>
      <c r="AD81" s="21">
        <f t="shared" si="8"/>
        <v>126</v>
      </c>
      <c r="AE81" s="20">
        <f>SUMIFS('3월 단양 개인별 STAT'!AE:AE, '3월 단양 개인별 STAT'!$D:$D, $D81, '3월 단양 개인별 STAT'!$E:$E, $E81) + SUMIFS('4월 삼척 개인별 STAT'!AE:AE, '4월 삼척 개인별 STAT'!$D:$D, $D81, '4월 삼척 개인별 STAT'!$E:$E, $E81)</f>
        <v>111</v>
      </c>
      <c r="AF81" s="20">
        <f>SUMIFS('3월 단양 개인별 STAT'!AF:AF, '3월 단양 개인별 STAT'!$D:$D, $D81, '3월 단양 개인별 STAT'!$E:$E, $E81) + SUMIFS('4월 삼척 개인별 STAT'!AF:AF, '4월 삼척 개인별 STAT'!$D:$D, $D81, '4월 삼척 개인별 STAT'!$E:$E, $E81)</f>
        <v>15</v>
      </c>
      <c r="AG81" s="24">
        <f t="shared" si="9"/>
        <v>88.0952381</v>
      </c>
      <c r="AH81" s="20">
        <f>SUMIFS('3월 단양 개인별 STAT'!AH:AH, '3월 단양 개인별 STAT'!$D:$D, $D81, '3월 단양 개인별 STAT'!$E:$E, $E81) + SUMIFS('4월 삼척 개인별 STAT'!AH:AH, '4월 삼척 개인별 STAT'!$D:$D, $D81, '4월 삼척 개인별 STAT'!$E:$E, $E81)</f>
        <v>79</v>
      </c>
      <c r="AI81" s="22" t="str">
        <f t="shared" si="10"/>
        <v>3.04</v>
      </c>
      <c r="AJ81" s="25"/>
      <c r="AK81" s="26"/>
      <c r="AL81" s="27">
        <f t="shared" si="11"/>
        <v>0</v>
      </c>
      <c r="AM81" s="27" t="str">
        <f t="shared" si="30"/>
        <v>-</v>
      </c>
      <c r="AN81" s="28" t="str">
        <f t="shared" si="13"/>
        <v>-</v>
      </c>
      <c r="AO81" s="27">
        <f t="shared" si="14"/>
        <v>0</v>
      </c>
      <c r="AP81" s="27">
        <f t="shared" si="15"/>
        <v>0</v>
      </c>
      <c r="AQ81" s="27" t="str">
        <f t="shared" ref="AQ81:AR81" si="95">iferror(AB81/$M81,"-")</f>
        <v>-</v>
      </c>
      <c r="AR81" s="27">
        <f t="shared" si="95"/>
        <v>0</v>
      </c>
      <c r="AS81" s="29">
        <f t="shared" si="17"/>
        <v>0.5769230769</v>
      </c>
      <c r="AT81" s="29" t="str">
        <f t="shared" si="18"/>
        <v>3.04</v>
      </c>
      <c r="AU81" s="26"/>
      <c r="AV81" s="26"/>
      <c r="AW81" s="26"/>
      <c r="AX81" s="26"/>
    </row>
    <row r="82">
      <c r="B82" s="17">
        <v>79.0</v>
      </c>
      <c r="C82" s="18">
        <f t="shared" si="2"/>
        <v>9</v>
      </c>
      <c r="D82" s="19" t="s">
        <v>127</v>
      </c>
      <c r="E82" s="19" t="s">
        <v>136</v>
      </c>
      <c r="F82" s="19">
        <v>2.0</v>
      </c>
      <c r="G82" s="19" t="s">
        <v>54</v>
      </c>
      <c r="H82" s="19" t="s">
        <v>48</v>
      </c>
      <c r="I82" s="19">
        <v>164.0</v>
      </c>
      <c r="J82" s="19">
        <v>51.0</v>
      </c>
      <c r="K82" s="20">
        <v>17.0</v>
      </c>
      <c r="L82" s="20">
        <f>SUMIFS('3월 단양 개인별 STAT'!L:L, '3월 단양 개인별 STAT'!$D:$D, $D82, '3월 단양 개인별 STAT'!$E:$E, $E82) + SUMIFS('4월 삼척 개인별 STAT'!L:L, '4월 삼척 개인별 STAT'!$D:$D, $D82, '4월 삼척 개인별 STAT'!$E:$E, $E82)</f>
        <v>7</v>
      </c>
      <c r="M82" s="20">
        <f>SUMIFS('3월 단양 개인별 STAT'!M:M, '3월 단양 개인별 STAT'!$D:$D, $D82, '3월 단양 개인별 STAT'!$E:$E, $E82) + SUMIFS('4월 삼척 개인별 STAT'!M:M, '4월 삼척 개인별 STAT'!$D:$D, $D82, '4월 삼척 개인별 STAT'!$E:$E, $E82)</f>
        <v>26</v>
      </c>
      <c r="N82" s="20">
        <f>SUMIFS('3월 단양 개인별 STAT'!N:N, '3월 단양 개인별 STAT'!$D:$D, $D82, '3월 단양 개인별 STAT'!$E:$E, $E82) + SUMIFS('4월 삼척 개인별 STAT'!N:N, '4월 삼척 개인별 STAT'!$D:$D, $D82, '4월 삼척 개인별 STAT'!$E:$E, $E82)</f>
        <v>1</v>
      </c>
      <c r="O82" s="20">
        <f>SUMIFS('3월 단양 개인별 STAT'!O:O, '3월 단양 개인별 STAT'!$D:$D, $D82, '3월 단양 개인별 STAT'!$E:$E, $E82) + SUMIFS('4월 삼척 개인별 STAT'!O:O, '4월 삼척 개인별 STAT'!$D:$D, $D82, '4월 삼척 개인별 STAT'!$E:$E, $E82)</f>
        <v>174</v>
      </c>
      <c r="P82" s="20">
        <f>SUMIFS('3월 단양 개인별 STAT'!P:P, '3월 단양 개인별 STAT'!$D:$D, $D82, '3월 단양 개인별 STAT'!$E:$E, $E82) + SUMIFS('4월 삼척 개인별 STAT'!P:P, '4월 삼척 개인별 STAT'!$D:$D, $D82, '4월 삼척 개인별 STAT'!$E:$E, $E82)</f>
        <v>4</v>
      </c>
      <c r="Q82" s="20">
        <f>SUMIFS('3월 단양 개인별 STAT'!Q:Q, '3월 단양 개인별 STAT'!$D:$D, $D82, '3월 단양 개인별 STAT'!$E:$E, $E82) + SUMIFS('4월 삼척 개인별 STAT'!Q:Q, '4월 삼척 개인별 STAT'!$D:$D, $D82, '4월 삼척 개인별 STAT'!$E:$E, $E82)</f>
        <v>4</v>
      </c>
      <c r="R82" s="21">
        <f t="shared" si="3"/>
        <v>9</v>
      </c>
      <c r="S82" s="22">
        <f t="shared" si="4"/>
        <v>-0.33</v>
      </c>
      <c r="T82" s="20">
        <f>SUMIFS('3월 단양 개인별 STAT'!T:T, '3월 단양 개인별 STAT'!$D:$D, $D82, '3월 단양 개인별 STAT'!$E:$E, $E82) + SUMIFS('4월 삼척 개인별 STAT'!T:T, '4월 삼척 개인별 STAT'!$D:$D, $D82, '4월 삼척 개인별 STAT'!$E:$E, $E82)</f>
        <v>0</v>
      </c>
      <c r="U82" s="20">
        <f>SUMIFS('3월 단양 개인별 STAT'!U:U, '3월 단양 개인별 STAT'!$D:$D, $D82, '3월 단양 개인별 STAT'!$E:$E, $E82) + SUMIFS('4월 삼척 개인별 STAT'!U:U, '4월 삼척 개인별 STAT'!$D:$D, $D82, '4월 삼척 개인별 STAT'!$E:$E, $E82)</f>
        <v>0</v>
      </c>
      <c r="V82" s="20">
        <f>SUMIFS('3월 단양 개인별 STAT'!V:V, '3월 단양 개인별 STAT'!$D:$D, $D82, '3월 단양 개인별 STAT'!$E:$E, $E82) + SUMIFS('4월 삼척 개인별 STAT'!V:V, '4월 삼척 개인별 STAT'!$D:$D, $D82, '4월 삼척 개인별 STAT'!$E:$E, $E82)</f>
        <v>2</v>
      </c>
      <c r="W82" s="20">
        <f>SUMIFS('3월 단양 개인별 STAT'!W:W, '3월 단양 개인별 STAT'!$D:$D, $D82, '3월 단양 개인별 STAT'!$E:$E, $E82) + SUMIFS('4월 삼척 개인별 STAT'!W:W, '4월 삼척 개인별 STAT'!$D:$D, $D82, '4월 삼척 개인별 STAT'!$E:$E, $E82)</f>
        <v>66</v>
      </c>
      <c r="X82" s="20">
        <f>SUMIFS('3월 단양 개인별 STAT'!X:X, '3월 단양 개인별 STAT'!$D:$D, $D82, '3월 단양 개인별 STAT'!$E:$E, $E82) + SUMIFS('4월 삼척 개인별 STAT'!X:X, '4월 삼척 개인별 STAT'!$D:$D, $D82, '4월 삼척 개인별 STAT'!$E:$E, $E82)</f>
        <v>3</v>
      </c>
      <c r="Y82" s="20">
        <f>SUMIFS('3월 단양 개인별 STAT'!Y:Y, '3월 단양 개인별 STAT'!$D:$D, $D82, '3월 단양 개인별 STAT'!$E:$E, $E82) + SUMIFS('4월 삼척 개인별 STAT'!Y:Y, '4월 삼척 개인별 STAT'!$D:$D, $D82, '4월 삼척 개인별 STAT'!$E:$E, $E82)</f>
        <v>3</v>
      </c>
      <c r="Z82" s="21">
        <f t="shared" si="5"/>
        <v>72</v>
      </c>
      <c r="AA82" s="20">
        <f>SUMIFS('3월 단양 개인별 STAT'!AA:AA, '3월 단양 개인별 STAT'!$D:$D, $D82, '3월 단양 개인별 STAT'!$E:$E, $E82) + SUMIFS('4월 삼척 개인별 STAT'!AA:AA, '4월 삼척 개인별 STAT'!$D:$D, $D82, '4월 삼척 개인별 STAT'!$E:$E, $E82)</f>
        <v>1</v>
      </c>
      <c r="AB82" s="21">
        <f t="shared" si="6"/>
        <v>4</v>
      </c>
      <c r="AC82" s="23">
        <f t="shared" si="7"/>
        <v>5.5</v>
      </c>
      <c r="AD82" s="21">
        <f t="shared" si="8"/>
        <v>4</v>
      </c>
      <c r="AE82" s="20">
        <f>SUMIFS('3월 단양 개인별 STAT'!AE:AE, '3월 단양 개인별 STAT'!$D:$D, $D82, '3월 단양 개인별 STAT'!$E:$E, $E82) + SUMIFS('4월 삼척 개인별 STAT'!AE:AE, '4월 삼척 개인별 STAT'!$D:$D, $D82, '4월 삼척 개인별 STAT'!$E:$E, $E82)</f>
        <v>2</v>
      </c>
      <c r="AF82" s="20">
        <f>SUMIFS('3월 단양 개인별 STAT'!AF:AF, '3월 단양 개인별 STAT'!$D:$D, $D82, '3월 단양 개인별 STAT'!$E:$E, $E82) + SUMIFS('4월 삼척 개인별 STAT'!AF:AF, '4월 삼척 개인별 STAT'!$D:$D, $D82, '4월 삼척 개인별 STAT'!$E:$E, $E82)</f>
        <v>2</v>
      </c>
      <c r="AG82" s="24">
        <f t="shared" si="9"/>
        <v>50</v>
      </c>
      <c r="AH82" s="20">
        <f>SUMIFS('3월 단양 개인별 STAT'!AH:AH, '3월 단양 개인별 STAT'!$D:$D, $D82, '3월 단양 개인별 STAT'!$E:$E, $E82) + SUMIFS('4월 삼척 개인별 STAT'!AH:AH, '4월 삼척 개인별 STAT'!$D:$D, $D82, '4월 삼척 개인별 STAT'!$E:$E, $E82)</f>
        <v>37</v>
      </c>
      <c r="AI82" s="22" t="str">
        <f t="shared" si="10"/>
        <v>1.42</v>
      </c>
      <c r="AJ82" s="25"/>
      <c r="AK82" s="26"/>
      <c r="AL82" s="27">
        <f t="shared" si="11"/>
        <v>0.03846153846</v>
      </c>
      <c r="AM82" s="27">
        <f t="shared" si="30"/>
        <v>0.3461538462</v>
      </c>
      <c r="AN82" s="28">
        <f t="shared" si="13"/>
        <v>0.1111111111</v>
      </c>
      <c r="AO82" s="27">
        <f t="shared" si="14"/>
        <v>0</v>
      </c>
      <c r="AP82" s="27">
        <f t="shared" si="15"/>
        <v>0.1153846154</v>
      </c>
      <c r="AQ82" s="27">
        <f t="shared" ref="AQ82:AR82" si="96">iferror(AB82/$M82,"-")</f>
        <v>0.1538461538</v>
      </c>
      <c r="AR82" s="27">
        <f t="shared" si="96"/>
        <v>0.2115384615</v>
      </c>
      <c r="AS82" s="29">
        <f t="shared" si="17"/>
        <v>0.07692307692</v>
      </c>
      <c r="AT82" s="29" t="str">
        <f t="shared" si="18"/>
        <v>1.42</v>
      </c>
      <c r="AU82" s="26"/>
      <c r="AV82" s="26"/>
      <c r="AW82" s="26"/>
      <c r="AX82" s="26"/>
    </row>
    <row r="83">
      <c r="B83" s="17">
        <v>80.0</v>
      </c>
      <c r="C83" s="18">
        <f t="shared" si="2"/>
        <v>10</v>
      </c>
      <c r="D83" s="19" t="s">
        <v>127</v>
      </c>
      <c r="E83" s="19" t="s">
        <v>137</v>
      </c>
      <c r="F83" s="19">
        <v>2.0</v>
      </c>
      <c r="G83" s="19" t="s">
        <v>52</v>
      </c>
      <c r="H83" s="19" t="s">
        <v>48</v>
      </c>
      <c r="I83" s="19">
        <v>179.0</v>
      </c>
      <c r="J83" s="19">
        <v>67.0</v>
      </c>
      <c r="K83" s="20">
        <v>18.0</v>
      </c>
      <c r="L83" s="20">
        <f>SUMIFS('3월 단양 개인별 STAT'!L:L, '3월 단양 개인별 STAT'!$D:$D, $D83, '3월 단양 개인별 STAT'!$E:$E, $E83) + SUMIFS('4월 삼척 개인별 STAT'!L:L, '4월 삼척 개인별 STAT'!$D:$D, $D83, '4월 삼척 개인별 STAT'!$E:$E, $E83)</f>
        <v>7</v>
      </c>
      <c r="M83" s="20">
        <f>SUMIFS('3월 단양 개인별 STAT'!M:M, '3월 단양 개인별 STAT'!$D:$D, $D83, '3월 단양 개인별 STAT'!$E:$E, $E83) + SUMIFS('4월 삼척 개인별 STAT'!M:M, '4월 삼척 개인별 STAT'!$D:$D, $D83, '4월 삼척 개인별 STAT'!$E:$E, $E83)</f>
        <v>26</v>
      </c>
      <c r="N83" s="20">
        <f>SUMIFS('3월 단양 개인별 STAT'!N:N, '3월 단양 개인별 STAT'!$D:$D, $D83, '3월 단양 개인별 STAT'!$E:$E, $E83) + SUMIFS('4월 삼척 개인별 STAT'!N:N, '4월 삼척 개인별 STAT'!$D:$D, $D83, '4월 삼척 개인별 STAT'!$E:$E, $E83)</f>
        <v>144</v>
      </c>
      <c r="O83" s="20">
        <f>SUMIFS('3월 단양 개인별 STAT'!O:O, '3월 단양 개인별 STAT'!$D:$D, $D83, '3월 단양 개인별 STAT'!$E:$E, $E83) + SUMIFS('4월 삼척 개인별 STAT'!O:O, '4월 삼척 개인별 STAT'!$D:$D, $D83, '4월 삼척 개인별 STAT'!$E:$E, $E83)</f>
        <v>4</v>
      </c>
      <c r="P83" s="20">
        <f>SUMIFS('3월 단양 개인별 STAT'!P:P, '3월 단양 개인별 STAT'!$D:$D, $D83, '3월 단양 개인별 STAT'!$E:$E, $E83) + SUMIFS('4월 삼척 개인별 STAT'!P:P, '4월 삼척 개인별 STAT'!$D:$D, $D83, '4월 삼척 개인별 STAT'!$E:$E, $E83)</f>
        <v>133</v>
      </c>
      <c r="Q83" s="20">
        <f>SUMIFS('3월 단양 개인별 STAT'!Q:Q, '3월 단양 개인별 STAT'!$D:$D, $D83, '3월 단양 개인별 STAT'!$E:$E, $E83) + SUMIFS('4월 삼척 개인별 STAT'!Q:Q, '4월 삼척 개인별 STAT'!$D:$D, $D83, '4월 삼척 개인별 STAT'!$E:$E, $E83)</f>
        <v>42</v>
      </c>
      <c r="R83" s="21">
        <f t="shared" si="3"/>
        <v>319</v>
      </c>
      <c r="S83" s="22">
        <f t="shared" si="4"/>
        <v>0.32</v>
      </c>
      <c r="T83" s="20">
        <f>SUMIFS('3월 단양 개인별 STAT'!T:T, '3월 단양 개인별 STAT'!$D:$D, $D83, '3월 단양 개인별 STAT'!$E:$E, $E83) + SUMIFS('4월 삼척 개인별 STAT'!T:T, '4월 삼척 개인별 STAT'!$D:$D, $D83, '4월 삼척 개인별 STAT'!$E:$E, $E83)</f>
        <v>16</v>
      </c>
      <c r="U83" s="20">
        <f>SUMIFS('3월 단양 개인별 STAT'!U:U, '3월 단양 개인별 STAT'!$D:$D, $D83, '3월 단양 개인별 STAT'!$E:$E, $E83) + SUMIFS('4월 삼척 개인별 STAT'!U:U, '4월 삼척 개인별 STAT'!$D:$D, $D83, '4월 삼척 개인별 STAT'!$E:$E, $E83)</f>
        <v>1</v>
      </c>
      <c r="V83" s="20">
        <f>SUMIFS('3월 단양 개인별 STAT'!V:V, '3월 단양 개인별 STAT'!$D:$D, $D83, '3월 단양 개인별 STAT'!$E:$E, $E83) + SUMIFS('4월 삼척 개인별 STAT'!V:V, '4월 삼척 개인별 STAT'!$D:$D, $D83, '4월 삼척 개인별 STAT'!$E:$E, $E83)</f>
        <v>1</v>
      </c>
      <c r="W83" s="20">
        <f>SUMIFS('3월 단양 개인별 STAT'!W:W, '3월 단양 개인별 STAT'!$D:$D, $D83, '3월 단양 개인별 STAT'!$E:$E, $E83) + SUMIFS('4월 삼척 개인별 STAT'!W:W, '4월 삼척 개인별 STAT'!$D:$D, $D83, '4월 삼척 개인별 STAT'!$E:$E, $E83)</f>
        <v>63</v>
      </c>
      <c r="X83" s="20">
        <f>SUMIFS('3월 단양 개인별 STAT'!X:X, '3월 단양 개인별 STAT'!$D:$D, $D83, '3월 단양 개인별 STAT'!$E:$E, $E83) + SUMIFS('4월 삼척 개인별 STAT'!X:X, '4월 삼척 개인별 STAT'!$D:$D, $D83, '4월 삼척 개인별 STAT'!$E:$E, $E83)</f>
        <v>11</v>
      </c>
      <c r="Y83" s="20">
        <f>SUMIFS('3월 단양 개인별 STAT'!Y:Y, '3월 단양 개인별 STAT'!$D:$D, $D83, '3월 단양 개인별 STAT'!$E:$E, $E83) + SUMIFS('4월 삼척 개인별 STAT'!Y:Y, '4월 삼척 개인별 STAT'!$D:$D, $D83, '4월 삼척 개인별 STAT'!$E:$E, $E83)</f>
        <v>18</v>
      </c>
      <c r="Z83" s="21">
        <f t="shared" si="5"/>
        <v>92</v>
      </c>
      <c r="AA83" s="20">
        <f>SUMIFS('3월 단양 개인별 STAT'!AA:AA, '3월 단양 개인별 STAT'!$D:$D, $D83, '3월 단양 개인별 STAT'!$E:$E, $E83) + SUMIFS('4월 삼척 개인별 STAT'!AA:AA, '4월 삼척 개인별 STAT'!$D:$D, $D83, '4월 삼척 개인별 STAT'!$E:$E, $E83)</f>
        <v>1</v>
      </c>
      <c r="AB83" s="21">
        <f t="shared" si="6"/>
        <v>171</v>
      </c>
      <c r="AC83" s="23">
        <f t="shared" si="7"/>
        <v>171.75</v>
      </c>
      <c r="AD83" s="21">
        <f t="shared" si="8"/>
        <v>159</v>
      </c>
      <c r="AE83" s="20">
        <f>SUMIFS('3월 단양 개인별 STAT'!AE:AE, '3월 단양 개인별 STAT'!$D:$D, $D83, '3월 단양 개인별 STAT'!$E:$E, $E83) + SUMIFS('4월 삼척 개인별 STAT'!AE:AE, '4월 삼척 개인별 STAT'!$D:$D, $D83, '4월 삼척 개인별 STAT'!$E:$E, $E83)</f>
        <v>152</v>
      </c>
      <c r="AF83" s="20">
        <f>SUMIFS('3월 단양 개인별 STAT'!AF:AF, '3월 단양 개인별 STAT'!$D:$D, $D83, '3월 단양 개인별 STAT'!$E:$E, $E83) + SUMIFS('4월 삼척 개인별 STAT'!AF:AF, '4월 삼척 개인별 STAT'!$D:$D, $D83, '4월 삼척 개인별 STAT'!$E:$E, $E83)</f>
        <v>7</v>
      </c>
      <c r="AG83" s="24">
        <f t="shared" si="9"/>
        <v>95.59748428</v>
      </c>
      <c r="AH83" s="20">
        <f>SUMIFS('3월 단양 개인별 STAT'!AH:AH, '3월 단양 개인별 STAT'!$D:$D, $D83, '3월 단양 개인별 STAT'!$E:$E, $E83) + SUMIFS('4월 삼척 개인별 STAT'!AH:AH, '4월 삼척 개인별 STAT'!$D:$D, $D83, '4월 삼척 개인별 STAT'!$E:$E, $E83)</f>
        <v>93</v>
      </c>
      <c r="AI83" s="22" t="str">
        <f t="shared" si="10"/>
        <v>3.58</v>
      </c>
      <c r="AJ83" s="25"/>
      <c r="AK83" s="26"/>
      <c r="AL83" s="27">
        <f t="shared" si="11"/>
        <v>5.538461538</v>
      </c>
      <c r="AM83" s="27">
        <f t="shared" si="30"/>
        <v>12.26923077</v>
      </c>
      <c r="AN83" s="28">
        <f t="shared" si="13"/>
        <v>0.4514106583</v>
      </c>
      <c r="AO83" s="27">
        <f t="shared" si="14"/>
        <v>0.6153846154</v>
      </c>
      <c r="AP83" s="27">
        <f t="shared" si="15"/>
        <v>0.4230769231</v>
      </c>
      <c r="AQ83" s="27">
        <f t="shared" ref="AQ83:AR83" si="97">iferror(AB83/$M83,"-")</f>
        <v>6.576923077</v>
      </c>
      <c r="AR83" s="27">
        <f t="shared" si="97"/>
        <v>6.605769231</v>
      </c>
      <c r="AS83" s="29">
        <f t="shared" si="17"/>
        <v>0.2692307692</v>
      </c>
      <c r="AT83" s="29" t="str">
        <f t="shared" si="18"/>
        <v>3.58</v>
      </c>
      <c r="AU83" s="26"/>
      <c r="AV83" s="26"/>
      <c r="AW83" s="26"/>
      <c r="AX83" s="26"/>
    </row>
    <row r="84">
      <c r="B84" s="17">
        <v>81.0</v>
      </c>
      <c r="C84" s="18">
        <f t="shared" si="2"/>
        <v>1</v>
      </c>
      <c r="D84" s="19" t="s">
        <v>138</v>
      </c>
      <c r="E84" s="19" t="s">
        <v>139</v>
      </c>
      <c r="F84" s="19">
        <v>2.0</v>
      </c>
      <c r="G84" s="19" t="s">
        <v>52</v>
      </c>
      <c r="H84" s="19" t="s">
        <v>57</v>
      </c>
      <c r="I84" s="19">
        <v>170.0</v>
      </c>
      <c r="J84" s="19">
        <v>65.0</v>
      </c>
      <c r="K84" s="20">
        <v>1.0</v>
      </c>
      <c r="L84" s="20">
        <f>SUMIFS('3월 단양 개인별 STAT'!L:L, '3월 단양 개인별 STAT'!$D:$D, $D84, '3월 단양 개인별 STAT'!$E:$E, $E84) + SUMIFS('4월 삼척 개인별 STAT'!L:L, '4월 삼척 개인별 STAT'!$D:$D, $D84, '4월 삼척 개인별 STAT'!$E:$E, $E84)</f>
        <v>2</v>
      </c>
      <c r="M84" s="20">
        <f>SUMIFS('3월 단양 개인별 STAT'!M:M, '3월 단양 개인별 STAT'!$D:$D, $D84, '3월 단양 개인별 STAT'!$E:$E, $E84) + SUMIFS('4월 삼척 개인별 STAT'!M:M, '4월 삼척 개인별 STAT'!$D:$D, $D84, '4월 삼척 개인별 STAT'!$E:$E, $E84)</f>
        <v>7</v>
      </c>
      <c r="N84" s="20">
        <f>SUMIFS('3월 단양 개인별 STAT'!N:N, '3월 단양 개인별 STAT'!$D:$D, $D84, '3월 단양 개인별 STAT'!$E:$E, $E84) + SUMIFS('4월 삼척 개인별 STAT'!N:N, '4월 삼척 개인별 STAT'!$D:$D, $D84, '4월 삼척 개인별 STAT'!$E:$E, $E84)</f>
        <v>8</v>
      </c>
      <c r="O84" s="20">
        <f>SUMIFS('3월 단양 개인별 STAT'!O:O, '3월 단양 개인별 STAT'!$D:$D, $D84, '3월 단양 개인별 STAT'!$E:$E, $E84) + SUMIFS('4월 삼척 개인별 STAT'!O:O, '4월 삼척 개인별 STAT'!$D:$D, $D84, '4월 삼척 개인별 STAT'!$E:$E, $E84)</f>
        <v>4</v>
      </c>
      <c r="P84" s="20">
        <f>SUMIFS('3월 단양 개인별 STAT'!P:P, '3월 단양 개인별 STAT'!$D:$D, $D84, '3월 단양 개인별 STAT'!$E:$E, $E84) + SUMIFS('4월 삼척 개인별 STAT'!P:P, '4월 삼척 개인별 STAT'!$D:$D, $D84, '4월 삼척 개인별 STAT'!$E:$E, $E84)</f>
        <v>10</v>
      </c>
      <c r="Q84" s="20">
        <f>SUMIFS('3월 단양 개인별 STAT'!Q:Q, '3월 단양 개인별 STAT'!$D:$D, $D84, '3월 단양 개인별 STAT'!$E:$E, $E84) + SUMIFS('4월 삼척 개인별 STAT'!Q:Q, '4월 삼척 개인별 STAT'!$D:$D, $D84, '4월 삼척 개인별 STAT'!$E:$E, $E84)</f>
        <v>3</v>
      </c>
      <c r="R84" s="21">
        <f t="shared" si="3"/>
        <v>21</v>
      </c>
      <c r="S84" s="22">
        <f t="shared" si="4"/>
        <v>0.24</v>
      </c>
      <c r="T84" s="20">
        <f>SUMIFS('3월 단양 개인별 STAT'!T:T, '3월 단양 개인별 STAT'!$D:$D, $D84, '3월 단양 개인별 STAT'!$E:$E, $E84) + SUMIFS('4월 삼척 개인별 STAT'!T:T, '4월 삼척 개인별 STAT'!$D:$D, $D84, '4월 삼척 개인별 STAT'!$E:$E, $E84)</f>
        <v>1</v>
      </c>
      <c r="U84" s="20">
        <f>SUMIFS('3월 단양 개인별 STAT'!U:U, '3월 단양 개인별 STAT'!$D:$D, $D84, '3월 단양 개인별 STAT'!$E:$E, $E84) + SUMIFS('4월 삼척 개인별 STAT'!U:U, '4월 삼척 개인별 STAT'!$D:$D, $D84, '4월 삼척 개인별 STAT'!$E:$E, $E84)</f>
        <v>0</v>
      </c>
      <c r="V84" s="20">
        <f>SUMIFS('3월 단양 개인별 STAT'!V:V, '3월 단양 개인별 STAT'!$D:$D, $D84, '3월 단양 개인별 STAT'!$E:$E, $E84) + SUMIFS('4월 삼척 개인별 STAT'!V:V, '4월 삼척 개인별 STAT'!$D:$D, $D84, '4월 삼척 개인별 STAT'!$E:$E, $E84)</f>
        <v>2</v>
      </c>
      <c r="W84" s="20">
        <f>SUMIFS('3월 단양 개인별 STAT'!W:W, '3월 단양 개인별 STAT'!$D:$D, $D84, '3월 단양 개인별 STAT'!$E:$E, $E84) + SUMIFS('4월 삼척 개인별 STAT'!W:W, '4월 삼척 개인별 STAT'!$D:$D, $D84, '4월 삼척 개인별 STAT'!$E:$E, $E84)</f>
        <v>17</v>
      </c>
      <c r="X84" s="20">
        <f>SUMIFS('3월 단양 개인별 STAT'!X:X, '3월 단양 개인별 STAT'!$D:$D, $D84, '3월 단양 개인별 STAT'!$E:$E, $E84) + SUMIFS('4월 삼척 개인별 STAT'!X:X, '4월 삼척 개인별 STAT'!$D:$D, $D84, '4월 삼척 개인별 STAT'!$E:$E, $E84)</f>
        <v>1</v>
      </c>
      <c r="Y84" s="20">
        <f>SUMIFS('3월 단양 개인별 STAT'!Y:Y, '3월 단양 개인별 STAT'!$D:$D, $D84, '3월 단양 개인별 STAT'!$E:$E, $E84) + SUMIFS('4월 삼척 개인별 STAT'!Y:Y, '4월 삼척 개인별 STAT'!$D:$D, $D84, '4월 삼척 개인별 STAT'!$E:$E, $E84)</f>
        <v>1</v>
      </c>
      <c r="Z84" s="21">
        <f t="shared" si="5"/>
        <v>19</v>
      </c>
      <c r="AA84" s="20">
        <f>SUMIFS('3월 단양 개인별 STAT'!AA:AA, '3월 단양 개인별 STAT'!$D:$D, $D84, '3월 단양 개인별 STAT'!$E:$E, $E84) + SUMIFS('4월 삼척 개인별 STAT'!AA:AA, '4월 삼척 개인별 STAT'!$D:$D, $D84, '4월 삼척 개인별 STAT'!$E:$E, $E84)</f>
        <v>1</v>
      </c>
      <c r="AB84" s="21">
        <f t="shared" si="6"/>
        <v>10</v>
      </c>
      <c r="AC84" s="23">
        <f t="shared" si="7"/>
        <v>11.5</v>
      </c>
      <c r="AD84" s="21">
        <f t="shared" si="8"/>
        <v>47</v>
      </c>
      <c r="AE84" s="20">
        <f>SUMIFS('3월 단양 개인별 STAT'!AE:AE, '3월 단양 개인별 STAT'!$D:$D, $D84, '3월 단양 개인별 STAT'!$E:$E, $E84) + SUMIFS('4월 삼척 개인별 STAT'!AE:AE, '4월 삼척 개인별 STAT'!$D:$D, $D84, '4월 삼척 개인별 STAT'!$E:$E, $E84)</f>
        <v>45</v>
      </c>
      <c r="AF84" s="20">
        <f>SUMIFS('3월 단양 개인별 STAT'!AF:AF, '3월 단양 개인별 STAT'!$D:$D, $D84, '3월 단양 개인별 STAT'!$E:$E, $E84) + SUMIFS('4월 삼척 개인별 STAT'!AF:AF, '4월 삼척 개인별 STAT'!$D:$D, $D84, '4월 삼척 개인별 STAT'!$E:$E, $E84)</f>
        <v>2</v>
      </c>
      <c r="AG84" s="24">
        <f t="shared" si="9"/>
        <v>95.74468085</v>
      </c>
      <c r="AH84" s="20">
        <f>SUMIFS('3월 단양 개인별 STAT'!AH:AH, '3월 단양 개인별 STAT'!$D:$D, $D84, '3월 단양 개인별 STAT'!$E:$E, $E84) + SUMIFS('4월 삼척 개인별 STAT'!AH:AH, '4월 삼척 개인별 STAT'!$D:$D, $D84, '4월 삼척 개인별 STAT'!$E:$E, $E84)</f>
        <v>15</v>
      </c>
      <c r="AI84" s="22" t="str">
        <f t="shared" si="10"/>
        <v>2.14</v>
      </c>
      <c r="AJ84" s="25"/>
      <c r="AK84" s="26"/>
      <c r="AL84" s="27">
        <f t="shared" si="11"/>
        <v>1.142857143</v>
      </c>
      <c r="AM84" s="27">
        <f t="shared" si="30"/>
        <v>3</v>
      </c>
      <c r="AN84" s="28">
        <f t="shared" si="13"/>
        <v>0.380952381</v>
      </c>
      <c r="AO84" s="27">
        <f t="shared" si="14"/>
        <v>0.1428571429</v>
      </c>
      <c r="AP84" s="27">
        <f t="shared" si="15"/>
        <v>0.1428571429</v>
      </c>
      <c r="AQ84" s="27">
        <f t="shared" ref="AQ84:AR84" si="98">iferror(AB84/$M84,"-")</f>
        <v>1.428571429</v>
      </c>
      <c r="AR84" s="27">
        <f t="shared" si="98"/>
        <v>1.642857143</v>
      </c>
      <c r="AS84" s="29">
        <f t="shared" si="17"/>
        <v>0.2857142857</v>
      </c>
      <c r="AT84" s="29" t="str">
        <f t="shared" si="18"/>
        <v>2.14</v>
      </c>
      <c r="AU84" s="26"/>
      <c r="AV84" s="26"/>
      <c r="AW84" s="26"/>
      <c r="AX84" s="26"/>
    </row>
    <row r="85">
      <c r="B85" s="17">
        <v>82.0</v>
      </c>
      <c r="C85" s="18">
        <f t="shared" si="2"/>
        <v>2</v>
      </c>
      <c r="D85" s="19" t="s">
        <v>138</v>
      </c>
      <c r="E85" s="19" t="s">
        <v>140</v>
      </c>
      <c r="F85" s="31">
        <v>2.0</v>
      </c>
      <c r="G85" s="31" t="s">
        <v>52</v>
      </c>
      <c r="H85" s="31" t="s">
        <v>57</v>
      </c>
      <c r="I85" s="31">
        <v>170.0</v>
      </c>
      <c r="J85" s="31">
        <v>65.0</v>
      </c>
      <c r="K85" s="32">
        <v>3.0</v>
      </c>
      <c r="L85" s="20">
        <f>SUMIFS('3월 단양 개인별 STAT'!L:L, '3월 단양 개인별 STAT'!$D:$D, $D85, '3월 단양 개인별 STAT'!$E:$E, $E85) + SUMIFS('4월 삼척 개인별 STAT'!L:L, '4월 삼척 개인별 STAT'!$D:$D, $D85, '4월 삼척 개인별 STAT'!$E:$E, $E85)</f>
        <v>1</v>
      </c>
      <c r="M85" s="20">
        <f>SUMIFS('3월 단양 개인별 STAT'!M:M, '3월 단양 개인별 STAT'!$D:$D, $D85, '3월 단양 개인별 STAT'!$E:$E, $E85) + SUMIFS('4월 삼척 개인별 STAT'!M:M, '4월 삼척 개인별 STAT'!$D:$D, $D85, '4월 삼척 개인별 STAT'!$E:$E, $E85)</f>
        <v>1</v>
      </c>
      <c r="N85" s="20">
        <f>SUMIFS('3월 단양 개인별 STAT'!N:N, '3월 단양 개인별 STAT'!$D:$D, $D85, '3월 단양 개인별 STAT'!$E:$E, $E85) + SUMIFS('4월 삼척 개인별 STAT'!N:N, '4월 삼척 개인별 STAT'!$D:$D, $D85, '4월 삼척 개인별 STAT'!$E:$E, $E85)</f>
        <v>0</v>
      </c>
      <c r="O85" s="20">
        <f>SUMIFS('3월 단양 개인별 STAT'!O:O, '3월 단양 개인별 STAT'!$D:$D, $D85, '3월 단양 개인별 STAT'!$E:$E, $E85) + SUMIFS('4월 삼척 개인별 STAT'!O:O, '4월 삼척 개인별 STAT'!$D:$D, $D85, '4월 삼척 개인별 STAT'!$E:$E, $E85)</f>
        <v>0</v>
      </c>
      <c r="P85" s="20">
        <f>SUMIFS('3월 단양 개인별 STAT'!P:P, '3월 단양 개인별 STAT'!$D:$D, $D85, '3월 단양 개인별 STAT'!$E:$E, $E85) + SUMIFS('4월 삼척 개인별 STAT'!P:P, '4월 삼척 개인별 STAT'!$D:$D, $D85, '4월 삼척 개인별 STAT'!$E:$E, $E85)</f>
        <v>0</v>
      </c>
      <c r="Q85" s="20">
        <f>SUMIFS('3월 단양 개인별 STAT'!Q:Q, '3월 단양 개인별 STAT'!$D:$D, $D85, '3월 단양 개인별 STAT'!$E:$E, $E85) + SUMIFS('4월 삼척 개인별 STAT'!Q:Q, '4월 삼척 개인별 STAT'!$D:$D, $D85, '4월 삼척 개인별 STAT'!$E:$E, $E85)</f>
        <v>0</v>
      </c>
      <c r="R85" s="33" t="str">
        <f t="shared" si="3"/>
        <v>-</v>
      </c>
      <c r="S85" s="34" t="str">
        <f t="shared" si="4"/>
        <v>-</v>
      </c>
      <c r="T85" s="20">
        <f>SUMIFS('3월 단양 개인별 STAT'!T:T, '3월 단양 개인별 STAT'!$D:$D, $D85, '3월 단양 개인별 STAT'!$E:$E, $E85) + SUMIFS('4월 삼척 개인별 STAT'!T:T, '4월 삼척 개인별 STAT'!$D:$D, $D85, '4월 삼척 개인별 STAT'!$E:$E, $E85)</f>
        <v>0</v>
      </c>
      <c r="U85" s="20">
        <f>SUMIFS('3월 단양 개인별 STAT'!U:U, '3월 단양 개인별 STAT'!$D:$D, $D85, '3월 단양 개인별 STAT'!$E:$E, $E85) + SUMIFS('4월 삼척 개인별 STAT'!U:U, '4월 삼척 개인별 STAT'!$D:$D, $D85, '4월 삼척 개인별 STAT'!$E:$E, $E85)</f>
        <v>0</v>
      </c>
      <c r="V85" s="20">
        <f>SUMIFS('3월 단양 개인별 STAT'!V:V, '3월 단양 개인별 STAT'!$D:$D, $D85, '3월 단양 개인별 STAT'!$E:$E, $E85) + SUMIFS('4월 삼척 개인별 STAT'!V:V, '4월 삼척 개인별 STAT'!$D:$D, $D85, '4월 삼척 개인별 STAT'!$E:$E, $E85)</f>
        <v>0</v>
      </c>
      <c r="W85" s="20">
        <f>SUMIFS('3월 단양 개인별 STAT'!W:W, '3월 단양 개인별 STAT'!$D:$D, $D85, '3월 단양 개인별 STAT'!$E:$E, $E85) + SUMIFS('4월 삼척 개인별 STAT'!W:W, '4월 삼척 개인별 STAT'!$D:$D, $D85, '4월 삼척 개인별 STAT'!$E:$E, $E85)</f>
        <v>0</v>
      </c>
      <c r="X85" s="20">
        <f>SUMIFS('3월 단양 개인별 STAT'!X:X, '3월 단양 개인별 STAT'!$D:$D, $D85, '3월 단양 개인별 STAT'!$E:$E, $E85) + SUMIFS('4월 삼척 개인별 STAT'!X:X, '4월 삼척 개인별 STAT'!$D:$D, $D85, '4월 삼척 개인별 STAT'!$E:$E, $E85)</f>
        <v>0</v>
      </c>
      <c r="Y85" s="20">
        <f>SUMIFS('3월 단양 개인별 STAT'!Y:Y, '3월 단양 개인별 STAT'!$D:$D, $D85, '3월 단양 개인별 STAT'!$E:$E, $E85) + SUMIFS('4월 삼척 개인별 STAT'!Y:Y, '4월 삼척 개인별 STAT'!$D:$D, $D85, '4월 삼척 개인별 STAT'!$E:$E, $E85)</f>
        <v>0</v>
      </c>
      <c r="Z85" s="33" t="str">
        <f t="shared" si="5"/>
        <v>-</v>
      </c>
      <c r="AA85" s="20">
        <f>SUMIFS('3월 단양 개인별 STAT'!AA:AA, '3월 단양 개인별 STAT'!$D:$D, $D85, '3월 단양 개인별 STAT'!$E:$E, $E85) + SUMIFS('4월 삼척 개인별 STAT'!AA:AA, '4월 삼척 개인별 STAT'!$D:$D, $D85, '4월 삼척 개인별 STAT'!$E:$E, $E85)</f>
        <v>0</v>
      </c>
      <c r="AB85" s="33" t="str">
        <f t="shared" si="6"/>
        <v>-</v>
      </c>
      <c r="AC85" s="23">
        <f t="shared" si="7"/>
        <v>0</v>
      </c>
      <c r="AD85" s="35">
        <f t="shared" si="8"/>
        <v>1</v>
      </c>
      <c r="AE85" s="20">
        <f>SUMIFS('3월 단양 개인별 STAT'!AE:AE, '3월 단양 개인별 STAT'!$D:$D, $D85, '3월 단양 개인별 STAT'!$E:$E, $E85) + SUMIFS('4월 삼척 개인별 STAT'!AE:AE, '4월 삼척 개인별 STAT'!$D:$D, $D85, '4월 삼척 개인별 STAT'!$E:$E, $E85)</f>
        <v>1</v>
      </c>
      <c r="AF85" s="20">
        <f>SUMIFS('3월 단양 개인별 STAT'!AF:AF, '3월 단양 개인별 STAT'!$D:$D, $D85, '3월 단양 개인별 STAT'!$E:$E, $E85) + SUMIFS('4월 삼척 개인별 STAT'!AF:AF, '4월 삼척 개인별 STAT'!$D:$D, $D85, '4월 삼척 개인별 STAT'!$E:$E, $E85)</f>
        <v>0</v>
      </c>
      <c r="AG85" s="36">
        <f t="shared" si="9"/>
        <v>100</v>
      </c>
      <c r="AH85" s="20">
        <f>SUMIFS('3월 단양 개인별 STAT'!AH:AH, '3월 단양 개인별 STAT'!$D:$D, $D85, '3월 단양 개인별 STAT'!$E:$E, $E85) + SUMIFS('4월 삼척 개인별 STAT'!AH:AH, '4월 삼척 개인별 STAT'!$D:$D, $D85, '4월 삼척 개인별 STAT'!$E:$E, $E85)</f>
        <v>0</v>
      </c>
      <c r="AI85" s="34" t="str">
        <f t="shared" si="10"/>
        <v>0</v>
      </c>
      <c r="AJ85" s="25"/>
      <c r="AK85" s="14"/>
      <c r="AL85" s="27">
        <f t="shared" si="11"/>
        <v>0</v>
      </c>
      <c r="AM85" s="27" t="str">
        <f t="shared" si="30"/>
        <v>-</v>
      </c>
      <c r="AN85" s="28" t="str">
        <f t="shared" si="13"/>
        <v>-</v>
      </c>
      <c r="AO85" s="27">
        <f t="shared" si="14"/>
        <v>0</v>
      </c>
      <c r="AP85" s="27">
        <f t="shared" si="15"/>
        <v>0</v>
      </c>
      <c r="AQ85" s="27" t="str">
        <f t="shared" ref="AQ85:AR85" si="99">iferror(AB85/$M85,"-")</f>
        <v>-</v>
      </c>
      <c r="AR85" s="27">
        <f t="shared" si="99"/>
        <v>0</v>
      </c>
      <c r="AS85" s="29">
        <f t="shared" si="17"/>
        <v>0</v>
      </c>
      <c r="AT85" s="29" t="str">
        <f t="shared" si="18"/>
        <v>0</v>
      </c>
      <c r="AU85" s="14"/>
      <c r="AV85" s="14"/>
      <c r="AW85" s="14"/>
      <c r="AX85" s="14"/>
    </row>
    <row r="86">
      <c r="B86" s="17">
        <v>83.0</v>
      </c>
      <c r="C86" s="18">
        <f t="shared" si="2"/>
        <v>3</v>
      </c>
      <c r="D86" s="19" t="s">
        <v>138</v>
      </c>
      <c r="E86" s="19" t="s">
        <v>141</v>
      </c>
      <c r="F86" s="31">
        <v>3.0</v>
      </c>
      <c r="G86" s="31" t="s">
        <v>50</v>
      </c>
      <c r="H86" s="31" t="s">
        <v>48</v>
      </c>
      <c r="I86" s="31">
        <v>166.0</v>
      </c>
      <c r="J86" s="31">
        <v>65.0</v>
      </c>
      <c r="K86" s="32">
        <v>5.0</v>
      </c>
      <c r="L86" s="20">
        <f>SUMIFS('3월 단양 개인별 STAT'!L:L, '3월 단양 개인별 STAT'!$D:$D, $D86, '3월 단양 개인별 STAT'!$E:$E, $E86) + SUMIFS('4월 삼척 개인별 STAT'!L:L, '4월 삼척 개인별 STAT'!$D:$D, $D86, '4월 삼척 개인별 STAT'!$E:$E, $E86)</f>
        <v>0</v>
      </c>
      <c r="M86" s="20">
        <f>SUMIFS('3월 단양 개인별 STAT'!M:M, '3월 단양 개인별 STAT'!$D:$D, $D86, '3월 단양 개인별 STAT'!$E:$E, $E86) + SUMIFS('4월 삼척 개인별 STAT'!M:M, '4월 삼척 개인별 STAT'!$D:$D, $D86, '4월 삼척 개인별 STAT'!$E:$E, $E86)</f>
        <v>0</v>
      </c>
      <c r="N86" s="20">
        <f>SUMIFS('3월 단양 개인별 STAT'!N:N, '3월 단양 개인별 STAT'!$D:$D, $D86, '3월 단양 개인별 STAT'!$E:$E, $E86) + SUMIFS('4월 삼척 개인별 STAT'!N:N, '4월 삼척 개인별 STAT'!$D:$D, $D86, '4월 삼척 개인별 STAT'!$E:$E, $E86)</f>
        <v>0</v>
      </c>
      <c r="O86" s="20">
        <f>SUMIFS('3월 단양 개인별 STAT'!O:O, '3월 단양 개인별 STAT'!$D:$D, $D86, '3월 단양 개인별 STAT'!$E:$E, $E86) + SUMIFS('4월 삼척 개인별 STAT'!O:O, '4월 삼척 개인별 STAT'!$D:$D, $D86, '4월 삼척 개인별 STAT'!$E:$E, $E86)</f>
        <v>0</v>
      </c>
      <c r="P86" s="20">
        <f>SUMIFS('3월 단양 개인별 STAT'!P:P, '3월 단양 개인별 STAT'!$D:$D, $D86, '3월 단양 개인별 STAT'!$E:$E, $E86) + SUMIFS('4월 삼척 개인별 STAT'!P:P, '4월 삼척 개인별 STAT'!$D:$D, $D86, '4월 삼척 개인별 STAT'!$E:$E, $E86)</f>
        <v>0</v>
      </c>
      <c r="Q86" s="20">
        <f>SUMIFS('3월 단양 개인별 STAT'!Q:Q, '3월 단양 개인별 STAT'!$D:$D, $D86, '3월 단양 개인별 STAT'!$E:$E, $E86) + SUMIFS('4월 삼척 개인별 STAT'!Q:Q, '4월 삼척 개인별 STAT'!$D:$D, $D86, '4월 삼척 개인별 STAT'!$E:$E, $E86)</f>
        <v>0</v>
      </c>
      <c r="R86" s="33" t="str">
        <f t="shared" si="3"/>
        <v>-</v>
      </c>
      <c r="S86" s="34" t="str">
        <f t="shared" si="4"/>
        <v>-</v>
      </c>
      <c r="T86" s="20">
        <f>SUMIFS('3월 단양 개인별 STAT'!T:T, '3월 단양 개인별 STAT'!$D:$D, $D86, '3월 단양 개인별 STAT'!$E:$E, $E86) + SUMIFS('4월 삼척 개인별 STAT'!T:T, '4월 삼척 개인별 STAT'!$D:$D, $D86, '4월 삼척 개인별 STAT'!$E:$E, $E86)</f>
        <v>0</v>
      </c>
      <c r="U86" s="20">
        <f>SUMIFS('3월 단양 개인별 STAT'!U:U, '3월 단양 개인별 STAT'!$D:$D, $D86, '3월 단양 개인별 STAT'!$E:$E, $E86) + SUMIFS('4월 삼척 개인별 STAT'!U:U, '4월 삼척 개인별 STAT'!$D:$D, $D86, '4월 삼척 개인별 STAT'!$E:$E, $E86)</f>
        <v>0</v>
      </c>
      <c r="V86" s="20">
        <f>SUMIFS('3월 단양 개인별 STAT'!V:V, '3월 단양 개인별 STAT'!$D:$D, $D86, '3월 단양 개인별 STAT'!$E:$E, $E86) + SUMIFS('4월 삼척 개인별 STAT'!V:V, '4월 삼척 개인별 STAT'!$D:$D, $D86, '4월 삼척 개인별 STAT'!$E:$E, $E86)</f>
        <v>0</v>
      </c>
      <c r="W86" s="20">
        <f>SUMIFS('3월 단양 개인별 STAT'!W:W, '3월 단양 개인별 STAT'!$D:$D, $D86, '3월 단양 개인별 STAT'!$E:$E, $E86) + SUMIFS('4월 삼척 개인별 STAT'!W:W, '4월 삼척 개인별 STAT'!$D:$D, $D86, '4월 삼척 개인별 STAT'!$E:$E, $E86)</f>
        <v>0</v>
      </c>
      <c r="X86" s="20">
        <f>SUMIFS('3월 단양 개인별 STAT'!X:X, '3월 단양 개인별 STAT'!$D:$D, $D86, '3월 단양 개인별 STAT'!$E:$E, $E86) + SUMIFS('4월 삼척 개인별 STAT'!X:X, '4월 삼척 개인별 STAT'!$D:$D, $D86, '4월 삼척 개인별 STAT'!$E:$E, $E86)</f>
        <v>0</v>
      </c>
      <c r="Y86" s="20">
        <f>SUMIFS('3월 단양 개인별 STAT'!Y:Y, '3월 단양 개인별 STAT'!$D:$D, $D86, '3월 단양 개인별 STAT'!$E:$E, $E86) + SUMIFS('4월 삼척 개인별 STAT'!Y:Y, '4월 삼척 개인별 STAT'!$D:$D, $D86, '4월 삼척 개인별 STAT'!$E:$E, $E86)</f>
        <v>0</v>
      </c>
      <c r="Z86" s="33" t="str">
        <f t="shared" si="5"/>
        <v>-</v>
      </c>
      <c r="AA86" s="20">
        <f>SUMIFS('3월 단양 개인별 STAT'!AA:AA, '3월 단양 개인별 STAT'!$D:$D, $D86, '3월 단양 개인별 STAT'!$E:$E, $E86) + SUMIFS('4월 삼척 개인별 STAT'!AA:AA, '4월 삼척 개인별 STAT'!$D:$D, $D86, '4월 삼척 개인별 STAT'!$E:$E, $E86)</f>
        <v>0</v>
      </c>
      <c r="AB86" s="33" t="str">
        <f t="shared" si="6"/>
        <v>-</v>
      </c>
      <c r="AC86" s="23">
        <f t="shared" si="7"/>
        <v>0</v>
      </c>
      <c r="AD86" s="33" t="str">
        <f t="shared" si="8"/>
        <v>-</v>
      </c>
      <c r="AE86" s="20">
        <f>SUMIFS('3월 단양 개인별 STAT'!AE:AE, '3월 단양 개인별 STAT'!$D:$D, $D86, '3월 단양 개인별 STAT'!$E:$E, $E86) + SUMIFS('4월 삼척 개인별 STAT'!AE:AE, '4월 삼척 개인별 STAT'!$D:$D, $D86, '4월 삼척 개인별 STAT'!$E:$E, $E86)</f>
        <v>0</v>
      </c>
      <c r="AF86" s="20">
        <f>SUMIFS('3월 단양 개인별 STAT'!AF:AF, '3월 단양 개인별 STAT'!$D:$D, $D86, '3월 단양 개인별 STAT'!$E:$E, $E86) + SUMIFS('4월 삼척 개인별 STAT'!AF:AF, '4월 삼척 개인별 STAT'!$D:$D, $D86, '4월 삼척 개인별 STAT'!$E:$E, $E86)</f>
        <v>0</v>
      </c>
      <c r="AG86" s="36" t="str">
        <f t="shared" si="9"/>
        <v>-</v>
      </c>
      <c r="AH86" s="20">
        <f>SUMIFS('3월 단양 개인별 STAT'!AH:AH, '3월 단양 개인별 STAT'!$D:$D, $D86, '3월 단양 개인별 STAT'!$E:$E, $E86) + SUMIFS('4월 삼척 개인별 STAT'!AH:AH, '4월 삼척 개인별 STAT'!$D:$D, $D86, '4월 삼척 개인별 STAT'!$E:$E, $E86)</f>
        <v>0</v>
      </c>
      <c r="AI86" s="34" t="str">
        <f t="shared" si="10"/>
        <v>-</v>
      </c>
      <c r="AJ86" s="25"/>
      <c r="AK86" s="14"/>
      <c r="AL86" s="27" t="str">
        <f t="shared" si="11"/>
        <v>-</v>
      </c>
      <c r="AM86" s="27" t="str">
        <f t="shared" si="30"/>
        <v>-</v>
      </c>
      <c r="AN86" s="28" t="str">
        <f t="shared" si="13"/>
        <v>-</v>
      </c>
      <c r="AO86" s="27" t="str">
        <f t="shared" si="14"/>
        <v>-</v>
      </c>
      <c r="AP86" s="27" t="str">
        <f t="shared" si="15"/>
        <v>-</v>
      </c>
      <c r="AQ86" s="27" t="str">
        <f t="shared" ref="AQ86:AR86" si="100">iferror(AB86/$M86,"-")</f>
        <v>-</v>
      </c>
      <c r="AR86" s="27" t="str">
        <f t="shared" si="100"/>
        <v>-</v>
      </c>
      <c r="AS86" s="29" t="str">
        <f t="shared" si="17"/>
        <v>-</v>
      </c>
      <c r="AT86" s="29" t="str">
        <f t="shared" si="18"/>
        <v>-</v>
      </c>
      <c r="AU86" s="14"/>
      <c r="AV86" s="14"/>
      <c r="AW86" s="14"/>
      <c r="AX86" s="14"/>
    </row>
    <row r="87">
      <c r="B87" s="17">
        <v>84.0</v>
      </c>
      <c r="C87" s="18">
        <f t="shared" si="2"/>
        <v>4</v>
      </c>
      <c r="D87" s="19" t="s">
        <v>138</v>
      </c>
      <c r="E87" s="19" t="s">
        <v>142</v>
      </c>
      <c r="F87" s="31">
        <v>3.0</v>
      </c>
      <c r="G87" s="31" t="s">
        <v>54</v>
      </c>
      <c r="H87" s="31" t="s">
        <v>48</v>
      </c>
      <c r="I87" s="31">
        <v>169.0</v>
      </c>
      <c r="J87" s="31">
        <v>59.0</v>
      </c>
      <c r="K87" s="32">
        <v>6.0</v>
      </c>
      <c r="L87" s="20">
        <f>SUMIFS('3월 단양 개인별 STAT'!L:L, '3월 단양 개인별 STAT'!$D:$D, $D87, '3월 단양 개인별 STAT'!$E:$E, $E87) + SUMIFS('4월 삼척 개인별 STAT'!L:L, '4월 삼척 개인별 STAT'!$D:$D, $D87, '4월 삼척 개인별 STAT'!$E:$E, $E87)</f>
        <v>2</v>
      </c>
      <c r="M87" s="20">
        <f>SUMIFS('3월 단양 개인별 STAT'!M:M, '3월 단양 개인별 STAT'!$D:$D, $D87, '3월 단양 개인별 STAT'!$E:$E, $E87) + SUMIFS('4월 삼척 개인별 STAT'!M:M, '4월 삼척 개인별 STAT'!$D:$D, $D87, '4월 삼척 개인별 STAT'!$E:$E, $E87)</f>
        <v>7</v>
      </c>
      <c r="N87" s="20">
        <f>SUMIFS('3월 단양 개인별 STAT'!N:N, '3월 단양 개인별 STAT'!$D:$D, $D87, '3월 단양 개인별 STAT'!$E:$E, $E87) + SUMIFS('4월 삼척 개인별 STAT'!N:N, '4월 삼척 개인별 STAT'!$D:$D, $D87, '4월 삼척 개인별 STAT'!$E:$E, $E87)</f>
        <v>0</v>
      </c>
      <c r="O87" s="20">
        <f>SUMIFS('3월 단양 개인별 STAT'!O:O, '3월 단양 개인별 STAT'!$D:$D, $D87, '3월 단양 개인별 STAT'!$E:$E, $E87) + SUMIFS('4월 삼척 개인별 STAT'!O:O, '4월 삼척 개인별 STAT'!$D:$D, $D87, '4월 삼척 개인별 STAT'!$E:$E, $E87)</f>
        <v>55</v>
      </c>
      <c r="P87" s="20">
        <f>SUMIFS('3월 단양 개인별 STAT'!P:P, '3월 단양 개인별 STAT'!$D:$D, $D87, '3월 단양 개인별 STAT'!$E:$E, $E87) + SUMIFS('4월 삼척 개인별 STAT'!P:P, '4월 삼척 개인별 STAT'!$D:$D, $D87, '4월 삼척 개인별 STAT'!$E:$E, $E87)</f>
        <v>6</v>
      </c>
      <c r="Q87" s="20">
        <f>SUMIFS('3월 단양 개인별 STAT'!Q:Q, '3월 단양 개인별 STAT'!$D:$D, $D87, '3월 단양 개인별 STAT'!$E:$E, $E87) + SUMIFS('4월 삼척 개인별 STAT'!Q:Q, '4월 삼척 개인별 STAT'!$D:$D, $D87, '4월 삼척 개인별 STAT'!$E:$E, $E87)</f>
        <v>1</v>
      </c>
      <c r="R87" s="35">
        <f t="shared" si="3"/>
        <v>7</v>
      </c>
      <c r="S87" s="34">
        <f t="shared" si="4"/>
        <v>-0.14</v>
      </c>
      <c r="T87" s="20">
        <f>SUMIFS('3월 단양 개인별 STAT'!T:T, '3월 단양 개인별 STAT'!$D:$D, $D87, '3월 단양 개인별 STAT'!$E:$E, $E87) + SUMIFS('4월 삼척 개인별 STAT'!T:T, '4월 삼척 개인별 STAT'!$D:$D, $D87, '4월 삼척 개인별 STAT'!$E:$E, $E87)</f>
        <v>0</v>
      </c>
      <c r="U87" s="20">
        <f>SUMIFS('3월 단양 개인별 STAT'!U:U, '3월 단양 개인별 STAT'!$D:$D, $D87, '3월 단양 개인별 STAT'!$E:$E, $E87) + SUMIFS('4월 삼척 개인별 STAT'!U:U, '4월 삼척 개인별 STAT'!$D:$D, $D87, '4월 삼척 개인별 STAT'!$E:$E, $E87)</f>
        <v>0</v>
      </c>
      <c r="V87" s="20">
        <f>SUMIFS('3월 단양 개인별 STAT'!V:V, '3월 단양 개인별 STAT'!$D:$D, $D87, '3월 단양 개인별 STAT'!$E:$E, $E87) + SUMIFS('4월 삼척 개인별 STAT'!V:V, '4월 삼척 개인별 STAT'!$D:$D, $D87, '4월 삼척 개인별 STAT'!$E:$E, $E87)</f>
        <v>0</v>
      </c>
      <c r="W87" s="20">
        <f>SUMIFS('3월 단양 개인별 STAT'!W:W, '3월 단양 개인별 STAT'!$D:$D, $D87, '3월 단양 개인별 STAT'!$E:$E, $E87) + SUMIFS('4월 삼척 개인별 STAT'!W:W, '4월 삼척 개인별 STAT'!$D:$D, $D87, '4월 삼척 개인별 STAT'!$E:$E, $E87)</f>
        <v>22</v>
      </c>
      <c r="X87" s="20">
        <f>SUMIFS('3월 단양 개인별 STAT'!X:X, '3월 단양 개인별 STAT'!$D:$D, $D87, '3월 단양 개인별 STAT'!$E:$E, $E87) + SUMIFS('4월 삼척 개인별 STAT'!X:X, '4월 삼척 개인별 STAT'!$D:$D, $D87, '4월 삼척 개인별 STAT'!$E:$E, $E87)</f>
        <v>1</v>
      </c>
      <c r="Y87" s="20">
        <f>SUMIFS('3월 단양 개인별 STAT'!Y:Y, '3월 단양 개인별 STAT'!$D:$D, $D87, '3월 단양 개인별 STAT'!$E:$E, $E87) + SUMIFS('4월 삼척 개인별 STAT'!Y:Y, '4월 삼척 개인별 STAT'!$D:$D, $D87, '4월 삼척 개인별 STAT'!$E:$E, $E87)</f>
        <v>4</v>
      </c>
      <c r="Z87" s="35">
        <f t="shared" si="5"/>
        <v>27</v>
      </c>
      <c r="AA87" s="20">
        <f>SUMIFS('3월 단양 개인별 STAT'!AA:AA, '3월 단양 개인별 STAT'!$D:$D, $D87, '3월 단양 개인별 STAT'!$E:$E, $E87) + SUMIFS('4월 삼척 개인별 STAT'!AA:AA, '4월 삼척 개인별 STAT'!$D:$D, $D87, '4월 삼척 개인별 STAT'!$E:$E, $E87)</f>
        <v>5</v>
      </c>
      <c r="AB87" s="35">
        <f t="shared" si="6"/>
        <v>1</v>
      </c>
      <c r="AC87" s="23">
        <f t="shared" si="7"/>
        <v>1</v>
      </c>
      <c r="AD87" s="35">
        <f t="shared" si="8"/>
        <v>7</v>
      </c>
      <c r="AE87" s="20">
        <f>SUMIFS('3월 단양 개인별 STAT'!AE:AE, '3월 단양 개인별 STAT'!$D:$D, $D87, '3월 단양 개인별 STAT'!$E:$E, $E87) + SUMIFS('4월 삼척 개인별 STAT'!AE:AE, '4월 삼척 개인별 STAT'!$D:$D, $D87, '4월 삼척 개인별 STAT'!$E:$E, $E87)</f>
        <v>1</v>
      </c>
      <c r="AF87" s="20">
        <f>SUMIFS('3월 단양 개인별 STAT'!AF:AF, '3월 단양 개인별 STAT'!$D:$D, $D87, '3월 단양 개인별 STAT'!$E:$E, $E87) + SUMIFS('4월 삼척 개인별 STAT'!AF:AF, '4월 삼척 개인별 STAT'!$D:$D, $D87, '4월 삼척 개인별 STAT'!$E:$E, $E87)</f>
        <v>6</v>
      </c>
      <c r="AG87" s="36">
        <f t="shared" si="9"/>
        <v>14.28571429</v>
      </c>
      <c r="AH87" s="20">
        <f>SUMIFS('3월 단양 개인별 STAT'!AH:AH, '3월 단양 개인별 STAT'!$D:$D, $D87, '3월 단양 개인별 STAT'!$E:$E, $E87) + SUMIFS('4월 삼척 개인별 STAT'!AH:AH, '4월 삼척 개인별 STAT'!$D:$D, $D87, '4월 삼척 개인별 STAT'!$E:$E, $E87)</f>
        <v>16</v>
      </c>
      <c r="AI87" s="34" t="str">
        <f t="shared" si="10"/>
        <v>2.29</v>
      </c>
      <c r="AJ87" s="25"/>
      <c r="AK87" s="14"/>
      <c r="AL87" s="27">
        <f t="shared" si="11"/>
        <v>0</v>
      </c>
      <c r="AM87" s="27">
        <f t="shared" si="30"/>
        <v>1</v>
      </c>
      <c r="AN87" s="28">
        <f t="shared" si="13"/>
        <v>0</v>
      </c>
      <c r="AO87" s="27">
        <f t="shared" si="14"/>
        <v>0</v>
      </c>
      <c r="AP87" s="27">
        <f t="shared" si="15"/>
        <v>0.1428571429</v>
      </c>
      <c r="AQ87" s="27">
        <f t="shared" ref="AQ87:AR87" si="101">iferror(AB87/$M87,"-")</f>
        <v>0.1428571429</v>
      </c>
      <c r="AR87" s="27">
        <f t="shared" si="101"/>
        <v>0.1428571429</v>
      </c>
      <c r="AS87" s="29">
        <f t="shared" si="17"/>
        <v>0.8571428571</v>
      </c>
      <c r="AT87" s="29" t="str">
        <f t="shared" si="18"/>
        <v>2.29</v>
      </c>
      <c r="AU87" s="14"/>
      <c r="AV87" s="14"/>
      <c r="AW87" s="14"/>
      <c r="AX87" s="14"/>
    </row>
    <row r="88">
      <c r="B88" s="17">
        <v>85.0</v>
      </c>
      <c r="C88" s="18">
        <f t="shared" si="2"/>
        <v>5</v>
      </c>
      <c r="D88" s="19" t="s">
        <v>138</v>
      </c>
      <c r="E88" s="19" t="s">
        <v>143</v>
      </c>
      <c r="F88" s="31">
        <v>1.0</v>
      </c>
      <c r="G88" s="31" t="s">
        <v>57</v>
      </c>
      <c r="H88" s="31" t="s">
        <v>47</v>
      </c>
      <c r="I88" s="31">
        <v>182.0</v>
      </c>
      <c r="J88" s="31">
        <v>66.0</v>
      </c>
      <c r="K88" s="32">
        <v>7.0</v>
      </c>
      <c r="L88" s="20">
        <f>SUMIFS('3월 단양 개인별 STAT'!L:L, '3월 단양 개인별 STAT'!$D:$D, $D88, '3월 단양 개인별 STAT'!$E:$E, $E88) + SUMIFS('4월 삼척 개인별 STAT'!L:L, '4월 삼척 개인별 STAT'!$D:$D, $D88, '4월 삼척 개인별 STAT'!$E:$E, $E88)</f>
        <v>1</v>
      </c>
      <c r="M88" s="20">
        <f>SUMIFS('3월 단양 개인별 STAT'!M:M, '3월 단양 개인별 STAT'!$D:$D, $D88, '3월 단양 개인별 STAT'!$E:$E, $E88) + SUMIFS('4월 삼척 개인별 STAT'!M:M, '4월 삼척 개인별 STAT'!$D:$D, $D88, '4월 삼척 개인별 STAT'!$E:$E, $E88)</f>
        <v>2</v>
      </c>
      <c r="N88" s="20">
        <f>SUMIFS('3월 단양 개인별 STAT'!N:N, '3월 단양 개인별 STAT'!$D:$D, $D88, '3월 단양 개인별 STAT'!$E:$E, $E88) + SUMIFS('4월 삼척 개인별 STAT'!N:N, '4월 삼척 개인별 STAT'!$D:$D, $D88, '4월 삼척 개인별 STAT'!$E:$E, $E88)</f>
        <v>0</v>
      </c>
      <c r="O88" s="20">
        <f>SUMIFS('3월 단양 개인별 STAT'!O:O, '3월 단양 개인별 STAT'!$D:$D, $D88, '3월 단양 개인별 STAT'!$E:$E, $E88) + SUMIFS('4월 삼척 개인별 STAT'!O:O, '4월 삼척 개인별 STAT'!$D:$D, $D88, '4월 삼척 개인별 STAT'!$E:$E, $E88)</f>
        <v>1</v>
      </c>
      <c r="P88" s="20">
        <f>SUMIFS('3월 단양 개인별 STAT'!P:P, '3월 단양 개인별 STAT'!$D:$D, $D88, '3월 단양 개인별 STAT'!$E:$E, $E88) + SUMIFS('4월 삼척 개인별 STAT'!P:P, '4월 삼척 개인별 STAT'!$D:$D, $D88, '4월 삼척 개인별 STAT'!$E:$E, $E88)</f>
        <v>0</v>
      </c>
      <c r="Q88" s="20">
        <f>SUMIFS('3월 단양 개인별 STAT'!Q:Q, '3월 단양 개인별 STAT'!$D:$D, $D88, '3월 단양 개인별 STAT'!$E:$E, $E88) + SUMIFS('4월 삼척 개인별 STAT'!Q:Q, '4월 삼척 개인별 STAT'!$D:$D, $D88, '4월 삼척 개인별 STAT'!$E:$E, $E88)</f>
        <v>0</v>
      </c>
      <c r="R88" s="33" t="str">
        <f t="shared" si="3"/>
        <v>-</v>
      </c>
      <c r="S88" s="34" t="str">
        <f t="shared" si="4"/>
        <v>-</v>
      </c>
      <c r="T88" s="20">
        <f>SUMIFS('3월 단양 개인별 STAT'!T:T, '3월 단양 개인별 STAT'!$D:$D, $D88, '3월 단양 개인별 STAT'!$E:$E, $E88) + SUMIFS('4월 삼척 개인별 STAT'!T:T, '4월 삼척 개인별 STAT'!$D:$D, $D88, '4월 삼척 개인별 STAT'!$E:$E, $E88)</f>
        <v>0</v>
      </c>
      <c r="U88" s="20">
        <f>SUMIFS('3월 단양 개인별 STAT'!U:U, '3월 단양 개인별 STAT'!$D:$D, $D88, '3월 단양 개인별 STAT'!$E:$E, $E88) + SUMIFS('4월 삼척 개인별 STAT'!U:U, '4월 삼척 개인별 STAT'!$D:$D, $D88, '4월 삼척 개인별 STAT'!$E:$E, $E88)</f>
        <v>0</v>
      </c>
      <c r="V88" s="20">
        <f>SUMIFS('3월 단양 개인별 STAT'!V:V, '3월 단양 개인별 STAT'!$D:$D, $D88, '3월 단양 개인별 STAT'!$E:$E, $E88) + SUMIFS('4월 삼척 개인별 STAT'!V:V, '4월 삼척 개인별 STAT'!$D:$D, $D88, '4월 삼척 개인별 STAT'!$E:$E, $E88)</f>
        <v>0</v>
      </c>
      <c r="W88" s="20">
        <f>SUMIFS('3월 단양 개인별 STAT'!W:W, '3월 단양 개인별 STAT'!$D:$D, $D88, '3월 단양 개인별 STAT'!$E:$E, $E88) + SUMIFS('4월 삼척 개인별 STAT'!W:W, '4월 삼척 개인별 STAT'!$D:$D, $D88, '4월 삼척 개인별 STAT'!$E:$E, $E88)</f>
        <v>0</v>
      </c>
      <c r="X88" s="20">
        <f>SUMIFS('3월 단양 개인별 STAT'!X:X, '3월 단양 개인별 STAT'!$D:$D, $D88, '3월 단양 개인별 STAT'!$E:$E, $E88) + SUMIFS('4월 삼척 개인별 STAT'!X:X, '4월 삼척 개인별 STAT'!$D:$D, $D88, '4월 삼척 개인별 STAT'!$E:$E, $E88)</f>
        <v>0</v>
      </c>
      <c r="Y88" s="20">
        <f>SUMIFS('3월 단양 개인별 STAT'!Y:Y, '3월 단양 개인별 STAT'!$D:$D, $D88, '3월 단양 개인별 STAT'!$E:$E, $E88) + SUMIFS('4월 삼척 개인별 STAT'!Y:Y, '4월 삼척 개인별 STAT'!$D:$D, $D88, '4월 삼척 개인별 STAT'!$E:$E, $E88)</f>
        <v>0</v>
      </c>
      <c r="Z88" s="33" t="str">
        <f t="shared" si="5"/>
        <v>-</v>
      </c>
      <c r="AA88" s="20">
        <f>SUMIFS('3월 단양 개인별 STAT'!AA:AA, '3월 단양 개인별 STAT'!$D:$D, $D88, '3월 단양 개인별 STAT'!$E:$E, $E88) + SUMIFS('4월 삼척 개인별 STAT'!AA:AA, '4월 삼척 개인별 STAT'!$D:$D, $D88, '4월 삼척 개인별 STAT'!$E:$E, $E88)</f>
        <v>0</v>
      </c>
      <c r="AB88" s="33" t="str">
        <f t="shared" si="6"/>
        <v>-</v>
      </c>
      <c r="AC88" s="23">
        <f t="shared" si="7"/>
        <v>0</v>
      </c>
      <c r="AD88" s="33" t="str">
        <f t="shared" si="8"/>
        <v>-</v>
      </c>
      <c r="AE88" s="20">
        <f>SUMIFS('3월 단양 개인별 STAT'!AE:AE, '3월 단양 개인별 STAT'!$D:$D, $D88, '3월 단양 개인별 STAT'!$E:$E, $E88) + SUMIFS('4월 삼척 개인별 STAT'!AE:AE, '4월 삼척 개인별 STAT'!$D:$D, $D88, '4월 삼척 개인별 STAT'!$E:$E, $E88)</f>
        <v>0</v>
      </c>
      <c r="AF88" s="20">
        <f>SUMIFS('3월 단양 개인별 STAT'!AF:AF, '3월 단양 개인별 STAT'!$D:$D, $D88, '3월 단양 개인별 STAT'!$E:$E, $E88) + SUMIFS('4월 삼척 개인별 STAT'!AF:AF, '4월 삼척 개인별 STAT'!$D:$D, $D88, '4월 삼척 개인별 STAT'!$E:$E, $E88)</f>
        <v>0</v>
      </c>
      <c r="AG88" s="36" t="str">
        <f t="shared" si="9"/>
        <v>-</v>
      </c>
      <c r="AH88" s="20">
        <f>SUMIFS('3월 단양 개인별 STAT'!AH:AH, '3월 단양 개인별 STAT'!$D:$D, $D88, '3월 단양 개인별 STAT'!$E:$E, $E88) + SUMIFS('4월 삼척 개인별 STAT'!AH:AH, '4월 삼척 개인별 STAT'!$D:$D, $D88, '4월 삼척 개인별 STAT'!$E:$E, $E88)</f>
        <v>1</v>
      </c>
      <c r="AI88" s="34" t="str">
        <f t="shared" si="10"/>
        <v>0.50</v>
      </c>
      <c r="AJ88" s="25"/>
      <c r="AK88" s="14"/>
      <c r="AL88" s="27">
        <f t="shared" si="11"/>
        <v>0</v>
      </c>
      <c r="AM88" s="27" t="str">
        <f t="shared" si="30"/>
        <v>-</v>
      </c>
      <c r="AN88" s="28" t="str">
        <f t="shared" si="13"/>
        <v>-</v>
      </c>
      <c r="AO88" s="27">
        <f t="shared" si="14"/>
        <v>0</v>
      </c>
      <c r="AP88" s="27">
        <f t="shared" si="15"/>
        <v>0</v>
      </c>
      <c r="AQ88" s="27" t="str">
        <f t="shared" ref="AQ88:AR88" si="102">iferror(AB88/$M88,"-")</f>
        <v>-</v>
      </c>
      <c r="AR88" s="27">
        <f t="shared" si="102"/>
        <v>0</v>
      </c>
      <c r="AS88" s="29">
        <f t="shared" si="17"/>
        <v>0</v>
      </c>
      <c r="AT88" s="29" t="str">
        <f t="shared" si="18"/>
        <v>0.50</v>
      </c>
      <c r="AU88" s="14"/>
      <c r="AV88" s="14"/>
      <c r="AW88" s="14"/>
      <c r="AX88" s="14"/>
    </row>
    <row r="89">
      <c r="B89" s="17">
        <v>86.0</v>
      </c>
      <c r="C89" s="18">
        <f t="shared" si="2"/>
        <v>6</v>
      </c>
      <c r="D89" s="19" t="s">
        <v>138</v>
      </c>
      <c r="E89" s="19" t="s">
        <v>144</v>
      </c>
      <c r="F89" s="31">
        <v>3.0</v>
      </c>
      <c r="G89" s="31" t="s">
        <v>50</v>
      </c>
      <c r="H89" s="31" t="s">
        <v>57</v>
      </c>
      <c r="I89" s="31">
        <v>174.0</v>
      </c>
      <c r="J89" s="31">
        <v>63.0</v>
      </c>
      <c r="K89" s="32">
        <v>8.0</v>
      </c>
      <c r="L89" s="20">
        <f>SUMIFS('3월 단양 개인별 STAT'!L:L, '3월 단양 개인별 STAT'!$D:$D, $D89, '3월 단양 개인별 STAT'!$E:$E, $E89) + SUMIFS('4월 삼척 개인별 STAT'!L:L, '4월 삼척 개인별 STAT'!$D:$D, $D89, '4월 삼척 개인별 STAT'!$E:$E, $E89)</f>
        <v>2</v>
      </c>
      <c r="M89" s="20">
        <f>SUMIFS('3월 단양 개인별 STAT'!M:M, '3월 단양 개인별 STAT'!$D:$D, $D89, '3월 단양 개인별 STAT'!$E:$E, $E89) + SUMIFS('4월 삼척 개인별 STAT'!M:M, '4월 삼척 개인별 STAT'!$D:$D, $D89, '4월 삼척 개인별 STAT'!$E:$E, $E89)</f>
        <v>7</v>
      </c>
      <c r="N89" s="20">
        <f>SUMIFS('3월 단양 개인별 STAT'!N:N, '3월 단양 개인별 STAT'!$D:$D, $D89, '3월 단양 개인별 STAT'!$E:$E, $E89) + SUMIFS('4월 삼척 개인별 STAT'!N:N, '4월 삼척 개인별 STAT'!$D:$D, $D89, '4월 삼척 개인별 STAT'!$E:$E, $E89)</f>
        <v>0</v>
      </c>
      <c r="O89" s="20">
        <f>SUMIFS('3월 단양 개인별 STAT'!O:O, '3월 단양 개인별 STAT'!$D:$D, $D89, '3월 단양 개인별 STAT'!$E:$E, $E89) + SUMIFS('4월 삼척 개인별 STAT'!O:O, '4월 삼척 개인별 STAT'!$D:$D, $D89, '4월 삼척 개인별 STAT'!$E:$E, $E89)</f>
        <v>3</v>
      </c>
      <c r="P89" s="20">
        <f>SUMIFS('3월 단양 개인별 STAT'!P:P, '3월 단양 개인별 STAT'!$D:$D, $D89, '3월 단양 개인별 STAT'!$E:$E, $E89) + SUMIFS('4월 삼척 개인별 STAT'!P:P, '4월 삼척 개인별 STAT'!$D:$D, $D89, '4월 삼척 개인별 STAT'!$E:$E, $E89)</f>
        <v>0</v>
      </c>
      <c r="Q89" s="20">
        <f>SUMIFS('3월 단양 개인별 STAT'!Q:Q, '3월 단양 개인별 STAT'!$D:$D, $D89, '3월 단양 개인별 STAT'!$E:$E, $E89) + SUMIFS('4월 삼척 개인별 STAT'!Q:Q, '4월 삼척 개인별 STAT'!$D:$D, $D89, '4월 삼척 개인별 STAT'!$E:$E, $E89)</f>
        <v>0</v>
      </c>
      <c r="R89" s="33" t="str">
        <f t="shared" si="3"/>
        <v>-</v>
      </c>
      <c r="S89" s="34" t="str">
        <f t="shared" si="4"/>
        <v>-</v>
      </c>
      <c r="T89" s="20">
        <f>SUMIFS('3월 단양 개인별 STAT'!T:T, '3월 단양 개인별 STAT'!$D:$D, $D89, '3월 단양 개인별 STAT'!$E:$E, $E89) + SUMIFS('4월 삼척 개인별 STAT'!T:T, '4월 삼척 개인별 STAT'!$D:$D, $D89, '4월 삼척 개인별 STAT'!$E:$E, $E89)</f>
        <v>0</v>
      </c>
      <c r="U89" s="20">
        <f>SUMIFS('3월 단양 개인별 STAT'!U:U, '3월 단양 개인별 STAT'!$D:$D, $D89, '3월 단양 개인별 STAT'!$E:$E, $E89) + SUMIFS('4월 삼척 개인별 STAT'!U:U, '4월 삼척 개인별 STAT'!$D:$D, $D89, '4월 삼척 개인별 STAT'!$E:$E, $E89)</f>
        <v>0</v>
      </c>
      <c r="V89" s="20">
        <f>SUMIFS('3월 단양 개인별 STAT'!V:V, '3월 단양 개인별 STAT'!$D:$D, $D89, '3월 단양 개인별 STAT'!$E:$E, $E89) + SUMIFS('4월 삼척 개인별 STAT'!V:V, '4월 삼척 개인별 STAT'!$D:$D, $D89, '4월 삼척 개인별 STAT'!$E:$E, $E89)</f>
        <v>0</v>
      </c>
      <c r="W89" s="20">
        <f>SUMIFS('3월 단양 개인별 STAT'!W:W, '3월 단양 개인별 STAT'!$D:$D, $D89, '3월 단양 개인별 STAT'!$E:$E, $E89) + SUMIFS('4월 삼척 개인별 STAT'!W:W, '4월 삼척 개인별 STAT'!$D:$D, $D89, '4월 삼척 개인별 STAT'!$E:$E, $E89)</f>
        <v>0</v>
      </c>
      <c r="X89" s="20">
        <f>SUMIFS('3월 단양 개인별 STAT'!X:X, '3월 단양 개인별 STAT'!$D:$D, $D89, '3월 단양 개인별 STAT'!$E:$E, $E89) + SUMIFS('4월 삼척 개인별 STAT'!X:X, '4월 삼척 개인별 STAT'!$D:$D, $D89, '4월 삼척 개인별 STAT'!$E:$E, $E89)</f>
        <v>0</v>
      </c>
      <c r="Y89" s="20">
        <f>SUMIFS('3월 단양 개인별 STAT'!Y:Y, '3월 단양 개인별 STAT'!$D:$D, $D89, '3월 단양 개인별 STAT'!$E:$E, $E89) + SUMIFS('4월 삼척 개인별 STAT'!Y:Y, '4월 삼척 개인별 STAT'!$D:$D, $D89, '4월 삼척 개인별 STAT'!$E:$E, $E89)</f>
        <v>0</v>
      </c>
      <c r="Z89" s="33" t="str">
        <f t="shared" si="5"/>
        <v>-</v>
      </c>
      <c r="AA89" s="20">
        <f>SUMIFS('3월 단양 개인별 STAT'!AA:AA, '3월 단양 개인별 STAT'!$D:$D, $D89, '3월 단양 개인별 STAT'!$E:$E, $E89) + SUMIFS('4월 삼척 개인별 STAT'!AA:AA, '4월 삼척 개인별 STAT'!$D:$D, $D89, '4월 삼척 개인별 STAT'!$E:$E, $E89)</f>
        <v>0</v>
      </c>
      <c r="AB89" s="33" t="str">
        <f t="shared" si="6"/>
        <v>-</v>
      </c>
      <c r="AC89" s="23">
        <f t="shared" si="7"/>
        <v>0</v>
      </c>
      <c r="AD89" s="35">
        <f t="shared" si="8"/>
        <v>31</v>
      </c>
      <c r="AE89" s="20">
        <f>SUMIFS('3월 단양 개인별 STAT'!AE:AE, '3월 단양 개인별 STAT'!$D:$D, $D89, '3월 단양 개인별 STAT'!$E:$E, $E89) + SUMIFS('4월 삼척 개인별 STAT'!AE:AE, '4월 삼척 개인별 STAT'!$D:$D, $D89, '4월 삼척 개인별 STAT'!$E:$E, $E89)</f>
        <v>28</v>
      </c>
      <c r="AF89" s="20">
        <f>SUMIFS('3월 단양 개인별 STAT'!AF:AF, '3월 단양 개인별 STAT'!$D:$D, $D89, '3월 단양 개인별 STAT'!$E:$E, $E89) + SUMIFS('4월 삼척 개인별 STAT'!AF:AF, '4월 삼척 개인별 STAT'!$D:$D, $D89, '4월 삼척 개인별 STAT'!$E:$E, $E89)</f>
        <v>3</v>
      </c>
      <c r="AG89" s="36">
        <f t="shared" si="9"/>
        <v>90.32258065</v>
      </c>
      <c r="AH89" s="20">
        <f>SUMIFS('3월 단양 개인별 STAT'!AH:AH, '3월 단양 개인별 STAT'!$D:$D, $D89, '3월 단양 개인별 STAT'!$E:$E, $E89) + SUMIFS('4월 삼척 개인별 STAT'!AH:AH, '4월 삼척 개인별 STAT'!$D:$D, $D89, '4월 삼척 개인별 STAT'!$E:$E, $E89)</f>
        <v>20</v>
      </c>
      <c r="AI89" s="34" t="str">
        <f t="shared" si="10"/>
        <v>2.86</v>
      </c>
      <c r="AJ89" s="25"/>
      <c r="AK89" s="14"/>
      <c r="AL89" s="27">
        <f t="shared" si="11"/>
        <v>0</v>
      </c>
      <c r="AM89" s="27" t="str">
        <f t="shared" si="30"/>
        <v>-</v>
      </c>
      <c r="AN89" s="28" t="str">
        <f t="shared" si="13"/>
        <v>-</v>
      </c>
      <c r="AO89" s="27">
        <f t="shared" si="14"/>
        <v>0</v>
      </c>
      <c r="AP89" s="27">
        <f t="shared" si="15"/>
        <v>0</v>
      </c>
      <c r="AQ89" s="27" t="str">
        <f t="shared" ref="AQ89:AR89" si="103">iferror(AB89/$M89,"-")</f>
        <v>-</v>
      </c>
      <c r="AR89" s="27">
        <f t="shared" si="103"/>
        <v>0</v>
      </c>
      <c r="AS89" s="29">
        <f t="shared" si="17"/>
        <v>0.4285714286</v>
      </c>
      <c r="AT89" s="29" t="str">
        <f t="shared" si="18"/>
        <v>2.86</v>
      </c>
      <c r="AU89" s="14"/>
      <c r="AV89" s="14"/>
      <c r="AW89" s="14"/>
      <c r="AX89" s="14"/>
    </row>
    <row r="90">
      <c r="B90" s="17">
        <v>87.0</v>
      </c>
      <c r="C90" s="18">
        <f t="shared" si="2"/>
        <v>7</v>
      </c>
      <c r="D90" s="19" t="s">
        <v>138</v>
      </c>
      <c r="E90" s="19" t="s">
        <v>145</v>
      </c>
      <c r="F90" s="31">
        <v>2.0</v>
      </c>
      <c r="G90" s="31" t="s">
        <v>50</v>
      </c>
      <c r="H90" s="31" t="s">
        <v>48</v>
      </c>
      <c r="I90" s="31">
        <v>163.0</v>
      </c>
      <c r="J90" s="31">
        <v>63.0</v>
      </c>
      <c r="K90" s="32">
        <v>9.0</v>
      </c>
      <c r="L90" s="20">
        <f>SUMIFS('3월 단양 개인별 STAT'!L:L, '3월 단양 개인별 STAT'!$D:$D, $D90, '3월 단양 개인별 STAT'!$E:$E, $E90) + SUMIFS('4월 삼척 개인별 STAT'!L:L, '4월 삼척 개인별 STAT'!$D:$D, $D90, '4월 삼척 개인별 STAT'!$E:$E, $E90)</f>
        <v>2</v>
      </c>
      <c r="M90" s="20">
        <f>SUMIFS('3월 단양 개인별 STAT'!M:M, '3월 단양 개인별 STAT'!$D:$D, $D90, '3월 단양 개인별 STAT'!$E:$E, $E90) + SUMIFS('4월 삼척 개인별 STAT'!M:M, '4월 삼척 개인별 STAT'!$D:$D, $D90, '4월 삼척 개인별 STAT'!$E:$E, $E90)</f>
        <v>3</v>
      </c>
      <c r="N90" s="20">
        <f>SUMIFS('3월 단양 개인별 STAT'!N:N, '3월 단양 개인별 STAT'!$D:$D, $D90, '3월 단양 개인별 STAT'!$E:$E, $E90) + SUMIFS('4월 삼척 개인별 STAT'!N:N, '4월 삼척 개인별 STAT'!$D:$D, $D90, '4월 삼척 개인별 STAT'!$E:$E, $E90)</f>
        <v>0</v>
      </c>
      <c r="O90" s="20">
        <f>SUMIFS('3월 단양 개인별 STAT'!O:O, '3월 단양 개인별 STAT'!$D:$D, $D90, '3월 단양 개인별 STAT'!$E:$E, $E90) + SUMIFS('4월 삼척 개인별 STAT'!O:O, '4월 삼척 개인별 STAT'!$D:$D, $D90, '4월 삼척 개인별 STAT'!$E:$E, $E90)</f>
        <v>2</v>
      </c>
      <c r="P90" s="20">
        <f>SUMIFS('3월 단양 개인별 STAT'!P:P, '3월 단양 개인별 STAT'!$D:$D, $D90, '3월 단양 개인별 STAT'!$E:$E, $E90) + SUMIFS('4월 삼척 개인별 STAT'!P:P, '4월 삼척 개인별 STAT'!$D:$D, $D90, '4월 삼척 개인별 STAT'!$E:$E, $E90)</f>
        <v>0</v>
      </c>
      <c r="Q90" s="20">
        <f>SUMIFS('3월 단양 개인별 STAT'!Q:Q, '3월 단양 개인별 STAT'!$D:$D, $D90, '3월 단양 개인별 STAT'!$E:$E, $E90) + SUMIFS('4월 삼척 개인별 STAT'!Q:Q, '4월 삼척 개인별 STAT'!$D:$D, $D90, '4월 삼척 개인별 STAT'!$E:$E, $E90)</f>
        <v>0</v>
      </c>
      <c r="R90" s="33" t="str">
        <f t="shared" si="3"/>
        <v>-</v>
      </c>
      <c r="S90" s="34" t="str">
        <f t="shared" si="4"/>
        <v>-</v>
      </c>
      <c r="T90" s="20">
        <f>SUMIFS('3월 단양 개인별 STAT'!T:T, '3월 단양 개인별 STAT'!$D:$D, $D90, '3월 단양 개인별 STAT'!$E:$E, $E90) + SUMIFS('4월 삼척 개인별 STAT'!T:T, '4월 삼척 개인별 STAT'!$D:$D, $D90, '4월 삼척 개인별 STAT'!$E:$E, $E90)</f>
        <v>0</v>
      </c>
      <c r="U90" s="20">
        <f>SUMIFS('3월 단양 개인별 STAT'!U:U, '3월 단양 개인별 STAT'!$D:$D, $D90, '3월 단양 개인별 STAT'!$E:$E, $E90) + SUMIFS('4월 삼척 개인별 STAT'!U:U, '4월 삼척 개인별 STAT'!$D:$D, $D90, '4월 삼척 개인별 STAT'!$E:$E, $E90)</f>
        <v>0</v>
      </c>
      <c r="V90" s="20">
        <f>SUMIFS('3월 단양 개인별 STAT'!V:V, '3월 단양 개인별 STAT'!$D:$D, $D90, '3월 단양 개인별 STAT'!$E:$E, $E90) + SUMIFS('4월 삼척 개인별 STAT'!V:V, '4월 삼척 개인별 STAT'!$D:$D, $D90, '4월 삼척 개인별 STAT'!$E:$E, $E90)</f>
        <v>0</v>
      </c>
      <c r="W90" s="20">
        <f>SUMIFS('3월 단양 개인별 STAT'!W:W, '3월 단양 개인별 STAT'!$D:$D, $D90, '3월 단양 개인별 STAT'!$E:$E, $E90) + SUMIFS('4월 삼척 개인별 STAT'!W:W, '4월 삼척 개인별 STAT'!$D:$D, $D90, '4월 삼척 개인별 STAT'!$E:$E, $E90)</f>
        <v>0</v>
      </c>
      <c r="X90" s="20">
        <f>SUMIFS('3월 단양 개인별 STAT'!X:X, '3월 단양 개인별 STAT'!$D:$D, $D90, '3월 단양 개인별 STAT'!$E:$E, $E90) + SUMIFS('4월 삼척 개인별 STAT'!X:X, '4월 삼척 개인별 STAT'!$D:$D, $D90, '4월 삼척 개인별 STAT'!$E:$E, $E90)</f>
        <v>0</v>
      </c>
      <c r="Y90" s="20">
        <f>SUMIFS('3월 단양 개인별 STAT'!Y:Y, '3월 단양 개인별 STAT'!$D:$D, $D90, '3월 단양 개인별 STAT'!$E:$E, $E90) + SUMIFS('4월 삼척 개인별 STAT'!Y:Y, '4월 삼척 개인별 STAT'!$D:$D, $D90, '4월 삼척 개인별 STAT'!$E:$E, $E90)</f>
        <v>0</v>
      </c>
      <c r="Z90" s="33" t="str">
        <f t="shared" si="5"/>
        <v>-</v>
      </c>
      <c r="AA90" s="20">
        <f>SUMIFS('3월 단양 개인별 STAT'!AA:AA, '3월 단양 개인별 STAT'!$D:$D, $D90, '3월 단양 개인별 STAT'!$E:$E, $E90) + SUMIFS('4월 삼척 개인별 STAT'!AA:AA, '4월 삼척 개인별 STAT'!$D:$D, $D90, '4월 삼척 개인별 STAT'!$E:$E, $E90)</f>
        <v>0</v>
      </c>
      <c r="AB90" s="33" t="str">
        <f t="shared" si="6"/>
        <v>-</v>
      </c>
      <c r="AC90" s="23">
        <f t="shared" si="7"/>
        <v>0</v>
      </c>
      <c r="AD90" s="35">
        <f t="shared" si="8"/>
        <v>8</v>
      </c>
      <c r="AE90" s="20">
        <f>SUMIFS('3월 단양 개인별 STAT'!AE:AE, '3월 단양 개인별 STAT'!$D:$D, $D90, '3월 단양 개인별 STAT'!$E:$E, $E90) + SUMIFS('4월 삼척 개인별 STAT'!AE:AE, '4월 삼척 개인별 STAT'!$D:$D, $D90, '4월 삼척 개인별 STAT'!$E:$E, $E90)</f>
        <v>7</v>
      </c>
      <c r="AF90" s="20">
        <f>SUMIFS('3월 단양 개인별 STAT'!AF:AF, '3월 단양 개인별 STAT'!$D:$D, $D90, '3월 단양 개인별 STAT'!$E:$E, $E90) + SUMIFS('4월 삼척 개인별 STAT'!AF:AF, '4월 삼척 개인별 STAT'!$D:$D, $D90, '4월 삼척 개인별 STAT'!$E:$E, $E90)</f>
        <v>1</v>
      </c>
      <c r="AG90" s="36">
        <f t="shared" si="9"/>
        <v>87.5</v>
      </c>
      <c r="AH90" s="20">
        <f>SUMIFS('3월 단양 개인별 STAT'!AH:AH, '3월 단양 개인별 STAT'!$D:$D, $D90, '3월 단양 개인별 STAT'!$E:$E, $E90) + SUMIFS('4월 삼척 개인별 STAT'!AH:AH, '4월 삼척 개인별 STAT'!$D:$D, $D90, '4월 삼척 개인별 STAT'!$E:$E, $E90)</f>
        <v>2</v>
      </c>
      <c r="AI90" s="34" t="str">
        <f t="shared" si="10"/>
        <v>0.67</v>
      </c>
      <c r="AJ90" s="25"/>
      <c r="AK90" s="14"/>
      <c r="AL90" s="27">
        <f t="shared" si="11"/>
        <v>0</v>
      </c>
      <c r="AM90" s="27" t="str">
        <f t="shared" si="30"/>
        <v>-</v>
      </c>
      <c r="AN90" s="28" t="str">
        <f t="shared" si="13"/>
        <v>-</v>
      </c>
      <c r="AO90" s="27">
        <f t="shared" si="14"/>
        <v>0</v>
      </c>
      <c r="AP90" s="27">
        <f t="shared" si="15"/>
        <v>0</v>
      </c>
      <c r="AQ90" s="27" t="str">
        <f t="shared" ref="AQ90:AR90" si="104">iferror(AB90/$M90,"-")</f>
        <v>-</v>
      </c>
      <c r="AR90" s="27">
        <f t="shared" si="104"/>
        <v>0</v>
      </c>
      <c r="AS90" s="29">
        <f t="shared" si="17"/>
        <v>0.3333333333</v>
      </c>
      <c r="AT90" s="29" t="str">
        <f t="shared" si="18"/>
        <v>0.67</v>
      </c>
      <c r="AU90" s="14"/>
      <c r="AV90" s="14"/>
      <c r="AW90" s="14"/>
      <c r="AX90" s="14"/>
    </row>
    <row r="91">
      <c r="B91" s="17">
        <v>88.0</v>
      </c>
      <c r="C91" s="18">
        <f t="shared" si="2"/>
        <v>8</v>
      </c>
      <c r="D91" s="19" t="s">
        <v>138</v>
      </c>
      <c r="E91" s="19" t="s">
        <v>146</v>
      </c>
      <c r="F91" s="31">
        <v>2.0</v>
      </c>
      <c r="G91" s="31" t="s">
        <v>57</v>
      </c>
      <c r="H91" s="31" t="s">
        <v>47</v>
      </c>
      <c r="I91" s="31">
        <v>174.0</v>
      </c>
      <c r="J91" s="31">
        <v>65.0</v>
      </c>
      <c r="K91" s="32">
        <v>10.0</v>
      </c>
      <c r="L91" s="20">
        <f>SUMIFS('3월 단양 개인별 STAT'!L:L, '3월 단양 개인별 STAT'!$D:$D, $D91, '3월 단양 개인별 STAT'!$E:$E, $E91) + SUMIFS('4월 삼척 개인별 STAT'!L:L, '4월 삼척 개인별 STAT'!$D:$D, $D91, '4월 삼척 개인별 STAT'!$E:$E, $E91)</f>
        <v>2</v>
      </c>
      <c r="M91" s="20">
        <f>SUMIFS('3월 단양 개인별 STAT'!M:M, '3월 단양 개인별 STAT'!$D:$D, $D91, '3월 단양 개인별 STAT'!$E:$E, $E91) + SUMIFS('4월 삼척 개인별 STAT'!M:M, '4월 삼척 개인별 STAT'!$D:$D, $D91, '4월 삼척 개인별 STAT'!$E:$E, $E91)</f>
        <v>7</v>
      </c>
      <c r="N91" s="20">
        <f>SUMIFS('3월 단양 개인별 STAT'!N:N, '3월 단양 개인별 STAT'!$D:$D, $D91, '3월 단양 개인별 STAT'!$E:$E, $E91) + SUMIFS('4월 삼척 개인별 STAT'!N:N, '4월 삼척 개인별 STAT'!$D:$D, $D91, '4월 삼척 개인별 STAT'!$E:$E, $E91)</f>
        <v>24</v>
      </c>
      <c r="O91" s="20">
        <f>SUMIFS('3월 단양 개인별 STAT'!O:O, '3월 단양 개인별 STAT'!$D:$D, $D91, '3월 단양 개인별 STAT'!$E:$E, $E91) + SUMIFS('4월 삼척 개인별 STAT'!O:O, '4월 삼척 개인별 STAT'!$D:$D, $D91, '4월 삼척 개인별 STAT'!$E:$E, $E91)</f>
        <v>2</v>
      </c>
      <c r="P91" s="20">
        <f>SUMIFS('3월 단양 개인별 STAT'!P:P, '3월 단양 개인별 STAT'!$D:$D, $D91, '3월 단양 개인별 STAT'!$E:$E, $E91) + SUMIFS('4월 삼척 개인별 STAT'!P:P, '4월 삼척 개인별 STAT'!$D:$D, $D91, '4월 삼척 개인별 STAT'!$E:$E, $E91)</f>
        <v>35</v>
      </c>
      <c r="Q91" s="20">
        <f>SUMIFS('3월 단양 개인별 STAT'!Q:Q, '3월 단양 개인별 STAT'!$D:$D, $D91, '3월 단양 개인별 STAT'!$E:$E, $E91) + SUMIFS('4월 삼척 개인별 STAT'!Q:Q, '4월 삼척 개인별 STAT'!$D:$D, $D91, '4월 삼척 개인별 STAT'!$E:$E, $E91)</f>
        <v>8</v>
      </c>
      <c r="R91" s="35">
        <f t="shared" si="3"/>
        <v>67</v>
      </c>
      <c r="S91" s="34">
        <f t="shared" si="4"/>
        <v>0.24</v>
      </c>
      <c r="T91" s="20">
        <f>SUMIFS('3월 단양 개인별 STAT'!T:T, '3월 단양 개인별 STAT'!$D:$D, $D91, '3월 단양 개인별 STAT'!$E:$E, $E91) + SUMIFS('4월 삼척 개인별 STAT'!T:T, '4월 삼척 개인별 STAT'!$D:$D, $D91, '4월 삼척 개인별 STAT'!$E:$E, $E91)</f>
        <v>2</v>
      </c>
      <c r="U91" s="20">
        <f>SUMIFS('3월 단양 개인별 STAT'!U:U, '3월 단양 개인별 STAT'!$D:$D, $D91, '3월 단양 개인별 STAT'!$E:$E, $E91) + SUMIFS('4월 삼척 개인별 STAT'!U:U, '4월 삼척 개인별 STAT'!$D:$D, $D91, '4월 삼척 개인별 STAT'!$E:$E, $E91)</f>
        <v>0</v>
      </c>
      <c r="V91" s="20">
        <f>SUMIFS('3월 단양 개인별 STAT'!V:V, '3월 단양 개인별 STAT'!$D:$D, $D91, '3월 단양 개인별 STAT'!$E:$E, $E91) + SUMIFS('4월 삼척 개인별 STAT'!V:V, '4월 삼척 개인별 STAT'!$D:$D, $D91, '4월 삼척 개인별 STAT'!$E:$E, $E91)</f>
        <v>3</v>
      </c>
      <c r="W91" s="20">
        <f>SUMIFS('3월 단양 개인별 STAT'!W:W, '3월 단양 개인별 STAT'!$D:$D, $D91, '3월 단양 개인별 STAT'!$E:$E, $E91) + SUMIFS('4월 삼척 개인별 STAT'!W:W, '4월 삼척 개인별 STAT'!$D:$D, $D91, '4월 삼척 개인별 STAT'!$E:$E, $E91)</f>
        <v>22</v>
      </c>
      <c r="X91" s="20">
        <f>SUMIFS('3월 단양 개인별 STAT'!X:X, '3월 단양 개인별 STAT'!$D:$D, $D91, '3월 단양 개인별 STAT'!$E:$E, $E91) + SUMIFS('4월 삼척 개인별 STAT'!X:X, '4월 삼척 개인별 STAT'!$D:$D, $D91, '4월 삼척 개인별 STAT'!$E:$E, $E91)</f>
        <v>1</v>
      </c>
      <c r="Y91" s="20">
        <f>SUMIFS('3월 단양 개인별 STAT'!Y:Y, '3월 단양 개인별 STAT'!$D:$D, $D91, '3월 단양 개인별 STAT'!$E:$E, $E91) + SUMIFS('4월 삼척 개인별 STAT'!Y:Y, '4월 삼척 개인별 STAT'!$D:$D, $D91, '4월 삼척 개인별 STAT'!$E:$E, $E91)</f>
        <v>1</v>
      </c>
      <c r="Z91" s="35">
        <f t="shared" si="5"/>
        <v>24</v>
      </c>
      <c r="AA91" s="20">
        <f>SUMIFS('3월 단양 개인별 STAT'!AA:AA, '3월 단양 개인별 STAT'!$D:$D, $D91, '3월 단양 개인별 STAT'!$E:$E, $E91) + SUMIFS('4월 삼척 개인별 STAT'!AA:AA, '4월 삼척 개인별 STAT'!$D:$D, $D91, '4월 삼척 개인별 STAT'!$E:$E, $E91)</f>
        <v>2</v>
      </c>
      <c r="AB91" s="35">
        <f t="shared" si="6"/>
        <v>27</v>
      </c>
      <c r="AC91" s="23">
        <f t="shared" si="7"/>
        <v>29.25</v>
      </c>
      <c r="AD91" s="35">
        <f t="shared" si="8"/>
        <v>22</v>
      </c>
      <c r="AE91" s="20">
        <f>SUMIFS('3월 단양 개인별 STAT'!AE:AE, '3월 단양 개인별 STAT'!$D:$D, $D91, '3월 단양 개인별 STAT'!$E:$E, $E91) + SUMIFS('4월 삼척 개인별 STAT'!AE:AE, '4월 삼척 개인별 STAT'!$D:$D, $D91, '4월 삼척 개인별 STAT'!$E:$E, $E91)</f>
        <v>18</v>
      </c>
      <c r="AF91" s="20">
        <f>SUMIFS('3월 단양 개인별 STAT'!AF:AF, '3월 단양 개인별 STAT'!$D:$D, $D91, '3월 단양 개인별 STAT'!$E:$E, $E91) + SUMIFS('4월 삼척 개인별 STAT'!AF:AF, '4월 삼척 개인별 STAT'!$D:$D, $D91, '4월 삼척 개인별 STAT'!$E:$E, $E91)</f>
        <v>4</v>
      </c>
      <c r="AG91" s="36">
        <f t="shared" si="9"/>
        <v>81.81818182</v>
      </c>
      <c r="AH91" s="20">
        <f>SUMIFS('3월 단양 개인별 STAT'!AH:AH, '3월 단양 개인별 STAT'!$D:$D, $D91, '3월 단양 개인별 STAT'!$E:$E, $E91) + SUMIFS('4월 삼척 개인별 STAT'!AH:AH, '4월 삼척 개인별 STAT'!$D:$D, $D91, '4월 삼척 개인별 STAT'!$E:$E, $E91)</f>
        <v>4</v>
      </c>
      <c r="AI91" s="34" t="str">
        <f t="shared" si="10"/>
        <v>0.57</v>
      </c>
      <c r="AJ91" s="25"/>
      <c r="AK91" s="14"/>
      <c r="AL91" s="27">
        <f t="shared" si="11"/>
        <v>3.428571429</v>
      </c>
      <c r="AM91" s="27">
        <f t="shared" si="30"/>
        <v>9.571428571</v>
      </c>
      <c r="AN91" s="28">
        <f t="shared" si="13"/>
        <v>0.3582089552</v>
      </c>
      <c r="AO91" s="27">
        <f t="shared" si="14"/>
        <v>0.2857142857</v>
      </c>
      <c r="AP91" s="27">
        <f t="shared" si="15"/>
        <v>0.1428571429</v>
      </c>
      <c r="AQ91" s="27">
        <f t="shared" ref="AQ91:AR91" si="105">iferror(AB91/$M91,"-")</f>
        <v>3.857142857</v>
      </c>
      <c r="AR91" s="27">
        <f t="shared" si="105"/>
        <v>4.178571429</v>
      </c>
      <c r="AS91" s="29">
        <f t="shared" si="17"/>
        <v>0.5714285714</v>
      </c>
      <c r="AT91" s="29" t="str">
        <f t="shared" si="18"/>
        <v>0.57</v>
      </c>
      <c r="AU91" s="14"/>
      <c r="AV91" s="14"/>
      <c r="AW91" s="14"/>
      <c r="AX91" s="14"/>
    </row>
    <row r="92">
      <c r="B92" s="17">
        <v>89.0</v>
      </c>
      <c r="C92" s="18">
        <f t="shared" si="2"/>
        <v>9</v>
      </c>
      <c r="D92" s="19" t="s">
        <v>138</v>
      </c>
      <c r="E92" s="19" t="s">
        <v>147</v>
      </c>
      <c r="F92" s="31">
        <v>3.0</v>
      </c>
      <c r="G92" s="31" t="s">
        <v>52</v>
      </c>
      <c r="H92" s="31" t="s">
        <v>57</v>
      </c>
      <c r="I92" s="31">
        <v>170.0</v>
      </c>
      <c r="J92" s="31">
        <v>58.0</v>
      </c>
      <c r="K92" s="32">
        <v>14.0</v>
      </c>
      <c r="L92" s="20">
        <f>SUMIFS('3월 단양 개인별 STAT'!L:L, '3월 단양 개인별 STAT'!$D:$D, $D92, '3월 단양 개인별 STAT'!$E:$E, $E92) + SUMIFS('4월 삼척 개인별 STAT'!L:L, '4월 삼척 개인별 STAT'!$D:$D, $D92, '4월 삼척 개인별 STAT'!$E:$E, $E92)</f>
        <v>2</v>
      </c>
      <c r="M92" s="20">
        <f>SUMIFS('3월 단양 개인별 STAT'!M:M, '3월 단양 개인별 STAT'!$D:$D, $D92, '3월 단양 개인별 STAT'!$E:$E, $E92) + SUMIFS('4월 삼척 개인별 STAT'!M:M, '4월 삼척 개인별 STAT'!$D:$D, $D92, '4월 삼척 개인별 STAT'!$E:$E, $E92)</f>
        <v>7</v>
      </c>
      <c r="N92" s="20">
        <f>SUMIFS('3월 단양 개인별 STAT'!N:N, '3월 단양 개인별 STAT'!$D:$D, $D92, '3월 단양 개인별 STAT'!$E:$E, $E92) + SUMIFS('4월 삼척 개인별 STAT'!N:N, '4월 삼척 개인별 STAT'!$D:$D, $D92, '4월 삼척 개인별 STAT'!$E:$E, $E92)</f>
        <v>19</v>
      </c>
      <c r="O92" s="20">
        <f>SUMIFS('3월 단양 개인별 STAT'!O:O, '3월 단양 개인별 STAT'!$D:$D, $D92, '3월 단양 개인별 STAT'!$E:$E, $E92) + SUMIFS('4월 삼척 개인별 STAT'!O:O, '4월 삼척 개인별 STAT'!$D:$D, $D92, '4월 삼척 개인별 STAT'!$E:$E, $E92)</f>
        <v>0</v>
      </c>
      <c r="P92" s="20">
        <f>SUMIFS('3월 단양 개인별 STAT'!P:P, '3월 단양 개인별 STAT'!$D:$D, $D92, '3월 단양 개인별 STAT'!$E:$E, $E92) + SUMIFS('4월 삼척 개인별 STAT'!P:P, '4월 삼척 개인별 STAT'!$D:$D, $D92, '4월 삼척 개인별 STAT'!$E:$E, $E92)</f>
        <v>20</v>
      </c>
      <c r="Q92" s="20">
        <f>SUMIFS('3월 단양 개인별 STAT'!Q:Q, '3월 단양 개인별 STAT'!$D:$D, $D92, '3월 단양 개인별 STAT'!$E:$E, $E92) + SUMIFS('4월 삼척 개인별 STAT'!Q:Q, '4월 삼척 개인별 STAT'!$D:$D, $D92, '4월 삼척 개인별 STAT'!$E:$E, $E92)</f>
        <v>16</v>
      </c>
      <c r="R92" s="35">
        <f t="shared" si="3"/>
        <v>55</v>
      </c>
      <c r="S92" s="34">
        <f t="shared" si="4"/>
        <v>0.05</v>
      </c>
      <c r="T92" s="20">
        <f>SUMIFS('3월 단양 개인별 STAT'!T:T, '3월 단양 개인별 STAT'!$D:$D, $D92, '3월 단양 개인별 STAT'!$E:$E, $E92) + SUMIFS('4월 삼척 개인별 STAT'!T:T, '4월 삼척 개인별 STAT'!$D:$D, $D92, '4월 삼척 개인별 STAT'!$E:$E, $E92)</f>
        <v>2</v>
      </c>
      <c r="U92" s="20">
        <f>SUMIFS('3월 단양 개인별 STAT'!U:U, '3월 단양 개인별 STAT'!$D:$D, $D92, '3월 단양 개인별 STAT'!$E:$E, $E92) + SUMIFS('4월 삼척 개인별 STAT'!U:U, '4월 삼척 개인별 STAT'!$D:$D, $D92, '4월 삼척 개인별 STAT'!$E:$E, $E92)</f>
        <v>0</v>
      </c>
      <c r="V92" s="20">
        <f>SUMIFS('3월 단양 개인별 STAT'!V:V, '3월 단양 개인별 STAT'!$D:$D, $D92, '3월 단양 개인별 STAT'!$E:$E, $E92) + SUMIFS('4월 삼척 개인별 STAT'!V:V, '4월 삼척 개인별 STAT'!$D:$D, $D92, '4월 삼척 개인별 STAT'!$E:$E, $E92)</f>
        <v>1</v>
      </c>
      <c r="W92" s="20">
        <f>SUMIFS('3월 단양 개인별 STAT'!W:W, '3월 단양 개인별 STAT'!$D:$D, $D92, '3월 단양 개인별 STAT'!$E:$E, $E92) + SUMIFS('4월 삼척 개인별 STAT'!W:W, '4월 삼척 개인별 STAT'!$D:$D, $D92, '4월 삼척 개인별 STAT'!$E:$E, $E92)</f>
        <v>22</v>
      </c>
      <c r="X92" s="20">
        <f>SUMIFS('3월 단양 개인별 STAT'!X:X, '3월 단양 개인별 STAT'!$D:$D, $D92, '3월 단양 개인별 STAT'!$E:$E, $E92) + SUMIFS('4월 삼척 개인별 STAT'!X:X, '4월 삼척 개인별 STAT'!$D:$D, $D92, '4월 삼척 개인별 STAT'!$E:$E, $E92)</f>
        <v>1</v>
      </c>
      <c r="Y92" s="20">
        <f>SUMIFS('3월 단양 개인별 STAT'!Y:Y, '3월 단양 개인별 STAT'!$D:$D, $D92, '3월 단양 개인별 STAT'!$E:$E, $E92) + SUMIFS('4월 삼척 개인별 STAT'!Y:Y, '4월 삼척 개인별 STAT'!$D:$D, $D92, '4월 삼척 개인별 STAT'!$E:$E, $E92)</f>
        <v>2</v>
      </c>
      <c r="Z92" s="35">
        <f t="shared" si="5"/>
        <v>25</v>
      </c>
      <c r="AA92" s="20">
        <f>SUMIFS('3월 단양 개인별 STAT'!AA:AA, '3월 단양 개인별 STAT'!$D:$D, $D92, '3월 단양 개인별 STAT'!$E:$E, $E92) + SUMIFS('4월 삼척 개인별 STAT'!AA:AA, '4월 삼척 개인별 STAT'!$D:$D, $D92, '4월 삼척 개인별 STAT'!$E:$E, $E92)</f>
        <v>0</v>
      </c>
      <c r="AB92" s="35">
        <f t="shared" si="6"/>
        <v>22</v>
      </c>
      <c r="AC92" s="23">
        <f t="shared" si="7"/>
        <v>22.75</v>
      </c>
      <c r="AD92" s="35">
        <f t="shared" si="8"/>
        <v>30</v>
      </c>
      <c r="AE92" s="20">
        <f>SUMIFS('3월 단양 개인별 STAT'!AE:AE, '3월 단양 개인별 STAT'!$D:$D, $D92, '3월 단양 개인별 STAT'!$E:$E, $E92) + SUMIFS('4월 삼척 개인별 STAT'!AE:AE, '4월 삼척 개인별 STAT'!$D:$D, $D92, '4월 삼척 개인별 STAT'!$E:$E, $E92)</f>
        <v>30</v>
      </c>
      <c r="AF92" s="20">
        <f>SUMIFS('3월 단양 개인별 STAT'!AF:AF, '3월 단양 개인별 STAT'!$D:$D, $D92, '3월 단양 개인별 STAT'!$E:$E, $E92) + SUMIFS('4월 삼척 개인별 STAT'!AF:AF, '4월 삼척 개인별 STAT'!$D:$D, $D92, '4월 삼척 개인별 STAT'!$E:$E, $E92)</f>
        <v>0</v>
      </c>
      <c r="AG92" s="36">
        <f t="shared" si="9"/>
        <v>100</v>
      </c>
      <c r="AH92" s="20">
        <f>SUMIFS('3월 단양 개인별 STAT'!AH:AH, '3월 단양 개인별 STAT'!$D:$D, $D92, '3월 단양 개인별 STAT'!$E:$E, $E92) + SUMIFS('4월 삼척 개인별 STAT'!AH:AH, '4월 삼척 개인별 STAT'!$D:$D, $D92, '4월 삼척 개인별 STAT'!$E:$E, $E92)</f>
        <v>9</v>
      </c>
      <c r="AI92" s="34" t="str">
        <f t="shared" si="10"/>
        <v>1.29</v>
      </c>
      <c r="AJ92" s="25"/>
      <c r="AK92" s="14"/>
      <c r="AL92" s="27">
        <f t="shared" si="11"/>
        <v>2.714285714</v>
      </c>
      <c r="AM92" s="27">
        <f t="shared" si="30"/>
        <v>7.857142857</v>
      </c>
      <c r="AN92" s="28">
        <f t="shared" si="13"/>
        <v>0.3454545455</v>
      </c>
      <c r="AO92" s="27">
        <f t="shared" si="14"/>
        <v>0.2857142857</v>
      </c>
      <c r="AP92" s="27">
        <f t="shared" si="15"/>
        <v>0.1428571429</v>
      </c>
      <c r="AQ92" s="27">
        <f t="shared" ref="AQ92:AR92" si="106">iferror(AB92/$M92,"-")</f>
        <v>3.142857143</v>
      </c>
      <c r="AR92" s="27">
        <f t="shared" si="106"/>
        <v>3.25</v>
      </c>
      <c r="AS92" s="29">
        <f t="shared" si="17"/>
        <v>0</v>
      </c>
      <c r="AT92" s="29" t="str">
        <f t="shared" si="18"/>
        <v>1.29</v>
      </c>
      <c r="AU92" s="14"/>
      <c r="AV92" s="14"/>
      <c r="AW92" s="14"/>
      <c r="AX92" s="14"/>
    </row>
    <row r="93">
      <c r="B93" s="17">
        <v>90.0</v>
      </c>
      <c r="C93" s="18">
        <f t="shared" si="2"/>
        <v>10</v>
      </c>
      <c r="D93" s="19" t="s">
        <v>138</v>
      </c>
      <c r="E93" s="19" t="s">
        <v>148</v>
      </c>
      <c r="F93" s="31">
        <v>3.0</v>
      </c>
      <c r="G93" s="31" t="s">
        <v>52</v>
      </c>
      <c r="H93" s="31" t="s">
        <v>57</v>
      </c>
      <c r="I93" s="31">
        <v>178.0</v>
      </c>
      <c r="J93" s="31">
        <v>68.0</v>
      </c>
      <c r="K93" s="32">
        <v>17.0</v>
      </c>
      <c r="L93" s="20">
        <f>SUMIFS('3월 단양 개인별 STAT'!L:L, '3월 단양 개인별 STAT'!$D:$D, $D93, '3월 단양 개인별 STAT'!$E:$E, $E93) + SUMIFS('4월 삼척 개인별 STAT'!L:L, '4월 삼척 개인별 STAT'!$D:$D, $D93, '4월 삼척 개인별 STAT'!$E:$E, $E93)</f>
        <v>2</v>
      </c>
      <c r="M93" s="20">
        <f>SUMIFS('3월 단양 개인별 STAT'!M:M, '3월 단양 개인별 STAT'!$D:$D, $D93, '3월 단양 개인별 STAT'!$E:$E, $E93) + SUMIFS('4월 삼척 개인별 STAT'!M:M, '4월 삼척 개인별 STAT'!$D:$D, $D93, '4월 삼척 개인별 STAT'!$E:$E, $E93)</f>
        <v>7</v>
      </c>
      <c r="N93" s="20">
        <f>SUMIFS('3월 단양 개인별 STAT'!N:N, '3월 단양 개인별 STAT'!$D:$D, $D93, '3월 단양 개인별 STAT'!$E:$E, $E93) + SUMIFS('4월 삼척 개인별 STAT'!N:N, '4월 삼척 개인별 STAT'!$D:$D, $D93, '4월 삼척 개인별 STAT'!$E:$E, $E93)</f>
        <v>19</v>
      </c>
      <c r="O93" s="20">
        <f>SUMIFS('3월 단양 개인별 STAT'!O:O, '3월 단양 개인별 STAT'!$D:$D, $D93, '3월 단양 개인별 STAT'!$E:$E, $E93) + SUMIFS('4월 삼척 개인별 STAT'!O:O, '4월 삼척 개인별 STAT'!$D:$D, $D93, '4월 삼척 개인별 STAT'!$E:$E, $E93)</f>
        <v>0</v>
      </c>
      <c r="P93" s="20">
        <f>SUMIFS('3월 단양 개인별 STAT'!P:P, '3월 단양 개인별 STAT'!$D:$D, $D93, '3월 단양 개인별 STAT'!$E:$E, $E93) + SUMIFS('4월 삼척 개인별 STAT'!P:P, '4월 삼척 개인별 STAT'!$D:$D, $D93, '4월 삼척 개인별 STAT'!$E:$E, $E93)</f>
        <v>22</v>
      </c>
      <c r="Q93" s="20">
        <f>SUMIFS('3월 단양 개인별 STAT'!Q:Q, '3월 단양 개인별 STAT'!$D:$D, $D93, '3월 단양 개인별 STAT'!$E:$E, $E93) + SUMIFS('4월 삼척 개인별 STAT'!Q:Q, '4월 삼척 개인별 STAT'!$D:$D, $D93, '4월 삼척 개인별 STAT'!$E:$E, $E93)</f>
        <v>7</v>
      </c>
      <c r="R93" s="35">
        <f t="shared" si="3"/>
        <v>48</v>
      </c>
      <c r="S93" s="34">
        <f t="shared" si="4"/>
        <v>0.25</v>
      </c>
      <c r="T93" s="20">
        <f>SUMIFS('3월 단양 개인별 STAT'!T:T, '3월 단양 개인별 STAT'!$D:$D, $D93, '3월 단양 개인별 STAT'!$E:$E, $E93) + SUMIFS('4월 삼척 개인별 STAT'!T:T, '4월 삼척 개인별 STAT'!$D:$D, $D93, '4월 삼척 개인별 STAT'!$E:$E, $E93)</f>
        <v>6</v>
      </c>
      <c r="U93" s="20">
        <f>SUMIFS('3월 단양 개인별 STAT'!U:U, '3월 단양 개인별 STAT'!$D:$D, $D93, '3월 단양 개인별 STAT'!$E:$E, $E93) + SUMIFS('4월 삼척 개인별 STAT'!U:U, '4월 삼척 개인별 STAT'!$D:$D, $D93, '4월 삼척 개인별 STAT'!$E:$E, $E93)</f>
        <v>0</v>
      </c>
      <c r="V93" s="20">
        <f>SUMIFS('3월 단양 개인별 STAT'!V:V, '3월 단양 개인별 STAT'!$D:$D, $D93, '3월 단양 개인별 STAT'!$E:$E, $E93) + SUMIFS('4월 삼척 개인별 STAT'!V:V, '4월 삼척 개인별 STAT'!$D:$D, $D93, '4월 삼척 개인별 STAT'!$E:$E, $E93)</f>
        <v>0</v>
      </c>
      <c r="W93" s="20">
        <f>SUMIFS('3월 단양 개인별 STAT'!W:W, '3월 단양 개인별 STAT'!$D:$D, $D93, '3월 단양 개인별 STAT'!$E:$E, $E93) + SUMIFS('4월 삼척 개인별 STAT'!W:W, '4월 삼척 개인별 STAT'!$D:$D, $D93, '4월 삼척 개인별 STAT'!$E:$E, $E93)</f>
        <v>18</v>
      </c>
      <c r="X93" s="20">
        <f>SUMIFS('3월 단양 개인별 STAT'!X:X, '3월 단양 개인별 STAT'!$D:$D, $D93, '3월 단양 개인별 STAT'!$E:$E, $E93) + SUMIFS('4월 삼척 개인별 STAT'!X:X, '4월 삼척 개인별 STAT'!$D:$D, $D93, '4월 삼척 개인별 STAT'!$E:$E, $E93)</f>
        <v>3</v>
      </c>
      <c r="Y93" s="20">
        <f>SUMIFS('3월 단양 개인별 STAT'!Y:Y, '3월 단양 개인별 STAT'!$D:$D, $D93, '3월 단양 개인별 STAT'!$E:$E, $E93) + SUMIFS('4월 삼척 개인별 STAT'!Y:Y, '4월 삼척 개인별 STAT'!$D:$D, $D93, '4월 삼척 개인별 STAT'!$E:$E, $E93)</f>
        <v>6</v>
      </c>
      <c r="Z93" s="35">
        <f t="shared" si="5"/>
        <v>27</v>
      </c>
      <c r="AA93" s="20">
        <f>SUMIFS('3월 단양 개인별 STAT'!AA:AA, '3월 단양 개인별 STAT'!$D:$D, $D93, '3월 단양 개인별 STAT'!$E:$E, $E93) + SUMIFS('4월 삼척 개인별 STAT'!AA:AA, '4월 삼척 개인별 STAT'!$D:$D, $D93, '4월 삼척 개인별 STAT'!$E:$E, $E93)</f>
        <v>0</v>
      </c>
      <c r="AB93" s="35">
        <f t="shared" si="6"/>
        <v>28</v>
      </c>
      <c r="AC93" s="23">
        <f t="shared" si="7"/>
        <v>28</v>
      </c>
      <c r="AD93" s="33" t="str">
        <f t="shared" si="8"/>
        <v>-</v>
      </c>
      <c r="AE93" s="20">
        <f>SUMIFS('3월 단양 개인별 STAT'!AE:AE, '3월 단양 개인별 STAT'!$D:$D, $D93, '3월 단양 개인별 STAT'!$E:$E, $E93) + SUMIFS('4월 삼척 개인별 STAT'!AE:AE, '4월 삼척 개인별 STAT'!$D:$D, $D93, '4월 삼척 개인별 STAT'!$E:$E, $E93)</f>
        <v>0</v>
      </c>
      <c r="AF93" s="20">
        <f>SUMIFS('3월 단양 개인별 STAT'!AF:AF, '3월 단양 개인별 STAT'!$D:$D, $D93, '3월 단양 개인별 STAT'!$E:$E, $E93) + SUMIFS('4월 삼척 개인별 STAT'!AF:AF, '4월 삼척 개인별 STAT'!$D:$D, $D93, '4월 삼척 개인별 STAT'!$E:$E, $E93)</f>
        <v>0</v>
      </c>
      <c r="AG93" s="36" t="str">
        <f t="shared" si="9"/>
        <v>-</v>
      </c>
      <c r="AH93" s="20">
        <f>SUMIFS('3월 단양 개인별 STAT'!AH:AH, '3월 단양 개인별 STAT'!$D:$D, $D93, '3월 단양 개인별 STAT'!$E:$E, $E93) + SUMIFS('4월 삼척 개인별 STAT'!AH:AH, '4월 삼척 개인별 STAT'!$D:$D, $D93, '4월 삼척 개인별 STAT'!$E:$E, $E93)</f>
        <v>7</v>
      </c>
      <c r="AI93" s="34" t="str">
        <f t="shared" si="10"/>
        <v>1</v>
      </c>
      <c r="AJ93" s="25"/>
      <c r="AK93" s="14"/>
      <c r="AL93" s="27">
        <f t="shared" si="11"/>
        <v>2.714285714</v>
      </c>
      <c r="AM93" s="27">
        <f t="shared" si="30"/>
        <v>6.857142857</v>
      </c>
      <c r="AN93" s="28">
        <f t="shared" si="13"/>
        <v>0.3958333333</v>
      </c>
      <c r="AO93" s="27">
        <f t="shared" si="14"/>
        <v>0.8571428571</v>
      </c>
      <c r="AP93" s="27">
        <f t="shared" si="15"/>
        <v>0.4285714286</v>
      </c>
      <c r="AQ93" s="27">
        <f t="shared" ref="AQ93:AR93" si="107">iferror(AB93/$M93,"-")</f>
        <v>4</v>
      </c>
      <c r="AR93" s="27">
        <f t="shared" si="107"/>
        <v>4</v>
      </c>
      <c r="AS93" s="29">
        <f t="shared" si="17"/>
        <v>0</v>
      </c>
      <c r="AT93" s="29" t="str">
        <f t="shared" si="18"/>
        <v>1</v>
      </c>
      <c r="AU93" s="14"/>
      <c r="AV93" s="14"/>
      <c r="AW93" s="14"/>
      <c r="AX93" s="14"/>
    </row>
    <row r="94">
      <c r="B94" s="17">
        <v>91.0</v>
      </c>
      <c r="C94" s="18">
        <f t="shared" si="2"/>
        <v>11</v>
      </c>
      <c r="D94" s="19" t="s">
        <v>138</v>
      </c>
      <c r="E94" s="19" t="s">
        <v>149</v>
      </c>
      <c r="F94" s="31">
        <v>1.0</v>
      </c>
      <c r="G94" s="31" t="s">
        <v>52</v>
      </c>
      <c r="H94" s="31" t="s">
        <v>57</v>
      </c>
      <c r="I94" s="31">
        <v>167.0</v>
      </c>
      <c r="J94" s="31">
        <v>57.0</v>
      </c>
      <c r="K94" s="32">
        <v>18.0</v>
      </c>
      <c r="L94" s="20">
        <f>SUMIFS('3월 단양 개인별 STAT'!L:L, '3월 단양 개인별 STAT'!$D:$D, $D94, '3월 단양 개인별 STAT'!$E:$E, $E94) + SUMIFS('4월 삼척 개인별 STAT'!L:L, '4월 삼척 개인별 STAT'!$D:$D, $D94, '4월 삼척 개인별 STAT'!$E:$E, $E94)</f>
        <v>2</v>
      </c>
      <c r="M94" s="20">
        <f>SUMIFS('3월 단양 개인별 STAT'!M:M, '3월 단양 개인별 STAT'!$D:$D, $D94, '3월 단양 개인별 STAT'!$E:$E, $E94) + SUMIFS('4월 삼척 개인별 STAT'!M:M, '4월 삼척 개인별 STAT'!$D:$D, $D94, '4월 삼척 개인별 STAT'!$E:$E, $E94)</f>
        <v>7</v>
      </c>
      <c r="N94" s="20">
        <f>SUMIFS('3월 단양 개인별 STAT'!N:N, '3월 단양 개인별 STAT'!$D:$D, $D94, '3월 단양 개인별 STAT'!$E:$E, $E94) + SUMIFS('4월 삼척 개인별 STAT'!N:N, '4월 삼척 개인별 STAT'!$D:$D, $D94, '4월 삼척 개인별 STAT'!$E:$E, $E94)</f>
        <v>9</v>
      </c>
      <c r="O94" s="20">
        <f>SUMIFS('3월 단양 개인별 STAT'!O:O, '3월 단양 개인별 STAT'!$D:$D, $D94, '3월 단양 개인별 STAT'!$E:$E, $E94) + SUMIFS('4월 삼척 개인별 STAT'!O:O, '4월 삼척 개인별 STAT'!$D:$D, $D94, '4월 삼척 개인별 STAT'!$E:$E, $E94)</f>
        <v>0</v>
      </c>
      <c r="P94" s="20">
        <f>SUMIFS('3월 단양 개인별 STAT'!P:P, '3월 단양 개인별 STAT'!$D:$D, $D94, '3월 단양 개인별 STAT'!$E:$E, $E94) + SUMIFS('4월 삼척 개인별 STAT'!P:P, '4월 삼척 개인별 STAT'!$D:$D, $D94, '4월 삼척 개인별 STAT'!$E:$E, $E94)</f>
        <v>13</v>
      </c>
      <c r="Q94" s="20">
        <f>SUMIFS('3월 단양 개인별 STAT'!Q:Q, '3월 단양 개인별 STAT'!$D:$D, $D94, '3월 단양 개인별 STAT'!$E:$E, $E94) + SUMIFS('4월 삼척 개인별 STAT'!Q:Q, '4월 삼척 개인별 STAT'!$D:$D, $D94, '4월 삼척 개인별 STAT'!$E:$E, $E94)</f>
        <v>6</v>
      </c>
      <c r="R94" s="35">
        <f t="shared" si="3"/>
        <v>28</v>
      </c>
      <c r="S94" s="34">
        <f t="shared" si="4"/>
        <v>0.11</v>
      </c>
      <c r="T94" s="20">
        <f>SUMIFS('3월 단양 개인별 STAT'!T:T, '3월 단양 개인별 STAT'!$D:$D, $D94, '3월 단양 개인별 STAT'!$E:$E, $E94) + SUMIFS('4월 삼척 개인별 STAT'!T:T, '4월 삼척 개인별 STAT'!$D:$D, $D94, '4월 삼척 개인별 STAT'!$E:$E, $E94)</f>
        <v>1</v>
      </c>
      <c r="U94" s="20">
        <f>SUMIFS('3월 단양 개인별 STAT'!U:U, '3월 단양 개인별 STAT'!$D:$D, $D94, '3월 단양 개인별 STAT'!$E:$E, $E94) + SUMIFS('4월 삼척 개인별 STAT'!U:U, '4월 삼척 개인별 STAT'!$D:$D, $D94, '4월 삼척 개인별 STAT'!$E:$E, $E94)</f>
        <v>0</v>
      </c>
      <c r="V94" s="20">
        <f>SUMIFS('3월 단양 개인별 STAT'!V:V, '3월 단양 개인별 STAT'!$D:$D, $D94, '3월 단양 개인별 STAT'!$E:$E, $E94) + SUMIFS('4월 삼척 개인별 STAT'!V:V, '4월 삼척 개인별 STAT'!$D:$D, $D94, '4월 삼척 개인별 STAT'!$E:$E, $E94)</f>
        <v>0</v>
      </c>
      <c r="W94" s="20">
        <f>SUMIFS('3월 단양 개인별 STAT'!W:W, '3월 단양 개인별 STAT'!$D:$D, $D94, '3월 단양 개인별 STAT'!$E:$E, $E94) + SUMIFS('4월 삼척 개인별 STAT'!W:W, '4월 삼척 개인별 STAT'!$D:$D, $D94, '4월 삼척 개인별 STAT'!$E:$E, $E94)</f>
        <v>18</v>
      </c>
      <c r="X94" s="20">
        <f>SUMIFS('3월 단양 개인별 STAT'!X:X, '3월 단양 개인별 STAT'!$D:$D, $D94, '3월 단양 개인별 STAT'!$E:$E, $E94) + SUMIFS('4월 삼척 개인별 STAT'!X:X, '4월 삼척 개인별 STAT'!$D:$D, $D94, '4월 삼척 개인별 STAT'!$E:$E, $E94)</f>
        <v>4</v>
      </c>
      <c r="Y94" s="20">
        <f>SUMIFS('3월 단양 개인별 STAT'!Y:Y, '3월 단양 개인별 STAT'!$D:$D, $D94, '3월 단양 개인별 STAT'!$E:$E, $E94) + SUMIFS('4월 삼척 개인별 STAT'!Y:Y, '4월 삼척 개인별 STAT'!$D:$D, $D94, '4월 삼척 개인별 STAT'!$E:$E, $E94)</f>
        <v>4</v>
      </c>
      <c r="Z94" s="35">
        <f t="shared" si="5"/>
        <v>26</v>
      </c>
      <c r="AA94" s="20">
        <f>SUMIFS('3월 단양 개인별 STAT'!AA:AA, '3월 단양 개인별 STAT'!$D:$D, $D94, '3월 단양 개인별 STAT'!$E:$E, $E94) + SUMIFS('4월 삼척 개인별 STAT'!AA:AA, '4월 삼척 개인별 STAT'!$D:$D, $D94, '4월 삼척 개인별 STAT'!$E:$E, $E94)</f>
        <v>0</v>
      </c>
      <c r="AB94" s="35">
        <f t="shared" si="6"/>
        <v>14</v>
      </c>
      <c r="AC94" s="23">
        <f t="shared" si="7"/>
        <v>14</v>
      </c>
      <c r="AD94" s="35">
        <f t="shared" si="8"/>
        <v>2</v>
      </c>
      <c r="AE94" s="20">
        <f>SUMIFS('3월 단양 개인별 STAT'!AE:AE, '3월 단양 개인별 STAT'!$D:$D, $D94, '3월 단양 개인별 STAT'!$E:$E, $E94) + SUMIFS('4월 삼척 개인별 STAT'!AE:AE, '4월 삼척 개인별 STAT'!$D:$D, $D94, '4월 삼척 개인별 STAT'!$E:$E, $E94)</f>
        <v>2</v>
      </c>
      <c r="AF94" s="20">
        <f>SUMIFS('3월 단양 개인별 STAT'!AF:AF, '3월 단양 개인별 STAT'!$D:$D, $D94, '3월 단양 개인별 STAT'!$E:$E, $E94) + SUMIFS('4월 삼척 개인별 STAT'!AF:AF, '4월 삼척 개인별 STAT'!$D:$D, $D94, '4월 삼척 개인별 STAT'!$E:$E, $E94)</f>
        <v>0</v>
      </c>
      <c r="AG94" s="36">
        <f t="shared" si="9"/>
        <v>100</v>
      </c>
      <c r="AH94" s="20">
        <f>SUMIFS('3월 단양 개인별 STAT'!AH:AH, '3월 단양 개인별 STAT'!$D:$D, $D94, '3월 단양 개인별 STAT'!$E:$E, $E94) + SUMIFS('4월 삼척 개인별 STAT'!AH:AH, '4월 삼척 개인별 STAT'!$D:$D, $D94, '4월 삼척 개인별 STAT'!$E:$E, $E94)</f>
        <v>10</v>
      </c>
      <c r="AI94" s="34" t="str">
        <f t="shared" si="10"/>
        <v>1.43</v>
      </c>
      <c r="AJ94" s="25"/>
      <c r="AK94" s="14"/>
      <c r="AL94" s="27">
        <f t="shared" si="11"/>
        <v>1.285714286</v>
      </c>
      <c r="AM94" s="27">
        <f t="shared" si="30"/>
        <v>4</v>
      </c>
      <c r="AN94" s="28">
        <f t="shared" si="13"/>
        <v>0.3214285714</v>
      </c>
      <c r="AO94" s="27">
        <f t="shared" si="14"/>
        <v>0.1428571429</v>
      </c>
      <c r="AP94" s="27">
        <f t="shared" si="15"/>
        <v>0.5714285714</v>
      </c>
      <c r="AQ94" s="27">
        <f t="shared" ref="AQ94:AR94" si="108">iferror(AB94/$M94,"-")</f>
        <v>2</v>
      </c>
      <c r="AR94" s="27">
        <f t="shared" si="108"/>
        <v>2</v>
      </c>
      <c r="AS94" s="29">
        <f t="shared" si="17"/>
        <v>0</v>
      </c>
      <c r="AT94" s="29" t="str">
        <f t="shared" si="18"/>
        <v>1.43</v>
      </c>
      <c r="AU94" s="14"/>
      <c r="AV94" s="14"/>
      <c r="AW94" s="14"/>
      <c r="AX94" s="14"/>
    </row>
    <row r="95">
      <c r="B95" s="17">
        <v>92.0</v>
      </c>
      <c r="C95" s="18">
        <f t="shared" si="2"/>
        <v>12</v>
      </c>
      <c r="D95" s="19" t="s">
        <v>138</v>
      </c>
      <c r="E95" s="19" t="s">
        <v>150</v>
      </c>
      <c r="F95" s="31">
        <v>1.0</v>
      </c>
      <c r="G95" s="31" t="s">
        <v>54</v>
      </c>
      <c r="H95" s="31" t="s">
        <v>48</v>
      </c>
      <c r="I95" s="31">
        <v>162.0</v>
      </c>
      <c r="J95" s="31">
        <v>58.0</v>
      </c>
      <c r="K95" s="32">
        <v>19.0</v>
      </c>
      <c r="L95" s="20">
        <f>SUMIFS('3월 단양 개인별 STAT'!L:L, '3월 단양 개인별 STAT'!$D:$D, $D95, '3월 단양 개인별 STAT'!$E:$E, $E95) + SUMIFS('4월 삼척 개인별 STAT'!L:L, '4월 삼척 개인별 STAT'!$D:$D, $D95, '4월 삼척 개인별 STAT'!$E:$E, $E95)</f>
        <v>2</v>
      </c>
      <c r="M95" s="20">
        <f>SUMIFS('3월 단양 개인별 STAT'!M:M, '3월 단양 개인별 STAT'!$D:$D, $D95, '3월 단양 개인별 STAT'!$E:$E, $E95) + SUMIFS('4월 삼척 개인별 STAT'!M:M, '4월 삼척 개인별 STAT'!$D:$D, $D95, '4월 삼척 개인별 STAT'!$E:$E, $E95)</f>
        <v>4</v>
      </c>
      <c r="N95" s="20">
        <f>SUMIFS('3월 단양 개인별 STAT'!N:N, '3월 단양 개인별 STAT'!$D:$D, $D95, '3월 단양 개인별 STAT'!$E:$E, $E95) + SUMIFS('4월 삼척 개인별 STAT'!N:N, '4월 삼척 개인별 STAT'!$D:$D, $D95, '4월 삼척 개인별 STAT'!$E:$E, $E95)</f>
        <v>0</v>
      </c>
      <c r="O95" s="20">
        <f>SUMIFS('3월 단양 개인별 STAT'!O:O, '3월 단양 개인별 STAT'!$D:$D, $D95, '3월 단양 개인별 STAT'!$E:$E, $E95) + SUMIFS('4월 삼척 개인별 STAT'!O:O, '4월 삼척 개인별 STAT'!$D:$D, $D95, '4월 삼척 개인별 STAT'!$E:$E, $E95)</f>
        <v>3</v>
      </c>
      <c r="P95" s="20">
        <f>SUMIFS('3월 단양 개인별 STAT'!P:P, '3월 단양 개인별 STAT'!$D:$D, $D95, '3월 단양 개인별 STAT'!$E:$E, $E95) + SUMIFS('4월 삼척 개인별 STAT'!P:P, '4월 삼척 개인별 STAT'!$D:$D, $D95, '4월 삼척 개인별 STAT'!$E:$E, $E95)</f>
        <v>0</v>
      </c>
      <c r="Q95" s="20">
        <f>SUMIFS('3월 단양 개인별 STAT'!Q:Q, '3월 단양 개인별 STAT'!$D:$D, $D95, '3월 단양 개인별 STAT'!$E:$E, $E95) + SUMIFS('4월 삼척 개인별 STAT'!Q:Q, '4월 삼척 개인별 STAT'!$D:$D, $D95, '4월 삼척 개인별 STAT'!$E:$E, $E95)</f>
        <v>0</v>
      </c>
      <c r="R95" s="33" t="str">
        <f t="shared" si="3"/>
        <v>-</v>
      </c>
      <c r="S95" s="34" t="str">
        <f t="shared" si="4"/>
        <v>-</v>
      </c>
      <c r="T95" s="20">
        <f>SUMIFS('3월 단양 개인별 STAT'!T:T, '3월 단양 개인별 STAT'!$D:$D, $D95, '3월 단양 개인별 STAT'!$E:$E, $E95) + SUMIFS('4월 삼척 개인별 STAT'!T:T, '4월 삼척 개인별 STAT'!$D:$D, $D95, '4월 삼척 개인별 STAT'!$E:$E, $E95)</f>
        <v>0</v>
      </c>
      <c r="U95" s="20">
        <f>SUMIFS('3월 단양 개인별 STAT'!U:U, '3월 단양 개인별 STAT'!$D:$D, $D95, '3월 단양 개인별 STAT'!$E:$E, $E95) + SUMIFS('4월 삼척 개인별 STAT'!U:U, '4월 삼척 개인별 STAT'!$D:$D, $D95, '4월 삼척 개인별 STAT'!$E:$E, $E95)</f>
        <v>0</v>
      </c>
      <c r="V95" s="20">
        <f>SUMIFS('3월 단양 개인별 STAT'!V:V, '3월 단양 개인별 STAT'!$D:$D, $D95, '3월 단양 개인별 STAT'!$E:$E, $E95) + SUMIFS('4월 삼척 개인별 STAT'!V:V, '4월 삼척 개인별 STAT'!$D:$D, $D95, '4월 삼척 개인별 STAT'!$E:$E, $E95)</f>
        <v>0</v>
      </c>
      <c r="W95" s="20">
        <f>SUMIFS('3월 단양 개인별 STAT'!W:W, '3월 단양 개인별 STAT'!$D:$D, $D95, '3월 단양 개인별 STAT'!$E:$E, $E95) + SUMIFS('4월 삼척 개인별 STAT'!W:W, '4월 삼척 개인별 STAT'!$D:$D, $D95, '4월 삼척 개인별 STAT'!$E:$E, $E95)</f>
        <v>7</v>
      </c>
      <c r="X95" s="20">
        <f>SUMIFS('3월 단양 개인별 STAT'!X:X, '3월 단양 개인별 STAT'!$D:$D, $D95, '3월 단양 개인별 STAT'!$E:$E, $E95) + SUMIFS('4월 삼척 개인별 STAT'!X:X, '4월 삼척 개인별 STAT'!$D:$D, $D95, '4월 삼척 개인별 STAT'!$E:$E, $E95)</f>
        <v>1</v>
      </c>
      <c r="Y95" s="20">
        <f>SUMIFS('3월 단양 개인별 STAT'!Y:Y, '3월 단양 개인별 STAT'!$D:$D, $D95, '3월 단양 개인별 STAT'!$E:$E, $E95) + SUMIFS('4월 삼척 개인별 STAT'!Y:Y, '4월 삼척 개인별 STAT'!$D:$D, $D95, '4월 삼척 개인별 STAT'!$E:$E, $E95)</f>
        <v>0</v>
      </c>
      <c r="Z95" s="35">
        <f t="shared" si="5"/>
        <v>8</v>
      </c>
      <c r="AA95" s="20">
        <f>SUMIFS('3월 단양 개인별 STAT'!AA:AA, '3월 단양 개인별 STAT'!$D:$D, $D95, '3월 단양 개인별 STAT'!$E:$E, $E95) + SUMIFS('4월 삼척 개인별 STAT'!AA:AA, '4월 삼척 개인별 STAT'!$D:$D, $D95, '4월 삼척 개인별 STAT'!$E:$E, $E95)</f>
        <v>0</v>
      </c>
      <c r="AB95" s="35">
        <f t="shared" si="6"/>
        <v>1</v>
      </c>
      <c r="AC95" s="23">
        <f t="shared" si="7"/>
        <v>1</v>
      </c>
      <c r="AD95" s="33" t="str">
        <f t="shared" si="8"/>
        <v>-</v>
      </c>
      <c r="AE95" s="20">
        <f>SUMIFS('3월 단양 개인별 STAT'!AE:AE, '3월 단양 개인별 STAT'!$D:$D, $D95, '3월 단양 개인별 STAT'!$E:$E, $E95) + SUMIFS('4월 삼척 개인별 STAT'!AE:AE, '4월 삼척 개인별 STAT'!$D:$D, $D95, '4월 삼척 개인별 STAT'!$E:$E, $E95)</f>
        <v>0</v>
      </c>
      <c r="AF95" s="20">
        <f>SUMIFS('3월 단양 개인별 STAT'!AF:AF, '3월 단양 개인별 STAT'!$D:$D, $D95, '3월 단양 개인별 STAT'!$E:$E, $E95) + SUMIFS('4월 삼척 개인별 STAT'!AF:AF, '4월 삼척 개인별 STAT'!$D:$D, $D95, '4월 삼척 개인별 STAT'!$E:$E, $E95)</f>
        <v>0</v>
      </c>
      <c r="AG95" s="36" t="str">
        <f t="shared" si="9"/>
        <v>-</v>
      </c>
      <c r="AH95" s="20">
        <f>SUMIFS('3월 단양 개인별 STAT'!AH:AH, '3월 단양 개인별 STAT'!$D:$D, $D95, '3월 단양 개인별 STAT'!$E:$E, $E95) + SUMIFS('4월 삼척 개인별 STAT'!AH:AH, '4월 삼척 개인별 STAT'!$D:$D, $D95, '4월 삼척 개인별 STAT'!$E:$E, $E95)</f>
        <v>0</v>
      </c>
      <c r="AI95" s="34" t="str">
        <f t="shared" si="10"/>
        <v>0</v>
      </c>
      <c r="AJ95" s="25"/>
      <c r="AK95" s="14"/>
      <c r="AL95" s="27">
        <f t="shared" si="11"/>
        <v>0</v>
      </c>
      <c r="AM95" s="27" t="str">
        <f t="shared" si="30"/>
        <v>-</v>
      </c>
      <c r="AN95" s="28" t="str">
        <f t="shared" si="13"/>
        <v>-</v>
      </c>
      <c r="AO95" s="27">
        <f t="shared" si="14"/>
        <v>0</v>
      </c>
      <c r="AP95" s="27">
        <f t="shared" si="15"/>
        <v>0.25</v>
      </c>
      <c r="AQ95" s="27">
        <f t="shared" ref="AQ95:AR95" si="109">iferror(AB95/$M95,"-")</f>
        <v>0.25</v>
      </c>
      <c r="AR95" s="27">
        <f t="shared" si="109"/>
        <v>0.25</v>
      </c>
      <c r="AS95" s="29">
        <f t="shared" si="17"/>
        <v>0</v>
      </c>
      <c r="AT95" s="29" t="str">
        <f t="shared" si="18"/>
        <v>0</v>
      </c>
      <c r="AU95" s="14"/>
      <c r="AV95" s="14"/>
      <c r="AW95" s="14"/>
      <c r="AX95" s="14"/>
    </row>
    <row r="96">
      <c r="B96" s="17">
        <v>93.0</v>
      </c>
      <c r="C96" s="18">
        <f t="shared" si="2"/>
        <v>1</v>
      </c>
      <c r="D96" s="19" t="s">
        <v>151</v>
      </c>
      <c r="E96" s="19" t="s">
        <v>152</v>
      </c>
      <c r="F96" s="31">
        <v>1.0</v>
      </c>
      <c r="G96" s="31" t="s">
        <v>52</v>
      </c>
      <c r="H96" s="31" t="s">
        <v>57</v>
      </c>
      <c r="I96" s="31">
        <v>177.0</v>
      </c>
      <c r="J96" s="31">
        <v>69.0</v>
      </c>
      <c r="K96" s="32">
        <v>1.0</v>
      </c>
      <c r="L96" s="20">
        <f>SUMIFS('3월 단양 개인별 STAT'!L:L, '3월 단양 개인별 STAT'!$D:$D, $D96, '3월 단양 개인별 STAT'!$E:$E, $E96) + SUMIFS('4월 삼척 개인별 STAT'!L:L, '4월 삼척 개인별 STAT'!$D:$D, $D96, '4월 삼척 개인별 STAT'!$E:$E, $E96)</f>
        <v>2</v>
      </c>
      <c r="M96" s="20">
        <f>SUMIFS('3월 단양 개인별 STAT'!M:M, '3월 단양 개인별 STAT'!$D:$D, $D96, '3월 단양 개인별 STAT'!$E:$E, $E96) + SUMIFS('4월 삼척 개인별 STAT'!M:M, '4월 삼척 개인별 STAT'!$D:$D, $D96, '4월 삼척 개인별 STAT'!$E:$E, $E96)</f>
        <v>7</v>
      </c>
      <c r="N96" s="20">
        <f>SUMIFS('3월 단양 개인별 STAT'!N:N, '3월 단양 개인별 STAT'!$D:$D, $D96, '3월 단양 개인별 STAT'!$E:$E, $E96) + SUMIFS('4월 삼척 개인별 STAT'!N:N, '4월 삼척 개인별 STAT'!$D:$D, $D96, '4월 삼척 개인별 STAT'!$E:$E, $E96)</f>
        <v>10</v>
      </c>
      <c r="O96" s="20">
        <f>SUMIFS('3월 단양 개인별 STAT'!O:O, '3월 단양 개인별 STAT'!$D:$D, $D96, '3월 단양 개인별 STAT'!$E:$E, $E96) + SUMIFS('4월 삼척 개인별 STAT'!O:O, '4월 삼척 개인별 STAT'!$D:$D, $D96, '4월 삼척 개인별 STAT'!$E:$E, $E96)</f>
        <v>2</v>
      </c>
      <c r="P96" s="20">
        <f>SUMIFS('3월 단양 개인별 STAT'!P:P, '3월 단양 개인별 STAT'!$D:$D, $D96, '3월 단양 개인별 STAT'!$E:$E, $E96) + SUMIFS('4월 삼척 개인별 STAT'!P:P, '4월 삼척 개인별 STAT'!$D:$D, $D96, '4월 삼척 개인별 STAT'!$E:$E, $E96)</f>
        <v>31</v>
      </c>
      <c r="Q96" s="20">
        <f>SUMIFS('3월 단양 개인별 STAT'!Q:Q, '3월 단양 개인별 STAT'!$D:$D, $D96, '3월 단양 개인별 STAT'!$E:$E, $E96) + SUMIFS('4월 삼척 개인별 STAT'!Q:Q, '4월 삼척 개인별 STAT'!$D:$D, $D96, '4월 삼척 개인별 STAT'!$E:$E, $E96)</f>
        <v>6</v>
      </c>
      <c r="R96" s="35">
        <f t="shared" si="3"/>
        <v>47</v>
      </c>
      <c r="S96" s="34">
        <f t="shared" si="4"/>
        <v>0.09</v>
      </c>
      <c r="T96" s="20">
        <f>SUMIFS('3월 단양 개인별 STAT'!T:T, '3월 단양 개인별 STAT'!$D:$D, $D96, '3월 단양 개인별 STAT'!$E:$E, $E96) + SUMIFS('4월 삼척 개인별 STAT'!T:T, '4월 삼척 개인별 STAT'!$D:$D, $D96, '4월 삼척 개인별 STAT'!$E:$E, $E96)</f>
        <v>2</v>
      </c>
      <c r="U96" s="20">
        <f>SUMIFS('3월 단양 개인별 STAT'!U:U, '3월 단양 개인별 STAT'!$D:$D, $D96, '3월 단양 개인별 STAT'!$E:$E, $E96) + SUMIFS('4월 삼척 개인별 STAT'!U:U, '4월 삼척 개인별 STAT'!$D:$D, $D96, '4월 삼척 개인별 STAT'!$E:$E, $E96)</f>
        <v>1</v>
      </c>
      <c r="V96" s="20">
        <f>SUMIFS('3월 단양 개인별 STAT'!V:V, '3월 단양 개인별 STAT'!$D:$D, $D96, '3월 단양 개인별 STAT'!$E:$E, $E96) + SUMIFS('4월 삼척 개인별 STAT'!V:V, '4월 삼척 개인별 STAT'!$D:$D, $D96, '4월 삼척 개인별 STAT'!$E:$E, $E96)</f>
        <v>4</v>
      </c>
      <c r="W96" s="20">
        <f>SUMIFS('3월 단양 개인별 STAT'!W:W, '3월 단양 개인별 STAT'!$D:$D, $D96, '3월 단양 개인별 STAT'!$E:$E, $E96) + SUMIFS('4월 삼척 개인별 STAT'!W:W, '4월 삼척 개인별 STAT'!$D:$D, $D96, '4월 삼척 개인별 STAT'!$E:$E, $E96)</f>
        <v>18</v>
      </c>
      <c r="X96" s="20">
        <f>SUMIFS('3월 단양 개인별 STAT'!X:X, '3월 단양 개인별 STAT'!$D:$D, $D96, '3월 단양 개인별 STAT'!$E:$E, $E96) + SUMIFS('4월 삼척 개인별 STAT'!X:X, '4월 삼척 개인별 STAT'!$D:$D, $D96, '4월 삼척 개인별 STAT'!$E:$E, $E96)</f>
        <v>1</v>
      </c>
      <c r="Y96" s="20">
        <f>SUMIFS('3월 단양 개인별 STAT'!Y:Y, '3월 단양 개인별 STAT'!$D:$D, $D96, '3월 단양 개인별 STAT'!$E:$E, $E96) + SUMIFS('4월 삼척 개인별 STAT'!Y:Y, '4월 삼척 개인별 STAT'!$D:$D, $D96, '4월 삼척 개인별 STAT'!$E:$E, $E96)</f>
        <v>4</v>
      </c>
      <c r="Z96" s="35">
        <f t="shared" si="5"/>
        <v>23</v>
      </c>
      <c r="AA96" s="20">
        <f>SUMIFS('3월 단양 개인별 STAT'!AA:AA, '3월 단양 개인별 STAT'!$D:$D, $D96, '3월 단양 개인별 STAT'!$E:$E, $E96) + SUMIFS('4월 삼척 개인별 STAT'!AA:AA, '4월 삼척 개인별 STAT'!$D:$D, $D96, '4월 삼척 개인별 STAT'!$E:$E, $E96)</f>
        <v>0</v>
      </c>
      <c r="AB96" s="35">
        <f t="shared" si="6"/>
        <v>13</v>
      </c>
      <c r="AC96" s="23">
        <f t="shared" si="7"/>
        <v>16</v>
      </c>
      <c r="AD96" s="35">
        <f t="shared" si="8"/>
        <v>3</v>
      </c>
      <c r="AE96" s="20">
        <f>SUMIFS('3월 단양 개인별 STAT'!AE:AE, '3월 단양 개인별 STAT'!$D:$D, $D96, '3월 단양 개인별 STAT'!$E:$E, $E96) + SUMIFS('4월 삼척 개인별 STAT'!AE:AE, '4월 삼척 개인별 STAT'!$D:$D, $D96, '4월 삼척 개인별 STAT'!$E:$E, $E96)</f>
        <v>3</v>
      </c>
      <c r="AF96" s="20">
        <f>SUMIFS('3월 단양 개인별 STAT'!AF:AF, '3월 단양 개인별 STAT'!$D:$D, $D96, '3월 단양 개인별 STAT'!$E:$E, $E96) + SUMIFS('4월 삼척 개인별 STAT'!AF:AF, '4월 삼척 개인별 STAT'!$D:$D, $D96, '4월 삼척 개인별 STAT'!$E:$E, $E96)</f>
        <v>0</v>
      </c>
      <c r="AG96" s="36">
        <f t="shared" si="9"/>
        <v>100</v>
      </c>
      <c r="AH96" s="20">
        <f>SUMIFS('3월 단양 개인별 STAT'!AH:AH, '3월 단양 개인별 STAT'!$D:$D, $D96, '3월 단양 개인별 STAT'!$E:$E, $E96) + SUMIFS('4월 삼척 개인별 STAT'!AH:AH, '4월 삼척 개인별 STAT'!$D:$D, $D96, '4월 삼척 개인별 STAT'!$E:$E, $E96)</f>
        <v>20</v>
      </c>
      <c r="AI96" s="34" t="str">
        <f t="shared" si="10"/>
        <v>2.86</v>
      </c>
      <c r="AJ96" s="25"/>
      <c r="AK96" s="14"/>
      <c r="AL96" s="27">
        <f t="shared" si="11"/>
        <v>1.428571429</v>
      </c>
      <c r="AM96" s="27">
        <f t="shared" si="30"/>
        <v>6.714285714</v>
      </c>
      <c r="AN96" s="28">
        <f t="shared" si="13"/>
        <v>0.2127659574</v>
      </c>
      <c r="AO96" s="27">
        <f t="shared" si="14"/>
        <v>0.2857142857</v>
      </c>
      <c r="AP96" s="27">
        <f t="shared" si="15"/>
        <v>0.1428571429</v>
      </c>
      <c r="AQ96" s="27">
        <f t="shared" ref="AQ96:AR96" si="110">iferror(AB96/$M96,"-")</f>
        <v>1.857142857</v>
      </c>
      <c r="AR96" s="27">
        <f t="shared" si="110"/>
        <v>2.285714286</v>
      </c>
      <c r="AS96" s="29">
        <f t="shared" si="17"/>
        <v>0</v>
      </c>
      <c r="AT96" s="29" t="str">
        <f t="shared" si="18"/>
        <v>2.86</v>
      </c>
      <c r="AU96" s="14"/>
      <c r="AV96" s="14"/>
      <c r="AW96" s="14"/>
      <c r="AX96" s="14"/>
    </row>
    <row r="97">
      <c r="B97" s="17">
        <v>94.0</v>
      </c>
      <c r="C97" s="18">
        <f t="shared" si="2"/>
        <v>2</v>
      </c>
      <c r="D97" s="19" t="s">
        <v>151</v>
      </c>
      <c r="E97" s="19" t="s">
        <v>153</v>
      </c>
      <c r="F97" s="31">
        <v>3.0</v>
      </c>
      <c r="G97" s="31" t="s">
        <v>54</v>
      </c>
      <c r="H97" s="31" t="s">
        <v>48</v>
      </c>
      <c r="I97" s="31">
        <v>173.0</v>
      </c>
      <c r="J97" s="31">
        <v>64.0</v>
      </c>
      <c r="K97" s="32">
        <v>3.0</v>
      </c>
      <c r="L97" s="20">
        <f>SUMIFS('3월 단양 개인별 STAT'!L:L, '3월 단양 개인별 STAT'!$D:$D, $D97, '3월 단양 개인별 STAT'!$E:$E, $E97) + SUMIFS('4월 삼척 개인별 STAT'!L:L, '4월 삼척 개인별 STAT'!$D:$D, $D97, '4월 삼척 개인별 STAT'!$E:$E, $E97)</f>
        <v>2</v>
      </c>
      <c r="M97" s="20">
        <f>SUMIFS('3월 단양 개인별 STAT'!M:M, '3월 단양 개인별 STAT'!$D:$D, $D97, '3월 단양 개인별 STAT'!$E:$E, $E97) + SUMIFS('4월 삼척 개인별 STAT'!M:M, '4월 삼척 개인별 STAT'!$D:$D, $D97, '4월 삼척 개인별 STAT'!$E:$E, $E97)</f>
        <v>7</v>
      </c>
      <c r="N97" s="20">
        <f>SUMIFS('3월 단양 개인별 STAT'!N:N, '3월 단양 개인별 STAT'!$D:$D, $D97, '3월 단양 개인별 STAT'!$E:$E, $E97) + SUMIFS('4월 삼척 개인별 STAT'!N:N, '4월 삼척 개인별 STAT'!$D:$D, $D97, '4월 삼척 개인별 STAT'!$E:$E, $E97)</f>
        <v>0</v>
      </c>
      <c r="O97" s="20">
        <f>SUMIFS('3월 단양 개인별 STAT'!O:O, '3월 단양 개인별 STAT'!$D:$D, $D97, '3월 단양 개인별 STAT'!$E:$E, $E97) + SUMIFS('4월 삼척 개인별 STAT'!O:O, '4월 삼척 개인별 STAT'!$D:$D, $D97, '4월 삼척 개인별 STAT'!$E:$E, $E97)</f>
        <v>64</v>
      </c>
      <c r="P97" s="20">
        <f>SUMIFS('3월 단양 개인별 STAT'!P:P, '3월 단양 개인별 STAT'!$D:$D, $D97, '3월 단양 개인별 STAT'!$E:$E, $E97) + SUMIFS('4월 삼척 개인별 STAT'!P:P, '4월 삼척 개인별 STAT'!$D:$D, $D97, '4월 삼척 개인별 STAT'!$E:$E, $E97)</f>
        <v>8</v>
      </c>
      <c r="Q97" s="20">
        <f>SUMIFS('3월 단양 개인별 STAT'!Q:Q, '3월 단양 개인별 STAT'!$D:$D, $D97, '3월 단양 개인별 STAT'!$E:$E, $E97) + SUMIFS('4월 삼척 개인별 STAT'!Q:Q, '4월 삼척 개인별 STAT'!$D:$D, $D97, '4월 삼척 개인별 STAT'!$E:$E, $E97)</f>
        <v>1</v>
      </c>
      <c r="R97" s="35">
        <f t="shared" si="3"/>
        <v>9</v>
      </c>
      <c r="S97" s="34">
        <f t="shared" si="4"/>
        <v>-0.11</v>
      </c>
      <c r="T97" s="20">
        <f>SUMIFS('3월 단양 개인별 STAT'!T:T, '3월 단양 개인별 STAT'!$D:$D, $D97, '3월 단양 개인별 STAT'!$E:$E, $E97) + SUMIFS('4월 삼척 개인별 STAT'!T:T, '4월 삼척 개인별 STAT'!$D:$D, $D97, '4월 삼척 개인별 STAT'!$E:$E, $E97)</f>
        <v>1</v>
      </c>
      <c r="U97" s="20">
        <f>SUMIFS('3월 단양 개인별 STAT'!U:U, '3월 단양 개인별 STAT'!$D:$D, $D97, '3월 단양 개인별 STAT'!$E:$E, $E97) + SUMIFS('4월 삼척 개인별 STAT'!U:U, '4월 삼척 개인별 STAT'!$D:$D, $D97, '4월 삼척 개인별 STAT'!$E:$E, $E97)</f>
        <v>0</v>
      </c>
      <c r="V97" s="20">
        <f>SUMIFS('3월 단양 개인별 STAT'!V:V, '3월 단양 개인별 STAT'!$D:$D, $D97, '3월 단양 개인별 STAT'!$E:$E, $E97) + SUMIFS('4월 삼척 개인별 STAT'!V:V, '4월 삼척 개인별 STAT'!$D:$D, $D97, '4월 삼척 개인별 STAT'!$E:$E, $E97)</f>
        <v>3</v>
      </c>
      <c r="W97" s="20">
        <f>SUMIFS('3월 단양 개인별 STAT'!W:W, '3월 단양 개인별 STAT'!$D:$D, $D97, '3월 단양 개인별 STAT'!$E:$E, $E97) + SUMIFS('4월 삼척 개인별 STAT'!W:W, '4월 삼척 개인별 STAT'!$D:$D, $D97, '4월 삼척 개인별 STAT'!$E:$E, $E97)</f>
        <v>19</v>
      </c>
      <c r="X97" s="20">
        <f>SUMIFS('3월 단양 개인별 STAT'!X:X, '3월 단양 개인별 STAT'!$D:$D, $D97, '3월 단양 개인별 STAT'!$E:$E, $E97) + SUMIFS('4월 삼척 개인별 STAT'!X:X, '4월 삼척 개인별 STAT'!$D:$D, $D97, '4월 삼척 개인별 STAT'!$E:$E, $E97)</f>
        <v>1</v>
      </c>
      <c r="Y97" s="20">
        <f>SUMIFS('3월 단양 개인별 STAT'!Y:Y, '3월 단양 개인별 STAT'!$D:$D, $D97, '3월 단양 개인별 STAT'!$E:$E, $E97) + SUMIFS('4월 삼척 개인별 STAT'!Y:Y, '4월 삼척 개인별 STAT'!$D:$D, $D97, '4월 삼척 개인별 STAT'!$E:$E, $E97)</f>
        <v>2</v>
      </c>
      <c r="Z97" s="35">
        <f t="shared" si="5"/>
        <v>22</v>
      </c>
      <c r="AA97" s="20">
        <f>SUMIFS('3월 단양 개인별 STAT'!AA:AA, '3월 단양 개인별 STAT'!$D:$D, $D97, '3월 단양 개인별 STAT'!$E:$E, $E97) + SUMIFS('4월 삼척 개인별 STAT'!AA:AA, '4월 삼척 개인별 STAT'!$D:$D, $D97, '4월 삼척 개인별 STAT'!$E:$E, $E97)</f>
        <v>0</v>
      </c>
      <c r="AB97" s="35">
        <f t="shared" si="6"/>
        <v>2</v>
      </c>
      <c r="AC97" s="23">
        <f t="shared" si="7"/>
        <v>4.25</v>
      </c>
      <c r="AD97" s="35">
        <f t="shared" si="8"/>
        <v>1</v>
      </c>
      <c r="AE97" s="20">
        <f>SUMIFS('3월 단양 개인별 STAT'!AE:AE, '3월 단양 개인별 STAT'!$D:$D, $D97, '3월 단양 개인별 STAT'!$E:$E, $E97) + SUMIFS('4월 삼척 개인별 STAT'!AE:AE, '4월 삼척 개인별 STAT'!$D:$D, $D97, '4월 삼척 개인별 STAT'!$E:$E, $E97)</f>
        <v>1</v>
      </c>
      <c r="AF97" s="20">
        <f>SUMIFS('3월 단양 개인별 STAT'!AF:AF, '3월 단양 개인별 STAT'!$D:$D, $D97, '3월 단양 개인별 STAT'!$E:$E, $E97) + SUMIFS('4월 삼척 개인별 STAT'!AF:AF, '4월 삼척 개인별 STAT'!$D:$D, $D97, '4월 삼척 개인별 STAT'!$E:$E, $E97)</f>
        <v>0</v>
      </c>
      <c r="AG97" s="36">
        <f t="shared" si="9"/>
        <v>100</v>
      </c>
      <c r="AH97" s="20">
        <f>SUMIFS('3월 단양 개인별 STAT'!AH:AH, '3월 단양 개인별 STAT'!$D:$D, $D97, '3월 단양 개인별 STAT'!$E:$E, $E97) + SUMIFS('4월 삼척 개인별 STAT'!AH:AH, '4월 삼척 개인별 STAT'!$D:$D, $D97, '4월 삼척 개인별 STAT'!$E:$E, $E97)</f>
        <v>27</v>
      </c>
      <c r="AI97" s="34" t="str">
        <f t="shared" si="10"/>
        <v>3.86</v>
      </c>
      <c r="AJ97" s="25"/>
      <c r="AK97" s="14"/>
      <c r="AL97" s="27">
        <f t="shared" si="11"/>
        <v>0</v>
      </c>
      <c r="AM97" s="27">
        <f t="shared" si="30"/>
        <v>1.285714286</v>
      </c>
      <c r="AN97" s="28">
        <f t="shared" si="13"/>
        <v>0</v>
      </c>
      <c r="AO97" s="27">
        <f t="shared" si="14"/>
        <v>0.1428571429</v>
      </c>
      <c r="AP97" s="27">
        <f t="shared" si="15"/>
        <v>0.1428571429</v>
      </c>
      <c r="AQ97" s="27">
        <f t="shared" ref="AQ97:AR97" si="111">iferror(AB97/$M97,"-")</f>
        <v>0.2857142857</v>
      </c>
      <c r="AR97" s="27">
        <f t="shared" si="111"/>
        <v>0.6071428571</v>
      </c>
      <c r="AS97" s="29">
        <f t="shared" si="17"/>
        <v>0</v>
      </c>
      <c r="AT97" s="29" t="str">
        <f t="shared" si="18"/>
        <v>3.86</v>
      </c>
      <c r="AU97" s="14"/>
      <c r="AV97" s="14"/>
      <c r="AW97" s="14"/>
      <c r="AX97" s="14"/>
    </row>
    <row r="98">
      <c r="B98" s="17">
        <v>95.0</v>
      </c>
      <c r="C98" s="18">
        <f t="shared" si="2"/>
        <v>3</v>
      </c>
      <c r="D98" s="19" t="s">
        <v>151</v>
      </c>
      <c r="E98" s="19" t="s">
        <v>154</v>
      </c>
      <c r="F98" s="31">
        <v>1.0</v>
      </c>
      <c r="G98" s="31" t="s">
        <v>57</v>
      </c>
      <c r="H98" s="31" t="s">
        <v>50</v>
      </c>
      <c r="I98" s="31">
        <v>160.0</v>
      </c>
      <c r="J98" s="31">
        <v>58.0</v>
      </c>
      <c r="K98" s="32">
        <v>4.0</v>
      </c>
      <c r="L98" s="20">
        <f>SUMIFS('3월 단양 개인별 STAT'!L:L, '3월 단양 개인별 STAT'!$D:$D, $D98, '3월 단양 개인별 STAT'!$E:$E, $E98) + SUMIFS('4월 삼척 개인별 STAT'!L:L, '4월 삼척 개인별 STAT'!$D:$D, $D98, '4월 삼척 개인별 STAT'!$E:$E, $E98)</f>
        <v>2</v>
      </c>
      <c r="M98" s="20">
        <f>SUMIFS('3월 단양 개인별 STAT'!M:M, '3월 단양 개인별 STAT'!$D:$D, $D98, '3월 단양 개인별 STAT'!$E:$E, $E98) + SUMIFS('4월 삼척 개인별 STAT'!M:M, '4월 삼척 개인별 STAT'!$D:$D, $D98, '4월 삼척 개인별 STAT'!$E:$E, $E98)</f>
        <v>4</v>
      </c>
      <c r="N98" s="20">
        <f>SUMIFS('3월 단양 개인별 STAT'!N:N, '3월 단양 개인별 STAT'!$D:$D, $D98, '3월 단양 개인별 STAT'!$E:$E, $E98) + SUMIFS('4월 삼척 개인별 STAT'!N:N, '4월 삼척 개인별 STAT'!$D:$D, $D98, '4월 삼척 개인별 STAT'!$E:$E, $E98)</f>
        <v>0</v>
      </c>
      <c r="O98" s="20">
        <f>SUMIFS('3월 단양 개인별 STAT'!O:O, '3월 단양 개인별 STAT'!$D:$D, $D98, '3월 단양 개인별 STAT'!$E:$E, $E98) + SUMIFS('4월 삼척 개인별 STAT'!O:O, '4월 삼척 개인별 STAT'!$D:$D, $D98, '4월 삼척 개인별 STAT'!$E:$E, $E98)</f>
        <v>0</v>
      </c>
      <c r="P98" s="20">
        <f>SUMIFS('3월 단양 개인별 STAT'!P:P, '3월 단양 개인별 STAT'!$D:$D, $D98, '3월 단양 개인별 STAT'!$E:$E, $E98) + SUMIFS('4월 삼척 개인별 STAT'!P:P, '4월 삼척 개인별 STAT'!$D:$D, $D98, '4월 삼척 개인별 STAT'!$E:$E, $E98)</f>
        <v>0</v>
      </c>
      <c r="Q98" s="20">
        <f>SUMIFS('3월 단양 개인별 STAT'!Q:Q, '3월 단양 개인별 STAT'!$D:$D, $D98, '3월 단양 개인별 STAT'!$E:$E, $E98) + SUMIFS('4월 삼척 개인별 STAT'!Q:Q, '4월 삼척 개인별 STAT'!$D:$D, $D98, '4월 삼척 개인별 STAT'!$E:$E, $E98)</f>
        <v>0</v>
      </c>
      <c r="R98" s="33" t="str">
        <f t="shared" si="3"/>
        <v>-</v>
      </c>
      <c r="S98" s="34" t="str">
        <f t="shared" si="4"/>
        <v>-</v>
      </c>
      <c r="T98" s="20">
        <f>SUMIFS('3월 단양 개인별 STAT'!T:T, '3월 단양 개인별 STAT'!$D:$D, $D98, '3월 단양 개인별 STAT'!$E:$E, $E98) + SUMIFS('4월 삼척 개인별 STAT'!T:T, '4월 삼척 개인별 STAT'!$D:$D, $D98, '4월 삼척 개인별 STAT'!$E:$E, $E98)</f>
        <v>0</v>
      </c>
      <c r="U98" s="20">
        <f>SUMIFS('3월 단양 개인별 STAT'!U:U, '3월 단양 개인별 STAT'!$D:$D, $D98, '3월 단양 개인별 STAT'!$E:$E, $E98) + SUMIFS('4월 삼척 개인별 STAT'!U:U, '4월 삼척 개인별 STAT'!$D:$D, $D98, '4월 삼척 개인별 STAT'!$E:$E, $E98)</f>
        <v>0</v>
      </c>
      <c r="V98" s="20">
        <f>SUMIFS('3월 단양 개인별 STAT'!V:V, '3월 단양 개인별 STAT'!$D:$D, $D98, '3월 단양 개인별 STAT'!$E:$E, $E98) + SUMIFS('4월 삼척 개인별 STAT'!V:V, '4월 삼척 개인별 STAT'!$D:$D, $D98, '4월 삼척 개인별 STAT'!$E:$E, $E98)</f>
        <v>0</v>
      </c>
      <c r="W98" s="20">
        <f>SUMIFS('3월 단양 개인별 STAT'!W:W, '3월 단양 개인별 STAT'!$D:$D, $D98, '3월 단양 개인별 STAT'!$E:$E, $E98) + SUMIFS('4월 삼척 개인별 STAT'!W:W, '4월 삼척 개인별 STAT'!$D:$D, $D98, '4월 삼척 개인별 STAT'!$E:$E, $E98)</f>
        <v>8</v>
      </c>
      <c r="X98" s="20">
        <f>SUMIFS('3월 단양 개인별 STAT'!X:X, '3월 단양 개인별 STAT'!$D:$D, $D98, '3월 단양 개인별 STAT'!$E:$E, $E98) + SUMIFS('4월 삼척 개인별 STAT'!X:X, '4월 삼척 개인별 STAT'!$D:$D, $D98, '4월 삼척 개인별 STAT'!$E:$E, $E98)</f>
        <v>3</v>
      </c>
      <c r="Y98" s="20">
        <f>SUMIFS('3월 단양 개인별 STAT'!Y:Y, '3월 단양 개인별 STAT'!$D:$D, $D98, '3월 단양 개인별 STAT'!$E:$E, $E98) + SUMIFS('4월 삼척 개인별 STAT'!Y:Y, '4월 삼척 개인별 STAT'!$D:$D, $D98, '4월 삼척 개인별 STAT'!$E:$E, $E98)</f>
        <v>0</v>
      </c>
      <c r="Z98" s="35">
        <f t="shared" si="5"/>
        <v>11</v>
      </c>
      <c r="AA98" s="20">
        <f>SUMIFS('3월 단양 개인별 STAT'!AA:AA, '3월 단양 개인별 STAT'!$D:$D, $D98, '3월 단양 개인별 STAT'!$E:$E, $E98) + SUMIFS('4월 삼척 개인별 STAT'!AA:AA, '4월 삼척 개인별 STAT'!$D:$D, $D98, '4월 삼척 개인별 STAT'!$E:$E, $E98)</f>
        <v>0</v>
      </c>
      <c r="AB98" s="35">
        <f t="shared" si="6"/>
        <v>3</v>
      </c>
      <c r="AC98" s="23">
        <f t="shared" si="7"/>
        <v>3</v>
      </c>
      <c r="AD98" s="33" t="str">
        <f t="shared" si="8"/>
        <v>-</v>
      </c>
      <c r="AE98" s="20">
        <f>SUMIFS('3월 단양 개인별 STAT'!AE:AE, '3월 단양 개인별 STAT'!$D:$D, $D98, '3월 단양 개인별 STAT'!$E:$E, $E98) + SUMIFS('4월 삼척 개인별 STAT'!AE:AE, '4월 삼척 개인별 STAT'!$D:$D, $D98, '4월 삼척 개인별 STAT'!$E:$E, $E98)</f>
        <v>0</v>
      </c>
      <c r="AF98" s="20">
        <f>SUMIFS('3월 단양 개인별 STAT'!AF:AF, '3월 단양 개인별 STAT'!$D:$D, $D98, '3월 단양 개인별 STAT'!$E:$E, $E98) + SUMIFS('4월 삼척 개인별 STAT'!AF:AF, '4월 삼척 개인별 STAT'!$D:$D, $D98, '4월 삼척 개인별 STAT'!$E:$E, $E98)</f>
        <v>0</v>
      </c>
      <c r="AG98" s="36" t="str">
        <f t="shared" si="9"/>
        <v>-</v>
      </c>
      <c r="AH98" s="20">
        <f>SUMIFS('3월 단양 개인별 STAT'!AH:AH, '3월 단양 개인별 STAT'!$D:$D, $D98, '3월 단양 개인별 STAT'!$E:$E, $E98) + SUMIFS('4월 삼척 개인별 STAT'!AH:AH, '4월 삼척 개인별 STAT'!$D:$D, $D98, '4월 삼척 개인별 STAT'!$E:$E, $E98)</f>
        <v>1</v>
      </c>
      <c r="AI98" s="34" t="str">
        <f t="shared" si="10"/>
        <v>0.25</v>
      </c>
      <c r="AJ98" s="25"/>
      <c r="AK98" s="14"/>
      <c r="AL98" s="27">
        <f t="shared" si="11"/>
        <v>0</v>
      </c>
      <c r="AM98" s="27" t="str">
        <f t="shared" si="30"/>
        <v>-</v>
      </c>
      <c r="AN98" s="28" t="str">
        <f t="shared" si="13"/>
        <v>-</v>
      </c>
      <c r="AO98" s="27">
        <f t="shared" si="14"/>
        <v>0</v>
      </c>
      <c r="AP98" s="27">
        <f t="shared" si="15"/>
        <v>0.75</v>
      </c>
      <c r="AQ98" s="27">
        <f t="shared" ref="AQ98:AR98" si="112">iferror(AB98/$M98,"-")</f>
        <v>0.75</v>
      </c>
      <c r="AR98" s="27">
        <f t="shared" si="112"/>
        <v>0.75</v>
      </c>
      <c r="AS98" s="29">
        <f t="shared" si="17"/>
        <v>0</v>
      </c>
      <c r="AT98" s="29" t="str">
        <f t="shared" si="18"/>
        <v>0.25</v>
      </c>
      <c r="AU98" s="14"/>
      <c r="AV98" s="14"/>
      <c r="AW98" s="14"/>
      <c r="AX98" s="14"/>
    </row>
    <row r="99">
      <c r="B99" s="17">
        <v>96.0</v>
      </c>
      <c r="C99" s="18">
        <f t="shared" si="2"/>
        <v>4</v>
      </c>
      <c r="D99" s="19" t="s">
        <v>151</v>
      </c>
      <c r="E99" s="19" t="s">
        <v>155</v>
      </c>
      <c r="F99" s="31">
        <v>3.0</v>
      </c>
      <c r="G99" s="31" t="s">
        <v>52</v>
      </c>
      <c r="H99" s="31" t="s">
        <v>57</v>
      </c>
      <c r="I99" s="31">
        <v>175.0</v>
      </c>
      <c r="J99" s="31">
        <v>57.0</v>
      </c>
      <c r="K99" s="32">
        <v>5.0</v>
      </c>
      <c r="L99" s="20">
        <f>SUMIFS('3월 단양 개인별 STAT'!L:L, '3월 단양 개인별 STAT'!$D:$D, $D99, '3월 단양 개인별 STAT'!$E:$E, $E99) + SUMIFS('4월 삼척 개인별 STAT'!L:L, '4월 삼척 개인별 STAT'!$D:$D, $D99, '4월 삼척 개인별 STAT'!$E:$E, $E99)</f>
        <v>2</v>
      </c>
      <c r="M99" s="20">
        <f>SUMIFS('3월 단양 개인별 STAT'!M:M, '3월 단양 개인별 STAT'!$D:$D, $D99, '3월 단양 개인별 STAT'!$E:$E, $E99) + SUMIFS('4월 삼척 개인별 STAT'!M:M, '4월 삼척 개인별 STAT'!$D:$D, $D99, '4월 삼척 개인별 STAT'!$E:$E, $E99)</f>
        <v>7</v>
      </c>
      <c r="N99" s="20">
        <f>SUMIFS('3월 단양 개인별 STAT'!N:N, '3월 단양 개인별 STAT'!$D:$D, $D99, '3월 단양 개인별 STAT'!$E:$E, $E99) + SUMIFS('4월 삼척 개인별 STAT'!N:N, '4월 삼척 개인별 STAT'!$D:$D, $D99, '4월 삼척 개인별 STAT'!$E:$E, $E99)</f>
        <v>30</v>
      </c>
      <c r="O99" s="20">
        <f>SUMIFS('3월 단양 개인별 STAT'!O:O, '3월 단양 개인별 STAT'!$D:$D, $D99, '3월 단양 개인별 STAT'!$E:$E, $E99) + SUMIFS('4월 삼척 개인별 STAT'!O:O, '4월 삼척 개인별 STAT'!$D:$D, $D99, '4월 삼척 개인별 STAT'!$E:$E, $E99)</f>
        <v>2</v>
      </c>
      <c r="P99" s="20">
        <f>SUMIFS('3월 단양 개인별 STAT'!P:P, '3월 단양 개인별 STAT'!$D:$D, $D99, '3월 단양 개인별 STAT'!$E:$E, $E99) + SUMIFS('4월 삼척 개인별 STAT'!P:P, '4월 삼척 개인별 STAT'!$D:$D, $D99, '4월 삼척 개인별 STAT'!$E:$E, $E99)</f>
        <v>41</v>
      </c>
      <c r="Q99" s="20">
        <f>SUMIFS('3월 단양 개인별 STAT'!Q:Q, '3월 단양 개인별 STAT'!$D:$D, $D99, '3월 단양 개인별 STAT'!$E:$E, $E99) + SUMIFS('4월 삼척 개인별 STAT'!Q:Q, '4월 삼척 개인별 STAT'!$D:$D, $D99, '4월 삼척 개인별 STAT'!$E:$E, $E99)</f>
        <v>8</v>
      </c>
      <c r="R99" s="35">
        <f t="shared" si="3"/>
        <v>79</v>
      </c>
      <c r="S99" s="34">
        <f t="shared" si="4"/>
        <v>0.28</v>
      </c>
      <c r="T99" s="20">
        <f>SUMIFS('3월 단양 개인별 STAT'!T:T, '3월 단양 개인별 STAT'!$D:$D, $D99, '3월 단양 개인별 STAT'!$E:$E, $E99) + SUMIFS('4월 삼척 개인별 STAT'!T:T, '4월 삼척 개인별 STAT'!$D:$D, $D99, '4월 삼척 개인별 STAT'!$E:$E, $E99)</f>
        <v>1</v>
      </c>
      <c r="U99" s="20">
        <f>SUMIFS('3월 단양 개인별 STAT'!U:U, '3월 단양 개인별 STAT'!$D:$D, $D99, '3월 단양 개인별 STAT'!$E:$E, $E99) + SUMIFS('4월 삼척 개인별 STAT'!U:U, '4월 삼척 개인별 STAT'!$D:$D, $D99, '4월 삼척 개인별 STAT'!$E:$E, $E99)</f>
        <v>0</v>
      </c>
      <c r="V99" s="20">
        <f>SUMIFS('3월 단양 개인별 STAT'!V:V, '3월 단양 개인별 STAT'!$D:$D, $D99, '3월 단양 개인별 STAT'!$E:$E, $E99) + SUMIFS('4월 삼척 개인별 STAT'!V:V, '4월 삼척 개인별 STAT'!$D:$D, $D99, '4월 삼척 개인별 STAT'!$E:$E, $E99)</f>
        <v>1</v>
      </c>
      <c r="W99" s="20">
        <f>SUMIFS('3월 단양 개인별 STAT'!W:W, '3월 단양 개인별 STAT'!$D:$D, $D99, '3월 단양 개인별 STAT'!$E:$E, $E99) + SUMIFS('4월 삼척 개인별 STAT'!W:W, '4월 삼척 개인별 STAT'!$D:$D, $D99, '4월 삼척 개인별 STAT'!$E:$E, $E99)</f>
        <v>27</v>
      </c>
      <c r="X99" s="20">
        <f>SUMIFS('3월 단양 개인별 STAT'!X:X, '3월 단양 개인별 STAT'!$D:$D, $D99, '3월 단양 개인별 STAT'!$E:$E, $E99) + SUMIFS('4월 삼척 개인별 STAT'!X:X, '4월 삼척 개인별 STAT'!$D:$D, $D99, '4월 삼척 개인별 STAT'!$E:$E, $E99)</f>
        <v>3</v>
      </c>
      <c r="Y99" s="20">
        <f>SUMIFS('3월 단양 개인별 STAT'!Y:Y, '3월 단양 개인별 STAT'!$D:$D, $D99, '3월 단양 개인별 STAT'!$E:$E, $E99) + SUMIFS('4월 삼척 개인별 STAT'!Y:Y, '4월 삼척 개인별 STAT'!$D:$D, $D99, '4월 삼척 개인별 STAT'!$E:$E, $E99)</f>
        <v>1</v>
      </c>
      <c r="Z99" s="35">
        <f t="shared" si="5"/>
        <v>31</v>
      </c>
      <c r="AA99" s="20">
        <f>SUMIFS('3월 단양 개인별 STAT'!AA:AA, '3월 단양 개인별 STAT'!$D:$D, $D99, '3월 단양 개인별 STAT'!$E:$E, $E99) + SUMIFS('4월 삼척 개인별 STAT'!AA:AA, '4월 삼척 개인별 STAT'!$D:$D, $D99, '4월 삼척 개인별 STAT'!$E:$E, $E99)</f>
        <v>0</v>
      </c>
      <c r="AB99" s="35">
        <f t="shared" si="6"/>
        <v>34</v>
      </c>
      <c r="AC99" s="23">
        <f t="shared" si="7"/>
        <v>34.75</v>
      </c>
      <c r="AD99" s="35">
        <f t="shared" si="8"/>
        <v>58</v>
      </c>
      <c r="AE99" s="20">
        <f>SUMIFS('3월 단양 개인별 STAT'!AE:AE, '3월 단양 개인별 STAT'!$D:$D, $D99, '3월 단양 개인별 STAT'!$E:$E, $E99) + SUMIFS('4월 삼척 개인별 STAT'!AE:AE, '4월 삼척 개인별 STAT'!$D:$D, $D99, '4월 삼척 개인별 STAT'!$E:$E, $E99)</f>
        <v>50</v>
      </c>
      <c r="AF99" s="20">
        <f>SUMIFS('3월 단양 개인별 STAT'!AF:AF, '3월 단양 개인별 STAT'!$D:$D, $D99, '3월 단양 개인별 STAT'!$E:$E, $E99) + SUMIFS('4월 삼척 개인별 STAT'!AF:AF, '4월 삼척 개인별 STAT'!$D:$D, $D99, '4월 삼척 개인별 STAT'!$E:$E, $E99)</f>
        <v>8</v>
      </c>
      <c r="AG99" s="36">
        <f t="shared" si="9"/>
        <v>86.20689655</v>
      </c>
      <c r="AH99" s="20">
        <f>SUMIFS('3월 단양 개인별 STAT'!AH:AH, '3월 단양 개인별 STAT'!$D:$D, $D99, '3월 단양 개인별 STAT'!$E:$E, $E99) + SUMIFS('4월 삼척 개인별 STAT'!AH:AH, '4월 삼척 개인별 STAT'!$D:$D, $D99, '4월 삼척 개인별 STAT'!$E:$E, $E99)</f>
        <v>19</v>
      </c>
      <c r="AI99" s="34" t="str">
        <f t="shared" si="10"/>
        <v>2.71</v>
      </c>
      <c r="AJ99" s="25"/>
      <c r="AK99" s="14"/>
      <c r="AL99" s="27">
        <f t="shared" si="11"/>
        <v>4.285714286</v>
      </c>
      <c r="AM99" s="27">
        <f t="shared" si="30"/>
        <v>11.28571429</v>
      </c>
      <c r="AN99" s="28">
        <f t="shared" si="13"/>
        <v>0.3797468354</v>
      </c>
      <c r="AO99" s="27">
        <f t="shared" si="14"/>
        <v>0.1428571429</v>
      </c>
      <c r="AP99" s="27">
        <f t="shared" si="15"/>
        <v>0.4285714286</v>
      </c>
      <c r="AQ99" s="27">
        <f t="shared" ref="AQ99:AR99" si="113">iferror(AB99/$M99,"-")</f>
        <v>4.857142857</v>
      </c>
      <c r="AR99" s="27">
        <f t="shared" si="113"/>
        <v>4.964285714</v>
      </c>
      <c r="AS99" s="29">
        <f t="shared" si="17"/>
        <v>1.142857143</v>
      </c>
      <c r="AT99" s="29" t="str">
        <f t="shared" si="18"/>
        <v>2.71</v>
      </c>
      <c r="AU99" s="14"/>
      <c r="AV99" s="14"/>
      <c r="AW99" s="14"/>
      <c r="AX99" s="14"/>
    </row>
    <row r="100">
      <c r="B100" s="17">
        <v>97.0</v>
      </c>
      <c r="C100" s="18">
        <f t="shared" si="2"/>
        <v>5</v>
      </c>
      <c r="D100" s="19" t="s">
        <v>151</v>
      </c>
      <c r="E100" s="19" t="s">
        <v>156</v>
      </c>
      <c r="F100" s="31">
        <v>3.0</v>
      </c>
      <c r="G100" s="31" t="s">
        <v>50</v>
      </c>
      <c r="H100" s="31" t="s">
        <v>48</v>
      </c>
      <c r="I100" s="31">
        <v>166.0</v>
      </c>
      <c r="J100" s="31">
        <v>54.0</v>
      </c>
      <c r="K100" s="32">
        <v>8.0</v>
      </c>
      <c r="L100" s="20">
        <f>SUMIFS('3월 단양 개인별 STAT'!L:L, '3월 단양 개인별 STAT'!$D:$D, $D100, '3월 단양 개인별 STAT'!$E:$E, $E100) + SUMIFS('4월 삼척 개인별 STAT'!L:L, '4월 삼척 개인별 STAT'!$D:$D, $D100, '4월 삼척 개인별 STAT'!$E:$E, $E100)</f>
        <v>2</v>
      </c>
      <c r="M100" s="20">
        <f>SUMIFS('3월 단양 개인별 STAT'!M:M, '3월 단양 개인별 STAT'!$D:$D, $D100, '3월 단양 개인별 STAT'!$E:$E, $E100) + SUMIFS('4월 삼척 개인별 STAT'!M:M, '4월 삼척 개인별 STAT'!$D:$D, $D100, '4월 삼척 개인별 STAT'!$E:$E, $E100)</f>
        <v>7</v>
      </c>
      <c r="N100" s="20">
        <f>SUMIFS('3월 단양 개인별 STAT'!N:N, '3월 단양 개인별 STAT'!$D:$D, $D100, '3월 단양 개인별 STAT'!$E:$E, $E100) + SUMIFS('4월 삼척 개인별 STAT'!N:N, '4월 삼척 개인별 STAT'!$D:$D, $D100, '4월 삼척 개인별 STAT'!$E:$E, $E100)</f>
        <v>0</v>
      </c>
      <c r="O100" s="20">
        <f>SUMIFS('3월 단양 개인별 STAT'!O:O, '3월 단양 개인별 STAT'!$D:$D, $D100, '3월 단양 개인별 STAT'!$E:$E, $E100) + SUMIFS('4월 삼척 개인별 STAT'!O:O, '4월 삼척 개인별 STAT'!$D:$D, $D100, '4월 삼척 개인별 STAT'!$E:$E, $E100)</f>
        <v>10</v>
      </c>
      <c r="P100" s="20">
        <f>SUMIFS('3월 단양 개인별 STAT'!P:P, '3월 단양 개인별 STAT'!$D:$D, $D100, '3월 단양 개인별 STAT'!$E:$E, $E100) + SUMIFS('4월 삼척 개인별 STAT'!P:P, '4월 삼척 개인별 STAT'!$D:$D, $D100, '4월 삼척 개인별 STAT'!$E:$E, $E100)</f>
        <v>0</v>
      </c>
      <c r="Q100" s="20">
        <f>SUMIFS('3월 단양 개인별 STAT'!Q:Q, '3월 단양 개인별 STAT'!$D:$D, $D100, '3월 단양 개인별 STAT'!$E:$E, $E100) + SUMIFS('4월 삼척 개인별 STAT'!Q:Q, '4월 삼척 개인별 STAT'!$D:$D, $D100, '4월 삼척 개인별 STAT'!$E:$E, $E100)</f>
        <v>0</v>
      </c>
      <c r="R100" s="33" t="str">
        <f t="shared" si="3"/>
        <v>-</v>
      </c>
      <c r="S100" s="34" t="str">
        <f t="shared" si="4"/>
        <v>-</v>
      </c>
      <c r="T100" s="20">
        <f>SUMIFS('3월 단양 개인별 STAT'!T:T, '3월 단양 개인별 STAT'!$D:$D, $D100, '3월 단양 개인별 STAT'!$E:$E, $E100) + SUMIFS('4월 삼척 개인별 STAT'!T:T, '4월 삼척 개인별 STAT'!$D:$D, $D100, '4월 삼척 개인별 STAT'!$E:$E, $E100)</f>
        <v>0</v>
      </c>
      <c r="U100" s="20">
        <f>SUMIFS('3월 단양 개인별 STAT'!U:U, '3월 단양 개인별 STAT'!$D:$D, $D100, '3월 단양 개인별 STAT'!$E:$E, $E100) + SUMIFS('4월 삼척 개인별 STAT'!U:U, '4월 삼척 개인별 STAT'!$D:$D, $D100, '4월 삼척 개인별 STAT'!$E:$E, $E100)</f>
        <v>0</v>
      </c>
      <c r="V100" s="20">
        <f>SUMIFS('3월 단양 개인별 STAT'!V:V, '3월 단양 개인별 STAT'!$D:$D, $D100, '3월 단양 개인별 STAT'!$E:$E, $E100) + SUMIFS('4월 삼척 개인별 STAT'!V:V, '4월 삼척 개인별 STAT'!$D:$D, $D100, '4월 삼척 개인별 STAT'!$E:$E, $E100)</f>
        <v>0</v>
      </c>
      <c r="W100" s="20">
        <f>SUMIFS('3월 단양 개인별 STAT'!W:W, '3월 단양 개인별 STAT'!$D:$D, $D100, '3월 단양 개인별 STAT'!$E:$E, $E100) + SUMIFS('4월 삼척 개인별 STAT'!W:W, '4월 삼척 개인별 STAT'!$D:$D, $D100, '4월 삼척 개인별 STAT'!$E:$E, $E100)</f>
        <v>0</v>
      </c>
      <c r="X100" s="20">
        <f>SUMIFS('3월 단양 개인별 STAT'!X:X, '3월 단양 개인별 STAT'!$D:$D, $D100, '3월 단양 개인별 STAT'!$E:$E, $E100) + SUMIFS('4월 삼척 개인별 STAT'!X:X, '4월 삼척 개인별 STAT'!$D:$D, $D100, '4월 삼척 개인별 STAT'!$E:$E, $E100)</f>
        <v>0</v>
      </c>
      <c r="Y100" s="20">
        <f>SUMIFS('3월 단양 개인별 STAT'!Y:Y, '3월 단양 개인별 STAT'!$D:$D, $D100, '3월 단양 개인별 STAT'!$E:$E, $E100) + SUMIFS('4월 삼척 개인별 STAT'!Y:Y, '4월 삼척 개인별 STAT'!$D:$D, $D100, '4월 삼척 개인별 STAT'!$E:$E, $E100)</f>
        <v>0</v>
      </c>
      <c r="Z100" s="33" t="str">
        <f t="shared" si="5"/>
        <v>-</v>
      </c>
      <c r="AA100" s="20">
        <f>SUMIFS('3월 단양 개인별 STAT'!AA:AA, '3월 단양 개인별 STAT'!$D:$D, $D100, '3월 단양 개인별 STAT'!$E:$E, $E100) + SUMIFS('4월 삼척 개인별 STAT'!AA:AA, '4월 삼척 개인별 STAT'!$D:$D, $D100, '4월 삼척 개인별 STAT'!$E:$E, $E100)</f>
        <v>1</v>
      </c>
      <c r="AB100" s="33" t="str">
        <f t="shared" si="6"/>
        <v>-</v>
      </c>
      <c r="AC100" s="23">
        <f t="shared" si="7"/>
        <v>0</v>
      </c>
      <c r="AD100" s="35">
        <f t="shared" si="8"/>
        <v>30</v>
      </c>
      <c r="AE100" s="20">
        <f>SUMIFS('3월 단양 개인별 STAT'!AE:AE, '3월 단양 개인별 STAT'!$D:$D, $D100, '3월 단양 개인별 STAT'!$E:$E, $E100) + SUMIFS('4월 삼척 개인별 STAT'!AE:AE, '4월 삼척 개인별 STAT'!$D:$D, $D100, '4월 삼척 개인별 STAT'!$E:$E, $E100)</f>
        <v>29</v>
      </c>
      <c r="AF100" s="20">
        <f>SUMIFS('3월 단양 개인별 STAT'!AF:AF, '3월 단양 개인별 STAT'!$D:$D, $D100, '3월 단양 개인별 STAT'!$E:$E, $E100) + SUMIFS('4월 삼척 개인별 STAT'!AF:AF, '4월 삼척 개인별 STAT'!$D:$D, $D100, '4월 삼척 개인별 STAT'!$E:$E, $E100)</f>
        <v>1</v>
      </c>
      <c r="AG100" s="36">
        <f t="shared" si="9"/>
        <v>96.66666667</v>
      </c>
      <c r="AH100" s="20">
        <f>SUMIFS('3월 단양 개인별 STAT'!AH:AH, '3월 단양 개인별 STAT'!$D:$D, $D100, '3월 단양 개인별 STAT'!$E:$E, $E100) + SUMIFS('4월 삼척 개인별 STAT'!AH:AH, '4월 삼척 개인별 STAT'!$D:$D, $D100, '4월 삼척 개인별 STAT'!$E:$E, $E100)</f>
        <v>34</v>
      </c>
      <c r="AI100" s="34" t="str">
        <f t="shared" si="10"/>
        <v>4.86</v>
      </c>
      <c r="AJ100" s="25"/>
      <c r="AK100" s="14"/>
      <c r="AL100" s="27">
        <f t="shared" si="11"/>
        <v>0</v>
      </c>
      <c r="AM100" s="27" t="str">
        <f t="shared" si="30"/>
        <v>-</v>
      </c>
      <c r="AN100" s="28" t="str">
        <f t="shared" si="13"/>
        <v>-</v>
      </c>
      <c r="AO100" s="27">
        <f t="shared" si="14"/>
        <v>0</v>
      </c>
      <c r="AP100" s="27">
        <f t="shared" si="15"/>
        <v>0</v>
      </c>
      <c r="AQ100" s="27" t="str">
        <f t="shared" ref="AQ100:AR100" si="114">iferror(AB100/$M100,"-")</f>
        <v>-</v>
      </c>
      <c r="AR100" s="27">
        <f t="shared" si="114"/>
        <v>0</v>
      </c>
      <c r="AS100" s="29">
        <f t="shared" si="17"/>
        <v>0.1428571429</v>
      </c>
      <c r="AT100" s="29" t="str">
        <f t="shared" si="18"/>
        <v>4.86</v>
      </c>
      <c r="AU100" s="14"/>
      <c r="AV100" s="14"/>
      <c r="AW100" s="14"/>
      <c r="AX100" s="14"/>
    </row>
    <row r="101">
      <c r="B101" s="17">
        <v>98.0</v>
      </c>
      <c r="C101" s="18">
        <f t="shared" si="2"/>
        <v>6</v>
      </c>
      <c r="D101" s="19" t="s">
        <v>151</v>
      </c>
      <c r="E101" s="19" t="s">
        <v>157</v>
      </c>
      <c r="F101" s="31">
        <v>1.0</v>
      </c>
      <c r="G101" s="31" t="s">
        <v>47</v>
      </c>
      <c r="H101" s="31" t="s">
        <v>48</v>
      </c>
      <c r="I101" s="31">
        <v>181.0</v>
      </c>
      <c r="J101" s="31">
        <v>67.0</v>
      </c>
      <c r="K101" s="32">
        <v>11.0</v>
      </c>
      <c r="L101" s="20">
        <f>SUMIFS('3월 단양 개인별 STAT'!L:L, '3월 단양 개인별 STAT'!$D:$D, $D101, '3월 단양 개인별 STAT'!$E:$E, $E101) + SUMIFS('4월 삼척 개인별 STAT'!L:L, '4월 삼척 개인별 STAT'!$D:$D, $D101, '4월 삼척 개인별 STAT'!$E:$E, $E101)</f>
        <v>2</v>
      </c>
      <c r="M101" s="20">
        <f>SUMIFS('3월 단양 개인별 STAT'!M:M, '3월 단양 개인별 STAT'!$D:$D, $D101, '3월 단양 개인별 STAT'!$E:$E, $E101) + SUMIFS('4월 삼척 개인별 STAT'!M:M, '4월 삼척 개인별 STAT'!$D:$D, $D101, '4월 삼척 개인별 STAT'!$E:$E, $E101)</f>
        <v>7</v>
      </c>
      <c r="N101" s="20">
        <f>SUMIFS('3월 단양 개인별 STAT'!N:N, '3월 단양 개인별 STAT'!$D:$D, $D101, '3월 단양 개인별 STAT'!$E:$E, $E101) + SUMIFS('4월 삼척 개인별 STAT'!N:N, '4월 삼척 개인별 STAT'!$D:$D, $D101, '4월 삼척 개인별 STAT'!$E:$E, $E101)</f>
        <v>10</v>
      </c>
      <c r="O101" s="20">
        <f>SUMIFS('3월 단양 개인별 STAT'!O:O, '3월 단양 개인별 STAT'!$D:$D, $D101, '3월 단양 개인별 STAT'!$E:$E, $E101) + SUMIFS('4월 삼척 개인별 STAT'!O:O, '4월 삼척 개인별 STAT'!$D:$D, $D101, '4월 삼척 개인별 STAT'!$E:$E, $E101)</f>
        <v>0</v>
      </c>
      <c r="P101" s="20">
        <f>SUMIFS('3월 단양 개인별 STAT'!P:P, '3월 단양 개인별 STAT'!$D:$D, $D101, '3월 단양 개인별 STAT'!$E:$E, $E101) + SUMIFS('4월 삼척 개인별 STAT'!P:P, '4월 삼척 개인별 STAT'!$D:$D, $D101, '4월 삼척 개인별 STAT'!$E:$E, $E101)</f>
        <v>19</v>
      </c>
      <c r="Q101" s="20">
        <f>SUMIFS('3월 단양 개인별 STAT'!Q:Q, '3월 단양 개인별 STAT'!$D:$D, $D101, '3월 단양 개인별 STAT'!$E:$E, $E101) + SUMIFS('4월 삼척 개인별 STAT'!Q:Q, '4월 삼척 개인별 STAT'!$D:$D, $D101, '4월 삼척 개인별 STAT'!$E:$E, $E101)</f>
        <v>5</v>
      </c>
      <c r="R101" s="35">
        <f t="shared" si="3"/>
        <v>34</v>
      </c>
      <c r="S101" s="34">
        <f t="shared" si="4"/>
        <v>0.15</v>
      </c>
      <c r="T101" s="20">
        <f>SUMIFS('3월 단양 개인별 STAT'!T:T, '3월 단양 개인별 STAT'!$D:$D, $D101, '3월 단양 개인별 STAT'!$E:$E, $E101) + SUMIFS('4월 삼척 개인별 STAT'!T:T, '4월 삼척 개인별 STAT'!$D:$D, $D101, '4월 삼척 개인별 STAT'!$E:$E, $E101)</f>
        <v>8</v>
      </c>
      <c r="U101" s="20">
        <f>SUMIFS('3월 단양 개인별 STAT'!U:U, '3월 단양 개인별 STAT'!$D:$D, $D101, '3월 단양 개인별 STAT'!$E:$E, $E101) + SUMIFS('4월 삼척 개인별 STAT'!U:U, '4월 삼척 개인별 STAT'!$D:$D, $D101, '4월 삼척 개인별 STAT'!$E:$E, $E101)</f>
        <v>0</v>
      </c>
      <c r="V101" s="20">
        <f>SUMIFS('3월 단양 개인별 STAT'!V:V, '3월 단양 개인별 STAT'!$D:$D, $D101, '3월 단양 개인별 STAT'!$E:$E, $E101) + SUMIFS('4월 삼척 개인별 STAT'!V:V, '4월 삼척 개인별 STAT'!$D:$D, $D101, '4월 삼척 개인별 STAT'!$E:$E, $E101)</f>
        <v>2</v>
      </c>
      <c r="W101" s="20">
        <f>SUMIFS('3월 단양 개인별 STAT'!W:W, '3월 단양 개인별 STAT'!$D:$D, $D101, '3월 단양 개인별 STAT'!$E:$E, $E101) + SUMIFS('4월 삼척 개인별 STAT'!W:W, '4월 삼척 개인별 STAT'!$D:$D, $D101, '4월 삼척 개인별 STAT'!$E:$E, $E101)</f>
        <v>8</v>
      </c>
      <c r="X101" s="20">
        <f>SUMIFS('3월 단양 개인별 STAT'!X:X, '3월 단양 개인별 STAT'!$D:$D, $D101, '3월 단양 개인별 STAT'!$E:$E, $E101) + SUMIFS('4월 삼척 개인별 STAT'!X:X, '4월 삼척 개인별 STAT'!$D:$D, $D101, '4월 삼척 개인별 STAT'!$E:$E, $E101)</f>
        <v>1</v>
      </c>
      <c r="Y101" s="20">
        <f>SUMIFS('3월 단양 개인별 STAT'!Y:Y, '3월 단양 개인별 STAT'!$D:$D, $D101, '3월 단양 개인별 STAT'!$E:$E, $E101) + SUMIFS('4월 삼척 개인별 STAT'!Y:Y, '4월 삼척 개인별 STAT'!$D:$D, $D101, '4월 삼척 개인별 STAT'!$E:$E, $E101)</f>
        <v>3</v>
      </c>
      <c r="Z101" s="35">
        <f t="shared" si="5"/>
        <v>12</v>
      </c>
      <c r="AA101" s="20">
        <f>SUMIFS('3월 단양 개인별 STAT'!AA:AA, '3월 단양 개인별 STAT'!$D:$D, $D101, '3월 단양 개인별 STAT'!$E:$E, $E101) + SUMIFS('4월 삼척 개인별 STAT'!AA:AA, '4월 삼척 개인별 STAT'!$D:$D, $D101, '4월 삼척 개인별 STAT'!$E:$E, $E101)</f>
        <v>0</v>
      </c>
      <c r="AB101" s="35">
        <f t="shared" si="6"/>
        <v>19</v>
      </c>
      <c r="AC101" s="23">
        <f t="shared" si="7"/>
        <v>20.5</v>
      </c>
      <c r="AD101" s="35">
        <f t="shared" si="8"/>
        <v>10</v>
      </c>
      <c r="AE101" s="20">
        <f>SUMIFS('3월 단양 개인별 STAT'!AE:AE, '3월 단양 개인별 STAT'!$D:$D, $D101, '3월 단양 개인별 STAT'!$E:$E, $E101) + SUMIFS('4월 삼척 개인별 STAT'!AE:AE, '4월 삼척 개인별 STAT'!$D:$D, $D101, '4월 삼척 개인별 STAT'!$E:$E, $E101)</f>
        <v>8</v>
      </c>
      <c r="AF101" s="20">
        <f>SUMIFS('3월 단양 개인별 STAT'!AF:AF, '3월 단양 개인별 STAT'!$D:$D, $D101, '3월 단양 개인별 STAT'!$E:$E, $E101) + SUMIFS('4월 삼척 개인별 STAT'!AF:AF, '4월 삼척 개인별 STAT'!$D:$D, $D101, '4월 삼척 개인별 STAT'!$E:$E, $E101)</f>
        <v>2</v>
      </c>
      <c r="AG101" s="36">
        <f t="shared" si="9"/>
        <v>80</v>
      </c>
      <c r="AH101" s="20">
        <f>SUMIFS('3월 단양 개인별 STAT'!AH:AH, '3월 단양 개인별 STAT'!$D:$D, $D101, '3월 단양 개인별 STAT'!$E:$E, $E101) + SUMIFS('4월 삼척 개인별 STAT'!AH:AH, '4월 삼척 개인별 STAT'!$D:$D, $D101, '4월 삼척 개인별 STAT'!$E:$E, $E101)</f>
        <v>4</v>
      </c>
      <c r="AI101" s="34" t="str">
        <f t="shared" si="10"/>
        <v>0.57</v>
      </c>
      <c r="AJ101" s="25"/>
      <c r="AK101" s="14"/>
      <c r="AL101" s="27">
        <f t="shared" si="11"/>
        <v>1.428571429</v>
      </c>
      <c r="AM101" s="27">
        <f t="shared" si="30"/>
        <v>4.857142857</v>
      </c>
      <c r="AN101" s="28">
        <f t="shared" si="13"/>
        <v>0.2941176471</v>
      </c>
      <c r="AO101" s="27">
        <f t="shared" si="14"/>
        <v>1.142857143</v>
      </c>
      <c r="AP101" s="27">
        <f t="shared" si="15"/>
        <v>0.1428571429</v>
      </c>
      <c r="AQ101" s="27">
        <f t="shared" ref="AQ101:AR101" si="115">iferror(AB101/$M101,"-")</f>
        <v>2.714285714</v>
      </c>
      <c r="AR101" s="27">
        <f t="shared" si="115"/>
        <v>2.928571429</v>
      </c>
      <c r="AS101" s="29">
        <f t="shared" si="17"/>
        <v>0.2857142857</v>
      </c>
      <c r="AT101" s="29" t="str">
        <f t="shared" si="18"/>
        <v>0.57</v>
      </c>
      <c r="AU101" s="14"/>
      <c r="AV101" s="14"/>
      <c r="AW101" s="14"/>
      <c r="AX101" s="14"/>
    </row>
    <row r="102">
      <c r="B102" s="17">
        <v>99.0</v>
      </c>
      <c r="C102" s="18">
        <f t="shared" si="2"/>
        <v>7</v>
      </c>
      <c r="D102" s="19" t="s">
        <v>151</v>
      </c>
      <c r="E102" s="19" t="s">
        <v>158</v>
      </c>
      <c r="F102" s="31">
        <v>2.0</v>
      </c>
      <c r="G102" s="31" t="s">
        <v>47</v>
      </c>
      <c r="H102" s="31" t="s">
        <v>48</v>
      </c>
      <c r="I102" s="31">
        <v>182.0</v>
      </c>
      <c r="J102" s="31">
        <v>65.0</v>
      </c>
      <c r="K102" s="32">
        <v>12.0</v>
      </c>
      <c r="L102" s="20">
        <f>SUMIFS('3월 단양 개인별 STAT'!L:L, '3월 단양 개인별 STAT'!$D:$D, $D102, '3월 단양 개인별 STAT'!$E:$E, $E102) + SUMIFS('4월 삼척 개인별 STAT'!L:L, '4월 삼척 개인별 STAT'!$D:$D, $D102, '4월 삼척 개인별 STAT'!$E:$E, $E102)</f>
        <v>2</v>
      </c>
      <c r="M102" s="20">
        <f>SUMIFS('3월 단양 개인별 STAT'!M:M, '3월 단양 개인별 STAT'!$D:$D, $D102, '3월 단양 개인별 STAT'!$E:$E, $E102) + SUMIFS('4월 삼척 개인별 STAT'!M:M, '4월 삼척 개인별 STAT'!$D:$D, $D102, '4월 삼척 개인별 STAT'!$E:$E, $E102)</f>
        <v>7</v>
      </c>
      <c r="N102" s="20">
        <f>SUMIFS('3월 단양 개인별 STAT'!N:N, '3월 단양 개인별 STAT'!$D:$D, $D102, '3월 단양 개인별 STAT'!$E:$E, $E102) + SUMIFS('4월 삼척 개인별 STAT'!N:N, '4월 삼척 개인별 STAT'!$D:$D, $D102, '4월 삼척 개인별 STAT'!$E:$E, $E102)</f>
        <v>4</v>
      </c>
      <c r="O102" s="20">
        <f>SUMIFS('3월 단양 개인별 STAT'!O:O, '3월 단양 개인별 STAT'!$D:$D, $D102, '3월 단양 개인별 STAT'!$E:$E, $E102) + SUMIFS('4월 삼척 개인별 STAT'!O:O, '4월 삼척 개인별 STAT'!$D:$D, $D102, '4월 삼척 개인별 STAT'!$E:$E, $E102)</f>
        <v>0</v>
      </c>
      <c r="P102" s="20">
        <f>SUMIFS('3월 단양 개인별 STAT'!P:P, '3월 단양 개인별 STAT'!$D:$D, $D102, '3월 단양 개인별 STAT'!$E:$E, $E102) + SUMIFS('4월 삼척 개인별 STAT'!P:P, '4월 삼척 개인별 STAT'!$D:$D, $D102, '4월 삼척 개인별 STAT'!$E:$E, $E102)</f>
        <v>5</v>
      </c>
      <c r="Q102" s="20">
        <f>SUMIFS('3월 단양 개인별 STAT'!Q:Q, '3월 단양 개인별 STAT'!$D:$D, $D102, '3월 단양 개인별 STAT'!$E:$E, $E102) + SUMIFS('4월 삼척 개인별 STAT'!Q:Q, '4월 삼척 개인별 STAT'!$D:$D, $D102, '4월 삼척 개인별 STAT'!$E:$E, $E102)</f>
        <v>3</v>
      </c>
      <c r="R102" s="35">
        <f t="shared" si="3"/>
        <v>12</v>
      </c>
      <c r="S102" s="34">
        <f t="shared" si="4"/>
        <v>0.08</v>
      </c>
      <c r="T102" s="20">
        <f>SUMIFS('3월 단양 개인별 STAT'!T:T, '3월 단양 개인별 STAT'!$D:$D, $D102, '3월 단양 개인별 STAT'!$E:$E, $E102) + SUMIFS('4월 삼척 개인별 STAT'!T:T, '4월 삼척 개인별 STAT'!$D:$D, $D102, '4월 삼척 개인별 STAT'!$E:$E, $E102)</f>
        <v>3</v>
      </c>
      <c r="U102" s="20">
        <f>SUMIFS('3월 단양 개인별 STAT'!U:U, '3월 단양 개인별 STAT'!$D:$D, $D102, '3월 단양 개인별 STAT'!$E:$E, $E102) + SUMIFS('4월 삼척 개인별 STAT'!U:U, '4월 삼척 개인별 STAT'!$D:$D, $D102, '4월 삼척 개인별 STAT'!$E:$E, $E102)</f>
        <v>0</v>
      </c>
      <c r="V102" s="20">
        <f>SUMIFS('3월 단양 개인별 STAT'!V:V, '3월 단양 개인별 STAT'!$D:$D, $D102, '3월 단양 개인별 STAT'!$E:$E, $E102) + SUMIFS('4월 삼척 개인별 STAT'!V:V, '4월 삼척 개인별 STAT'!$D:$D, $D102, '4월 삼척 개인별 STAT'!$E:$E, $E102)</f>
        <v>1</v>
      </c>
      <c r="W102" s="20">
        <f>SUMIFS('3월 단양 개인별 STAT'!W:W, '3월 단양 개인별 STAT'!$D:$D, $D102, '3월 단양 개인별 STAT'!$E:$E, $E102) + SUMIFS('4월 삼척 개인별 STAT'!W:W, '4월 삼척 개인별 STAT'!$D:$D, $D102, '4월 삼척 개인별 STAT'!$E:$E, $E102)</f>
        <v>14</v>
      </c>
      <c r="X102" s="20">
        <f>SUMIFS('3월 단양 개인별 STAT'!X:X, '3월 단양 개인별 STAT'!$D:$D, $D102, '3월 단양 개인별 STAT'!$E:$E, $E102) + SUMIFS('4월 삼척 개인별 STAT'!X:X, '4월 삼척 개인별 STAT'!$D:$D, $D102, '4월 삼척 개인별 STAT'!$E:$E, $E102)</f>
        <v>1</v>
      </c>
      <c r="Y102" s="20">
        <f>SUMIFS('3월 단양 개인별 STAT'!Y:Y, '3월 단양 개인별 STAT'!$D:$D, $D102, '3월 단양 개인별 STAT'!$E:$E, $E102) + SUMIFS('4월 삼척 개인별 STAT'!Y:Y, '4월 삼척 개인별 STAT'!$D:$D, $D102, '4월 삼척 개인별 STAT'!$E:$E, $E102)</f>
        <v>2</v>
      </c>
      <c r="Z102" s="35">
        <f t="shared" si="5"/>
        <v>17</v>
      </c>
      <c r="AA102" s="20">
        <f>SUMIFS('3월 단양 개인별 STAT'!AA:AA, '3월 단양 개인별 STAT'!$D:$D, $D102, '3월 단양 개인별 STAT'!$E:$E, $E102) + SUMIFS('4월 삼척 개인별 STAT'!AA:AA, '4월 삼척 개인별 STAT'!$D:$D, $D102, '4월 삼척 개인별 STAT'!$E:$E, $E102)</f>
        <v>0</v>
      </c>
      <c r="AB102" s="35">
        <f t="shared" si="6"/>
        <v>8</v>
      </c>
      <c r="AC102" s="23">
        <f t="shared" si="7"/>
        <v>8.75</v>
      </c>
      <c r="AD102" s="35">
        <f t="shared" si="8"/>
        <v>1</v>
      </c>
      <c r="AE102" s="20">
        <f>SUMIFS('3월 단양 개인별 STAT'!AE:AE, '3월 단양 개인별 STAT'!$D:$D, $D102, '3월 단양 개인별 STAT'!$E:$E, $E102) + SUMIFS('4월 삼척 개인별 STAT'!AE:AE, '4월 삼척 개인별 STAT'!$D:$D, $D102, '4월 삼척 개인별 STAT'!$E:$E, $E102)</f>
        <v>1</v>
      </c>
      <c r="AF102" s="20">
        <f>SUMIFS('3월 단양 개인별 STAT'!AF:AF, '3월 단양 개인별 STAT'!$D:$D, $D102, '3월 단양 개인별 STAT'!$E:$E, $E102) + SUMIFS('4월 삼척 개인별 STAT'!AF:AF, '4월 삼척 개인별 STAT'!$D:$D, $D102, '4월 삼척 개인별 STAT'!$E:$E, $E102)</f>
        <v>0</v>
      </c>
      <c r="AG102" s="36">
        <f t="shared" si="9"/>
        <v>100</v>
      </c>
      <c r="AH102" s="20">
        <f>SUMIFS('3월 단양 개인별 STAT'!AH:AH, '3월 단양 개인별 STAT'!$D:$D, $D102, '3월 단양 개인별 STAT'!$E:$E, $E102) + SUMIFS('4월 삼척 개인별 STAT'!AH:AH, '4월 삼척 개인별 STAT'!$D:$D, $D102, '4월 삼척 개인별 STAT'!$E:$E, $E102)</f>
        <v>3</v>
      </c>
      <c r="AI102" s="34" t="str">
        <f t="shared" si="10"/>
        <v>0.43</v>
      </c>
      <c r="AJ102" s="25"/>
      <c r="AK102" s="14"/>
      <c r="AL102" s="27">
        <f t="shared" si="11"/>
        <v>0.5714285714</v>
      </c>
      <c r="AM102" s="27">
        <f t="shared" si="30"/>
        <v>1.714285714</v>
      </c>
      <c r="AN102" s="28">
        <f t="shared" si="13"/>
        <v>0.3333333333</v>
      </c>
      <c r="AO102" s="27">
        <f t="shared" si="14"/>
        <v>0.4285714286</v>
      </c>
      <c r="AP102" s="27">
        <f t="shared" si="15"/>
        <v>0.1428571429</v>
      </c>
      <c r="AQ102" s="27">
        <f t="shared" ref="AQ102:AR102" si="116">iferror(AB102/$M102,"-")</f>
        <v>1.142857143</v>
      </c>
      <c r="AR102" s="27">
        <f t="shared" si="116"/>
        <v>1.25</v>
      </c>
      <c r="AS102" s="29">
        <f t="shared" si="17"/>
        <v>0</v>
      </c>
      <c r="AT102" s="29" t="str">
        <f t="shared" si="18"/>
        <v>0.43</v>
      </c>
      <c r="AU102" s="14"/>
      <c r="AV102" s="14"/>
      <c r="AW102" s="14"/>
      <c r="AX102" s="14"/>
    </row>
    <row r="103">
      <c r="B103" s="17">
        <v>100.0</v>
      </c>
      <c r="C103" s="18">
        <f t="shared" si="2"/>
        <v>8</v>
      </c>
      <c r="D103" s="19" t="s">
        <v>151</v>
      </c>
      <c r="E103" s="19" t="s">
        <v>159</v>
      </c>
      <c r="F103" s="31">
        <v>2.0</v>
      </c>
      <c r="G103" s="31" t="s">
        <v>52</v>
      </c>
      <c r="H103" s="31" t="s">
        <v>57</v>
      </c>
      <c r="I103" s="31">
        <v>176.0</v>
      </c>
      <c r="J103" s="31">
        <v>65.0</v>
      </c>
      <c r="K103" s="32">
        <v>17.0</v>
      </c>
      <c r="L103" s="20">
        <f>SUMIFS('3월 단양 개인별 STAT'!L:L, '3월 단양 개인별 STAT'!$D:$D, $D103, '3월 단양 개인별 STAT'!$E:$E, $E103) + SUMIFS('4월 삼척 개인별 STAT'!L:L, '4월 삼척 개인별 STAT'!$D:$D, $D103, '4월 삼척 개인별 STAT'!$E:$E, $E103)</f>
        <v>2</v>
      </c>
      <c r="M103" s="20">
        <f>SUMIFS('3월 단양 개인별 STAT'!M:M, '3월 단양 개인별 STAT'!$D:$D, $D103, '3월 단양 개인별 STAT'!$E:$E, $E103) + SUMIFS('4월 삼척 개인별 STAT'!M:M, '4월 삼척 개인별 STAT'!$D:$D, $D103, '4월 삼척 개인별 STAT'!$E:$E, $E103)</f>
        <v>7</v>
      </c>
      <c r="N103" s="20">
        <f>SUMIFS('3월 단양 개인별 STAT'!N:N, '3월 단양 개인별 STAT'!$D:$D, $D103, '3월 단양 개인별 STAT'!$E:$E, $E103) + SUMIFS('4월 삼척 개인별 STAT'!N:N, '4월 삼척 개인별 STAT'!$D:$D, $D103, '4월 삼척 개인별 STAT'!$E:$E, $E103)</f>
        <v>30</v>
      </c>
      <c r="O103" s="20">
        <f>SUMIFS('3월 단양 개인별 STAT'!O:O, '3월 단양 개인별 STAT'!$D:$D, $D103, '3월 단양 개인별 STAT'!$E:$E, $E103) + SUMIFS('4월 삼척 개인별 STAT'!O:O, '4월 삼척 개인별 STAT'!$D:$D, $D103, '4월 삼척 개인별 STAT'!$E:$E, $E103)</f>
        <v>2</v>
      </c>
      <c r="P103" s="20">
        <f>SUMIFS('3월 단양 개인별 STAT'!P:P, '3월 단양 개인별 STAT'!$D:$D, $D103, '3월 단양 개인별 STAT'!$E:$E, $E103) + SUMIFS('4월 삼척 개인별 STAT'!P:P, '4월 삼척 개인별 STAT'!$D:$D, $D103, '4월 삼척 개인별 STAT'!$E:$E, $E103)</f>
        <v>53</v>
      </c>
      <c r="Q103" s="20">
        <f>SUMIFS('3월 단양 개인별 STAT'!Q:Q, '3월 단양 개인별 STAT'!$D:$D, $D103, '3월 단양 개인별 STAT'!$E:$E, $E103) + SUMIFS('4월 삼척 개인별 STAT'!Q:Q, '4월 삼척 개인별 STAT'!$D:$D, $D103, '4월 삼척 개인별 STAT'!$E:$E, $E103)</f>
        <v>16</v>
      </c>
      <c r="R103" s="35">
        <f t="shared" si="3"/>
        <v>99</v>
      </c>
      <c r="S103" s="34">
        <f t="shared" si="4"/>
        <v>0.14</v>
      </c>
      <c r="T103" s="20">
        <f>SUMIFS('3월 단양 개인별 STAT'!T:T, '3월 단양 개인별 STAT'!$D:$D, $D103, '3월 단양 개인별 STAT'!$E:$E, $E103) + SUMIFS('4월 삼척 개인별 STAT'!T:T, '4월 삼척 개인별 STAT'!$D:$D, $D103, '4월 삼척 개인별 STAT'!$E:$E, $E103)</f>
        <v>0</v>
      </c>
      <c r="U103" s="20">
        <f>SUMIFS('3월 단양 개인별 STAT'!U:U, '3월 단양 개인별 STAT'!$D:$D, $D103, '3월 단양 개인별 STAT'!$E:$E, $E103) + SUMIFS('4월 삼척 개인별 STAT'!U:U, '4월 삼척 개인별 STAT'!$D:$D, $D103, '4월 삼척 개인별 STAT'!$E:$E, $E103)</f>
        <v>0</v>
      </c>
      <c r="V103" s="20">
        <f>SUMIFS('3월 단양 개인별 STAT'!V:V, '3월 단양 개인별 STAT'!$D:$D, $D103, '3월 단양 개인별 STAT'!$E:$E, $E103) + SUMIFS('4월 삼척 개인별 STAT'!V:V, '4월 삼척 개인별 STAT'!$D:$D, $D103, '4월 삼척 개인별 STAT'!$E:$E, $E103)</f>
        <v>1</v>
      </c>
      <c r="W103" s="20">
        <f>SUMIFS('3월 단양 개인별 STAT'!W:W, '3월 단양 개인별 STAT'!$D:$D, $D103, '3월 단양 개인별 STAT'!$E:$E, $E103) + SUMIFS('4월 삼척 개인별 STAT'!W:W, '4월 삼척 개인별 STAT'!$D:$D, $D103, '4월 삼척 개인별 STAT'!$E:$E, $E103)</f>
        <v>23</v>
      </c>
      <c r="X103" s="20">
        <f>SUMIFS('3월 단양 개인별 STAT'!X:X, '3월 단양 개인별 STAT'!$D:$D, $D103, '3월 단양 개인별 STAT'!$E:$E, $E103) + SUMIFS('4월 삼척 개인별 STAT'!X:X, '4월 삼척 개인별 STAT'!$D:$D, $D103, '4월 삼척 개인별 STAT'!$E:$E, $E103)</f>
        <v>0</v>
      </c>
      <c r="Y103" s="20">
        <f>SUMIFS('3월 단양 개인별 STAT'!Y:Y, '3월 단양 개인별 STAT'!$D:$D, $D103, '3월 단양 개인별 STAT'!$E:$E, $E103) + SUMIFS('4월 삼척 개인별 STAT'!Y:Y, '4월 삼척 개인별 STAT'!$D:$D, $D103, '4월 삼척 개인별 STAT'!$E:$E, $E103)</f>
        <v>4</v>
      </c>
      <c r="Z103" s="35">
        <f t="shared" si="5"/>
        <v>27</v>
      </c>
      <c r="AA103" s="20">
        <f>SUMIFS('3월 단양 개인별 STAT'!AA:AA, '3월 단양 개인별 STAT'!$D:$D, $D103, '3월 단양 개인별 STAT'!$E:$E, $E103) + SUMIFS('4월 삼척 개인별 STAT'!AA:AA, '4월 삼척 개인별 STAT'!$D:$D, $D103, '4월 삼척 개인별 STAT'!$E:$E, $E103)</f>
        <v>0</v>
      </c>
      <c r="AB103" s="35">
        <f t="shared" si="6"/>
        <v>30</v>
      </c>
      <c r="AC103" s="23">
        <f t="shared" si="7"/>
        <v>30.75</v>
      </c>
      <c r="AD103" s="35">
        <f t="shared" si="8"/>
        <v>51</v>
      </c>
      <c r="AE103" s="20">
        <f>SUMIFS('3월 단양 개인별 STAT'!AE:AE, '3월 단양 개인별 STAT'!$D:$D, $D103, '3월 단양 개인별 STAT'!$E:$E, $E103) + SUMIFS('4월 삼척 개인별 STAT'!AE:AE, '4월 삼척 개인별 STAT'!$D:$D, $D103, '4월 삼척 개인별 STAT'!$E:$E, $E103)</f>
        <v>44</v>
      </c>
      <c r="AF103" s="20">
        <f>SUMIFS('3월 단양 개인별 STAT'!AF:AF, '3월 단양 개인별 STAT'!$D:$D, $D103, '3월 단양 개인별 STAT'!$E:$E, $E103) + SUMIFS('4월 삼척 개인별 STAT'!AF:AF, '4월 삼척 개인별 STAT'!$D:$D, $D103, '4월 삼척 개인별 STAT'!$E:$E, $E103)</f>
        <v>7</v>
      </c>
      <c r="AG103" s="36">
        <f t="shared" si="9"/>
        <v>86.2745098</v>
      </c>
      <c r="AH103" s="20">
        <f>SUMIFS('3월 단양 개인별 STAT'!AH:AH, '3월 단양 개인별 STAT'!$D:$D, $D103, '3월 단양 개인별 STAT'!$E:$E, $E103) + SUMIFS('4월 삼척 개인별 STAT'!AH:AH, '4월 삼척 개인별 STAT'!$D:$D, $D103, '4월 삼척 개인별 STAT'!$E:$E, $E103)</f>
        <v>28</v>
      </c>
      <c r="AI103" s="34" t="str">
        <f t="shared" si="10"/>
        <v>4</v>
      </c>
      <c r="AJ103" s="25"/>
      <c r="AK103" s="14"/>
      <c r="AL103" s="27">
        <f t="shared" si="11"/>
        <v>4.285714286</v>
      </c>
      <c r="AM103" s="27">
        <f t="shared" si="30"/>
        <v>14.14285714</v>
      </c>
      <c r="AN103" s="28">
        <f t="shared" si="13"/>
        <v>0.303030303</v>
      </c>
      <c r="AO103" s="27">
        <f t="shared" si="14"/>
        <v>0</v>
      </c>
      <c r="AP103" s="27">
        <f t="shared" si="15"/>
        <v>0</v>
      </c>
      <c r="AQ103" s="27">
        <f t="shared" ref="AQ103:AR103" si="117">iferror(AB103/$M103,"-")</f>
        <v>4.285714286</v>
      </c>
      <c r="AR103" s="27">
        <f t="shared" si="117"/>
        <v>4.392857143</v>
      </c>
      <c r="AS103" s="29">
        <f t="shared" si="17"/>
        <v>1</v>
      </c>
      <c r="AT103" s="29" t="str">
        <f t="shared" si="18"/>
        <v>4</v>
      </c>
      <c r="AU103" s="14"/>
      <c r="AV103" s="14"/>
      <c r="AW103" s="14"/>
      <c r="AX103" s="14"/>
    </row>
    <row r="104">
      <c r="B104" s="17">
        <v>101.0</v>
      </c>
      <c r="C104" s="18">
        <f t="shared" si="2"/>
        <v>9</v>
      </c>
      <c r="D104" s="19" t="s">
        <v>151</v>
      </c>
      <c r="E104" s="19" t="s">
        <v>160</v>
      </c>
      <c r="F104" s="31">
        <v>1.0</v>
      </c>
      <c r="G104" s="31" t="s">
        <v>52</v>
      </c>
      <c r="H104" s="31" t="s">
        <v>50</v>
      </c>
      <c r="I104" s="31">
        <v>165.0</v>
      </c>
      <c r="J104" s="31">
        <v>63.0</v>
      </c>
      <c r="K104" s="32">
        <v>18.0</v>
      </c>
      <c r="L104" s="20">
        <f>SUMIFS('3월 단양 개인별 STAT'!L:L, '3월 단양 개인별 STAT'!$D:$D, $D104, '3월 단양 개인별 STAT'!$E:$E, $E104) + SUMIFS('4월 삼척 개인별 STAT'!L:L, '4월 삼척 개인별 STAT'!$D:$D, $D104, '4월 삼척 개인별 STAT'!$E:$E, $E104)</f>
        <v>2</v>
      </c>
      <c r="M104" s="20">
        <f>SUMIFS('3월 단양 개인별 STAT'!M:M, '3월 단양 개인별 STAT'!$D:$D, $D104, '3월 단양 개인별 STAT'!$E:$E, $E104) + SUMIFS('4월 삼척 개인별 STAT'!M:M, '4월 삼척 개인별 STAT'!$D:$D, $D104, '4월 삼척 개인별 STAT'!$E:$E, $E104)</f>
        <v>6</v>
      </c>
      <c r="N104" s="20">
        <f>SUMIFS('3월 단양 개인별 STAT'!N:N, '3월 단양 개인별 STAT'!$D:$D, $D104, '3월 단양 개인별 STAT'!$E:$E, $E104) + SUMIFS('4월 삼척 개인별 STAT'!N:N, '4월 삼척 개인별 STAT'!$D:$D, $D104, '4월 삼척 개인별 STAT'!$E:$E, $E104)</f>
        <v>0</v>
      </c>
      <c r="O104" s="20">
        <f>SUMIFS('3월 단양 개인별 STAT'!O:O, '3월 단양 개인별 STAT'!$D:$D, $D104, '3월 단양 개인별 STAT'!$E:$E, $E104) + SUMIFS('4월 삼척 개인별 STAT'!O:O, '4월 삼척 개인별 STAT'!$D:$D, $D104, '4월 삼척 개인별 STAT'!$E:$E, $E104)</f>
        <v>0</v>
      </c>
      <c r="P104" s="20">
        <f>SUMIFS('3월 단양 개인별 STAT'!P:P, '3월 단양 개인별 STAT'!$D:$D, $D104, '3월 단양 개인별 STAT'!$E:$E, $E104) + SUMIFS('4월 삼척 개인별 STAT'!P:P, '4월 삼척 개인별 STAT'!$D:$D, $D104, '4월 삼척 개인별 STAT'!$E:$E, $E104)</f>
        <v>0</v>
      </c>
      <c r="Q104" s="20">
        <f>SUMIFS('3월 단양 개인별 STAT'!Q:Q, '3월 단양 개인별 STAT'!$D:$D, $D104, '3월 단양 개인별 STAT'!$E:$E, $E104) + SUMIFS('4월 삼척 개인별 STAT'!Q:Q, '4월 삼척 개인별 STAT'!$D:$D, $D104, '4월 삼척 개인별 STAT'!$E:$E, $E104)</f>
        <v>0</v>
      </c>
      <c r="R104" s="33" t="str">
        <f t="shared" si="3"/>
        <v>-</v>
      </c>
      <c r="S104" s="34" t="str">
        <f t="shared" si="4"/>
        <v>-</v>
      </c>
      <c r="T104" s="20">
        <f>SUMIFS('3월 단양 개인별 STAT'!T:T, '3월 단양 개인별 STAT'!$D:$D, $D104, '3월 단양 개인별 STAT'!$E:$E, $E104) + SUMIFS('4월 삼척 개인별 STAT'!T:T, '4월 삼척 개인별 STAT'!$D:$D, $D104, '4월 삼척 개인별 STAT'!$E:$E, $E104)</f>
        <v>0</v>
      </c>
      <c r="U104" s="20">
        <f>SUMIFS('3월 단양 개인별 STAT'!U:U, '3월 단양 개인별 STAT'!$D:$D, $D104, '3월 단양 개인별 STAT'!$E:$E, $E104) + SUMIFS('4월 삼척 개인별 STAT'!U:U, '4월 삼척 개인별 STAT'!$D:$D, $D104, '4월 삼척 개인별 STAT'!$E:$E, $E104)</f>
        <v>0</v>
      </c>
      <c r="V104" s="20">
        <f>SUMIFS('3월 단양 개인별 STAT'!V:V, '3월 단양 개인별 STAT'!$D:$D, $D104, '3월 단양 개인별 STAT'!$E:$E, $E104) + SUMIFS('4월 삼척 개인별 STAT'!V:V, '4월 삼척 개인별 STAT'!$D:$D, $D104, '4월 삼척 개인별 STAT'!$E:$E, $E104)</f>
        <v>0</v>
      </c>
      <c r="W104" s="20">
        <f>SUMIFS('3월 단양 개인별 STAT'!W:W, '3월 단양 개인별 STAT'!$D:$D, $D104, '3월 단양 개인별 STAT'!$E:$E, $E104) + SUMIFS('4월 삼척 개인별 STAT'!W:W, '4월 삼척 개인별 STAT'!$D:$D, $D104, '4월 삼척 개인별 STAT'!$E:$E, $E104)</f>
        <v>4</v>
      </c>
      <c r="X104" s="20">
        <f>SUMIFS('3월 단양 개인별 STAT'!X:X, '3월 단양 개인별 STAT'!$D:$D, $D104, '3월 단양 개인별 STAT'!$E:$E, $E104) + SUMIFS('4월 삼척 개인별 STAT'!X:X, '4월 삼척 개인별 STAT'!$D:$D, $D104, '4월 삼척 개인별 STAT'!$E:$E, $E104)</f>
        <v>0</v>
      </c>
      <c r="Y104" s="20">
        <f>SUMIFS('3월 단양 개인별 STAT'!Y:Y, '3월 단양 개인별 STAT'!$D:$D, $D104, '3월 단양 개인별 STAT'!$E:$E, $E104) + SUMIFS('4월 삼척 개인별 STAT'!Y:Y, '4월 삼척 개인별 STAT'!$D:$D, $D104, '4월 삼척 개인별 STAT'!$E:$E, $E104)</f>
        <v>2</v>
      </c>
      <c r="Z104" s="35">
        <f t="shared" si="5"/>
        <v>6</v>
      </c>
      <c r="AA104" s="20">
        <f>SUMIFS('3월 단양 개인별 STAT'!AA:AA, '3월 단양 개인별 STAT'!$D:$D, $D104, '3월 단양 개인별 STAT'!$E:$E, $E104) + SUMIFS('4월 삼척 개인별 STAT'!AA:AA, '4월 삼척 개인별 STAT'!$D:$D, $D104, '4월 삼척 개인별 STAT'!$E:$E, $E104)</f>
        <v>0</v>
      </c>
      <c r="AB104" s="33" t="str">
        <f t="shared" si="6"/>
        <v>-</v>
      </c>
      <c r="AC104" s="23">
        <f t="shared" si="7"/>
        <v>0</v>
      </c>
      <c r="AD104" s="35">
        <f t="shared" si="8"/>
        <v>1</v>
      </c>
      <c r="AE104" s="20">
        <f>SUMIFS('3월 단양 개인별 STAT'!AE:AE, '3월 단양 개인별 STAT'!$D:$D, $D104, '3월 단양 개인별 STAT'!$E:$E, $E104) + SUMIFS('4월 삼척 개인별 STAT'!AE:AE, '4월 삼척 개인별 STAT'!$D:$D, $D104, '4월 삼척 개인별 STAT'!$E:$E, $E104)</f>
        <v>1</v>
      </c>
      <c r="AF104" s="20">
        <f>SUMIFS('3월 단양 개인별 STAT'!AF:AF, '3월 단양 개인별 STAT'!$D:$D, $D104, '3월 단양 개인별 STAT'!$E:$E, $E104) + SUMIFS('4월 삼척 개인별 STAT'!AF:AF, '4월 삼척 개인별 STAT'!$D:$D, $D104, '4월 삼척 개인별 STAT'!$E:$E, $E104)</f>
        <v>0</v>
      </c>
      <c r="AG104" s="36">
        <f t="shared" si="9"/>
        <v>100</v>
      </c>
      <c r="AH104" s="20">
        <f>SUMIFS('3월 단양 개인별 STAT'!AH:AH, '3월 단양 개인별 STAT'!$D:$D, $D104, '3월 단양 개인별 STAT'!$E:$E, $E104) + SUMIFS('4월 삼척 개인별 STAT'!AH:AH, '4월 삼척 개인별 STAT'!$D:$D, $D104, '4월 삼척 개인별 STAT'!$E:$E, $E104)</f>
        <v>4</v>
      </c>
      <c r="AI104" s="34" t="str">
        <f t="shared" si="10"/>
        <v>0.67</v>
      </c>
      <c r="AJ104" s="25"/>
      <c r="AK104" s="14"/>
      <c r="AL104" s="27">
        <f t="shared" si="11"/>
        <v>0</v>
      </c>
      <c r="AM104" s="27" t="str">
        <f t="shared" si="30"/>
        <v>-</v>
      </c>
      <c r="AN104" s="28" t="str">
        <f t="shared" si="13"/>
        <v>-</v>
      </c>
      <c r="AO104" s="27">
        <f t="shared" si="14"/>
        <v>0</v>
      </c>
      <c r="AP104" s="27">
        <f t="shared" si="15"/>
        <v>0</v>
      </c>
      <c r="AQ104" s="27" t="str">
        <f t="shared" ref="AQ104:AR104" si="118">iferror(AB104/$M104,"-")</f>
        <v>-</v>
      </c>
      <c r="AR104" s="27">
        <f t="shared" si="118"/>
        <v>0</v>
      </c>
      <c r="AS104" s="29">
        <f t="shared" si="17"/>
        <v>0</v>
      </c>
      <c r="AT104" s="29" t="str">
        <f t="shared" si="18"/>
        <v>0.67</v>
      </c>
      <c r="AU104" s="14"/>
      <c r="AV104" s="14"/>
      <c r="AW104" s="14"/>
      <c r="AX104" s="14"/>
    </row>
    <row r="105">
      <c r="B105" s="17">
        <v>102.0</v>
      </c>
      <c r="C105" s="18">
        <f t="shared" si="2"/>
        <v>10</v>
      </c>
      <c r="D105" s="19" t="s">
        <v>151</v>
      </c>
      <c r="E105" s="19" t="s">
        <v>161</v>
      </c>
      <c r="F105" s="31">
        <v>1.0</v>
      </c>
      <c r="G105" s="31" t="s">
        <v>47</v>
      </c>
      <c r="H105" s="31" t="s">
        <v>48</v>
      </c>
      <c r="I105" s="31">
        <v>190.0</v>
      </c>
      <c r="J105" s="31">
        <v>96.0</v>
      </c>
      <c r="K105" s="32">
        <v>19.0</v>
      </c>
      <c r="L105" s="20">
        <f>SUMIFS('3월 단양 개인별 STAT'!L:L, '3월 단양 개인별 STAT'!$D:$D, $D105, '3월 단양 개인별 STAT'!$E:$E, $E105) + SUMIFS('4월 삼척 개인별 STAT'!L:L, '4월 삼척 개인별 STAT'!$D:$D, $D105, '4월 삼척 개인별 STAT'!$E:$E, $E105)</f>
        <v>0</v>
      </c>
      <c r="M105" s="20">
        <f>SUMIFS('3월 단양 개인별 STAT'!M:M, '3월 단양 개인별 STAT'!$D:$D, $D105, '3월 단양 개인별 STAT'!$E:$E, $E105) + SUMIFS('4월 삼척 개인별 STAT'!M:M, '4월 삼척 개인별 STAT'!$D:$D, $D105, '4월 삼척 개인별 STAT'!$E:$E, $E105)</f>
        <v>0</v>
      </c>
      <c r="N105" s="20">
        <f>SUMIFS('3월 단양 개인별 STAT'!N:N, '3월 단양 개인별 STAT'!$D:$D, $D105, '3월 단양 개인별 STAT'!$E:$E, $E105) + SUMIFS('4월 삼척 개인별 STAT'!N:N, '4월 삼척 개인별 STAT'!$D:$D, $D105, '4월 삼척 개인별 STAT'!$E:$E, $E105)</f>
        <v>0</v>
      </c>
      <c r="O105" s="20">
        <f>SUMIFS('3월 단양 개인별 STAT'!O:O, '3월 단양 개인별 STAT'!$D:$D, $D105, '3월 단양 개인별 STAT'!$E:$E, $E105) + SUMIFS('4월 삼척 개인별 STAT'!O:O, '4월 삼척 개인별 STAT'!$D:$D, $D105, '4월 삼척 개인별 STAT'!$E:$E, $E105)</f>
        <v>0</v>
      </c>
      <c r="P105" s="20">
        <f>SUMIFS('3월 단양 개인별 STAT'!P:P, '3월 단양 개인별 STAT'!$D:$D, $D105, '3월 단양 개인별 STAT'!$E:$E, $E105) + SUMIFS('4월 삼척 개인별 STAT'!P:P, '4월 삼척 개인별 STAT'!$D:$D, $D105, '4월 삼척 개인별 STAT'!$E:$E, $E105)</f>
        <v>0</v>
      </c>
      <c r="Q105" s="20">
        <f>SUMIFS('3월 단양 개인별 STAT'!Q:Q, '3월 단양 개인별 STAT'!$D:$D, $D105, '3월 단양 개인별 STAT'!$E:$E, $E105) + SUMIFS('4월 삼척 개인별 STAT'!Q:Q, '4월 삼척 개인별 STAT'!$D:$D, $D105, '4월 삼척 개인별 STAT'!$E:$E, $E105)</f>
        <v>0</v>
      </c>
      <c r="R105" s="33" t="str">
        <f t="shared" si="3"/>
        <v>-</v>
      </c>
      <c r="S105" s="34" t="str">
        <f t="shared" si="4"/>
        <v>-</v>
      </c>
      <c r="T105" s="20">
        <f>SUMIFS('3월 단양 개인별 STAT'!T:T, '3월 단양 개인별 STAT'!$D:$D, $D105, '3월 단양 개인별 STAT'!$E:$E, $E105) + SUMIFS('4월 삼척 개인별 STAT'!T:T, '4월 삼척 개인별 STAT'!$D:$D, $D105, '4월 삼척 개인별 STAT'!$E:$E, $E105)</f>
        <v>0</v>
      </c>
      <c r="U105" s="20">
        <f>SUMIFS('3월 단양 개인별 STAT'!U:U, '3월 단양 개인별 STAT'!$D:$D, $D105, '3월 단양 개인별 STAT'!$E:$E, $E105) + SUMIFS('4월 삼척 개인별 STAT'!U:U, '4월 삼척 개인별 STAT'!$D:$D, $D105, '4월 삼척 개인별 STAT'!$E:$E, $E105)</f>
        <v>0</v>
      </c>
      <c r="V105" s="20">
        <f>SUMIFS('3월 단양 개인별 STAT'!V:V, '3월 단양 개인별 STAT'!$D:$D, $D105, '3월 단양 개인별 STAT'!$E:$E, $E105) + SUMIFS('4월 삼척 개인별 STAT'!V:V, '4월 삼척 개인별 STAT'!$D:$D, $D105, '4월 삼척 개인별 STAT'!$E:$E, $E105)</f>
        <v>0</v>
      </c>
      <c r="W105" s="20">
        <f>SUMIFS('3월 단양 개인별 STAT'!W:W, '3월 단양 개인별 STAT'!$D:$D, $D105, '3월 단양 개인별 STAT'!$E:$E, $E105) + SUMIFS('4월 삼척 개인별 STAT'!W:W, '4월 삼척 개인별 STAT'!$D:$D, $D105, '4월 삼척 개인별 STAT'!$E:$E, $E105)</f>
        <v>0</v>
      </c>
      <c r="X105" s="20">
        <f>SUMIFS('3월 단양 개인별 STAT'!X:X, '3월 단양 개인별 STAT'!$D:$D, $D105, '3월 단양 개인별 STAT'!$E:$E, $E105) + SUMIFS('4월 삼척 개인별 STAT'!X:X, '4월 삼척 개인별 STAT'!$D:$D, $D105, '4월 삼척 개인별 STAT'!$E:$E, $E105)</f>
        <v>0</v>
      </c>
      <c r="Y105" s="20">
        <f>SUMIFS('3월 단양 개인별 STAT'!Y:Y, '3월 단양 개인별 STAT'!$D:$D, $D105, '3월 단양 개인별 STAT'!$E:$E, $E105) + SUMIFS('4월 삼척 개인별 STAT'!Y:Y, '4월 삼척 개인별 STAT'!$D:$D, $D105, '4월 삼척 개인별 STAT'!$E:$E, $E105)</f>
        <v>0</v>
      </c>
      <c r="Z105" s="33" t="str">
        <f t="shared" si="5"/>
        <v>-</v>
      </c>
      <c r="AA105" s="20">
        <f>SUMIFS('3월 단양 개인별 STAT'!AA:AA, '3월 단양 개인별 STAT'!$D:$D, $D105, '3월 단양 개인별 STAT'!$E:$E, $E105) + SUMIFS('4월 삼척 개인별 STAT'!AA:AA, '4월 삼척 개인별 STAT'!$D:$D, $D105, '4월 삼척 개인별 STAT'!$E:$E, $E105)</f>
        <v>0</v>
      </c>
      <c r="AB105" s="33" t="str">
        <f t="shared" si="6"/>
        <v>-</v>
      </c>
      <c r="AC105" s="23">
        <f t="shared" si="7"/>
        <v>0</v>
      </c>
      <c r="AD105" s="33" t="str">
        <f t="shared" si="8"/>
        <v>-</v>
      </c>
      <c r="AE105" s="20">
        <f>SUMIFS('3월 단양 개인별 STAT'!AE:AE, '3월 단양 개인별 STAT'!$D:$D, $D105, '3월 단양 개인별 STAT'!$E:$E, $E105) + SUMIFS('4월 삼척 개인별 STAT'!AE:AE, '4월 삼척 개인별 STAT'!$D:$D, $D105, '4월 삼척 개인별 STAT'!$E:$E, $E105)</f>
        <v>0</v>
      </c>
      <c r="AF105" s="20">
        <f>SUMIFS('3월 단양 개인별 STAT'!AF:AF, '3월 단양 개인별 STAT'!$D:$D, $D105, '3월 단양 개인별 STAT'!$E:$E, $E105) + SUMIFS('4월 삼척 개인별 STAT'!AF:AF, '4월 삼척 개인별 STAT'!$D:$D, $D105, '4월 삼척 개인별 STAT'!$E:$E, $E105)</f>
        <v>0</v>
      </c>
      <c r="AG105" s="36" t="str">
        <f t="shared" si="9"/>
        <v>-</v>
      </c>
      <c r="AH105" s="20">
        <f>SUMIFS('3월 단양 개인별 STAT'!AH:AH, '3월 단양 개인별 STAT'!$D:$D, $D105, '3월 단양 개인별 STAT'!$E:$E, $E105) + SUMIFS('4월 삼척 개인별 STAT'!AH:AH, '4월 삼척 개인별 STAT'!$D:$D, $D105, '4월 삼척 개인별 STAT'!$E:$E, $E105)</f>
        <v>0</v>
      </c>
      <c r="AI105" s="34" t="str">
        <f t="shared" si="10"/>
        <v>-</v>
      </c>
      <c r="AJ105" s="25"/>
      <c r="AK105" s="14"/>
      <c r="AL105" s="27" t="str">
        <f t="shared" si="11"/>
        <v>-</v>
      </c>
      <c r="AM105" s="27" t="str">
        <f t="shared" si="30"/>
        <v>-</v>
      </c>
      <c r="AN105" s="28" t="str">
        <f t="shared" si="13"/>
        <v>-</v>
      </c>
      <c r="AO105" s="27" t="str">
        <f t="shared" si="14"/>
        <v>-</v>
      </c>
      <c r="AP105" s="27" t="str">
        <f t="shared" si="15"/>
        <v>-</v>
      </c>
      <c r="AQ105" s="27" t="str">
        <f t="shared" ref="AQ105:AR105" si="119">iferror(AB105/$M105,"-")</f>
        <v>-</v>
      </c>
      <c r="AR105" s="27" t="str">
        <f t="shared" si="119"/>
        <v>-</v>
      </c>
      <c r="AS105" s="29" t="str">
        <f t="shared" si="17"/>
        <v>-</v>
      </c>
      <c r="AT105" s="29" t="str">
        <f t="shared" si="18"/>
        <v>-</v>
      </c>
      <c r="AU105" s="14"/>
      <c r="AV105" s="14"/>
      <c r="AW105" s="14"/>
      <c r="AX105" s="14"/>
    </row>
    <row r="106">
      <c r="B106" s="17">
        <v>103.0</v>
      </c>
      <c r="C106" s="18">
        <f t="shared" si="2"/>
        <v>1</v>
      </c>
      <c r="D106" s="19" t="s">
        <v>162</v>
      </c>
      <c r="E106" s="19" t="s">
        <v>163</v>
      </c>
      <c r="F106" s="31">
        <v>1.0</v>
      </c>
      <c r="G106" s="31" t="s">
        <v>57</v>
      </c>
      <c r="H106" s="31" t="s">
        <v>52</v>
      </c>
      <c r="I106" s="31">
        <v>170.0</v>
      </c>
      <c r="J106" s="31">
        <v>45.0</v>
      </c>
      <c r="K106" s="32">
        <v>1.0</v>
      </c>
      <c r="L106" s="20">
        <f>SUMIFS('3월 단양 개인별 STAT'!L:L, '3월 단양 개인별 STAT'!$D:$D, $D106, '3월 단양 개인별 STAT'!$E:$E, $E106) + SUMIFS('4월 삼척 개인별 STAT'!L:L, '4월 삼척 개인별 STAT'!$D:$D, $D106, '4월 삼척 개인별 STAT'!$E:$E, $E106)</f>
        <v>5</v>
      </c>
      <c r="M106" s="20">
        <f>SUMIFS('3월 단양 개인별 STAT'!M:M, '3월 단양 개인별 STAT'!$D:$D, $D106, '3월 단양 개인별 STAT'!$E:$E, $E106) + SUMIFS('4월 삼척 개인별 STAT'!M:M, '4월 삼척 개인별 STAT'!$D:$D, $D106, '4월 삼척 개인별 STAT'!$E:$E, $E106)</f>
        <v>14</v>
      </c>
      <c r="N106" s="20">
        <f>SUMIFS('3월 단양 개인별 STAT'!N:N, '3월 단양 개인별 STAT'!$D:$D, $D106, '3월 단양 개인별 STAT'!$E:$E, $E106) + SUMIFS('4월 삼척 개인별 STAT'!N:N, '4월 삼척 개인별 STAT'!$D:$D, $D106, '4월 삼척 개인별 STAT'!$E:$E, $E106)</f>
        <v>12</v>
      </c>
      <c r="O106" s="20">
        <f>SUMIFS('3월 단양 개인별 STAT'!O:O, '3월 단양 개인별 STAT'!$D:$D, $D106, '3월 단양 개인별 STAT'!$E:$E, $E106) + SUMIFS('4월 삼척 개인별 STAT'!O:O, '4월 삼척 개인별 STAT'!$D:$D, $D106, '4월 삼척 개인별 STAT'!$E:$E, $E106)</f>
        <v>1</v>
      </c>
      <c r="P106" s="20">
        <f>SUMIFS('3월 단양 개인별 STAT'!P:P, '3월 단양 개인별 STAT'!$D:$D, $D106, '3월 단양 개인별 STAT'!$E:$E, $E106) + SUMIFS('4월 삼척 개인별 STAT'!P:P, '4월 삼척 개인별 STAT'!$D:$D, $D106, '4월 삼척 개인별 STAT'!$E:$E, $E106)</f>
        <v>18</v>
      </c>
      <c r="Q106" s="20">
        <f>SUMIFS('3월 단양 개인별 STAT'!Q:Q, '3월 단양 개인별 STAT'!$D:$D, $D106, '3월 단양 개인별 STAT'!$E:$E, $E106) + SUMIFS('4월 삼척 개인별 STAT'!Q:Q, '4월 삼척 개인별 STAT'!$D:$D, $D106, '4월 삼척 개인별 STAT'!$E:$E, $E106)</f>
        <v>12</v>
      </c>
      <c r="R106" s="35">
        <f t="shared" si="3"/>
        <v>42</v>
      </c>
      <c r="S106" s="34" t="str">
        <f t="shared" si="4"/>
        <v>-</v>
      </c>
      <c r="T106" s="20">
        <f>SUMIFS('3월 단양 개인별 STAT'!T:T, '3월 단양 개인별 STAT'!$D:$D, $D106, '3월 단양 개인별 STAT'!$E:$E, $E106) + SUMIFS('4월 삼척 개인별 STAT'!T:T, '4월 삼척 개인별 STAT'!$D:$D, $D106, '4월 삼척 개인별 STAT'!$E:$E, $E106)</f>
        <v>3</v>
      </c>
      <c r="U106" s="20">
        <f>SUMIFS('3월 단양 개인별 STAT'!U:U, '3월 단양 개인별 STAT'!$D:$D, $D106, '3월 단양 개인별 STAT'!$E:$E, $E106) + SUMIFS('4월 삼척 개인별 STAT'!U:U, '4월 삼척 개인별 STAT'!$D:$D, $D106, '4월 삼척 개인별 STAT'!$E:$E, $E106)</f>
        <v>0</v>
      </c>
      <c r="V106" s="20">
        <f>SUMIFS('3월 단양 개인별 STAT'!V:V, '3월 단양 개인별 STAT'!$D:$D, $D106, '3월 단양 개인별 STAT'!$E:$E, $E106) + SUMIFS('4월 삼척 개인별 STAT'!V:V, '4월 삼척 개인별 STAT'!$D:$D, $D106, '4월 삼척 개인별 STAT'!$E:$E, $E106)</f>
        <v>2</v>
      </c>
      <c r="W106" s="20">
        <f>SUMIFS('3월 단양 개인별 STAT'!W:W, '3월 단양 개인별 STAT'!$D:$D, $D106, '3월 단양 개인별 STAT'!$E:$E, $E106) + SUMIFS('4월 삼척 개인별 STAT'!W:W, '4월 삼척 개인별 STAT'!$D:$D, $D106, '4월 삼척 개인별 STAT'!$E:$E, $E106)</f>
        <v>25</v>
      </c>
      <c r="X106" s="20">
        <f>SUMIFS('3월 단양 개인별 STAT'!X:X, '3월 단양 개인별 STAT'!$D:$D, $D106, '3월 단양 개인별 STAT'!$E:$E, $E106) + SUMIFS('4월 삼척 개인별 STAT'!X:X, '4월 삼척 개인별 STAT'!$D:$D, $D106, '4월 삼척 개인별 STAT'!$E:$E, $E106)</f>
        <v>1</v>
      </c>
      <c r="Y106" s="20">
        <f>SUMIFS('3월 단양 개인별 STAT'!Y:Y, '3월 단양 개인별 STAT'!$D:$D, $D106, '3월 단양 개인별 STAT'!$E:$E, $E106) + SUMIFS('4월 삼척 개인별 STAT'!Y:Y, '4월 삼척 개인별 STAT'!$D:$D, $D106, '4월 삼척 개인별 STAT'!$E:$E, $E106)</f>
        <v>5</v>
      </c>
      <c r="Z106" s="35">
        <f t="shared" si="5"/>
        <v>31</v>
      </c>
      <c r="AA106" s="20">
        <f>SUMIFS('3월 단양 개인별 STAT'!AA:AA, '3월 단양 개인별 STAT'!$D:$D, $D106, '3월 단양 개인별 STAT'!$E:$E, $E106) + SUMIFS('4월 삼척 개인별 STAT'!AA:AA, '4월 삼척 개인별 STAT'!$D:$D, $D106, '4월 삼척 개인별 STAT'!$E:$E, $E106)</f>
        <v>1</v>
      </c>
      <c r="AB106" s="35">
        <f t="shared" si="6"/>
        <v>16</v>
      </c>
      <c r="AC106" s="23">
        <f t="shared" si="7"/>
        <v>17.5</v>
      </c>
      <c r="AD106" s="35">
        <f t="shared" si="8"/>
        <v>13</v>
      </c>
      <c r="AE106" s="20">
        <f>SUMIFS('3월 단양 개인별 STAT'!AE:AE, '3월 단양 개인별 STAT'!$D:$D, $D106, '3월 단양 개인별 STAT'!$E:$E, $E106) + SUMIFS('4월 삼척 개인별 STAT'!AE:AE, '4월 삼척 개인별 STAT'!$D:$D, $D106, '4월 삼척 개인별 STAT'!$E:$E, $E106)</f>
        <v>8</v>
      </c>
      <c r="AF106" s="20">
        <f>SUMIFS('3월 단양 개인별 STAT'!AF:AF, '3월 단양 개인별 STAT'!$D:$D, $D106, '3월 단양 개인별 STAT'!$E:$E, $E106) + SUMIFS('4월 삼척 개인별 STAT'!AF:AF, '4월 삼척 개인별 STAT'!$D:$D, $D106, '4월 삼척 개인별 STAT'!$E:$E, $E106)</f>
        <v>5</v>
      </c>
      <c r="AG106" s="36">
        <f t="shared" si="9"/>
        <v>61.53846154</v>
      </c>
      <c r="AH106" s="20">
        <f>SUMIFS('3월 단양 개인별 STAT'!AH:AH, '3월 단양 개인별 STAT'!$D:$D, $D106, '3월 단양 개인별 STAT'!$E:$E, $E106) + SUMIFS('4월 삼척 개인별 STAT'!AH:AH, '4월 삼척 개인별 STAT'!$D:$D, $D106, '4월 삼척 개인별 STAT'!$E:$E, $E106)</f>
        <v>10</v>
      </c>
      <c r="AI106" s="34" t="str">
        <f t="shared" si="10"/>
        <v>0.71</v>
      </c>
      <c r="AJ106" s="25"/>
      <c r="AK106" s="14"/>
      <c r="AL106" s="27">
        <f t="shared" si="11"/>
        <v>0.8571428571</v>
      </c>
      <c r="AM106" s="27">
        <f t="shared" si="30"/>
        <v>3</v>
      </c>
      <c r="AN106" s="28">
        <f t="shared" si="13"/>
        <v>0.2857142857</v>
      </c>
      <c r="AO106" s="27">
        <f t="shared" si="14"/>
        <v>0.2142857143</v>
      </c>
      <c r="AP106" s="27">
        <f t="shared" si="15"/>
        <v>0.07142857143</v>
      </c>
      <c r="AQ106" s="27">
        <f t="shared" ref="AQ106:AR106" si="120">iferror(AB106/$M106,"-")</f>
        <v>1.142857143</v>
      </c>
      <c r="AR106" s="27">
        <f t="shared" si="120"/>
        <v>1.25</v>
      </c>
      <c r="AS106" s="29">
        <f t="shared" si="17"/>
        <v>0.3571428571</v>
      </c>
      <c r="AT106" s="29" t="str">
        <f t="shared" si="18"/>
        <v>0.71</v>
      </c>
      <c r="AU106" s="14"/>
      <c r="AV106" s="14"/>
      <c r="AW106" s="14"/>
      <c r="AX106" s="14"/>
    </row>
    <row r="107">
      <c r="B107" s="17">
        <v>104.0</v>
      </c>
      <c r="C107" s="18">
        <f t="shared" si="2"/>
        <v>2</v>
      </c>
      <c r="D107" s="19" t="s">
        <v>162</v>
      </c>
      <c r="E107" s="19" t="s">
        <v>164</v>
      </c>
      <c r="F107" s="31">
        <v>2.0</v>
      </c>
      <c r="G107" s="31" t="s">
        <v>47</v>
      </c>
      <c r="H107" s="31" t="s">
        <v>52</v>
      </c>
      <c r="I107" s="31">
        <v>175.0</v>
      </c>
      <c r="J107" s="31">
        <v>62.0</v>
      </c>
      <c r="K107" s="32">
        <v>2.0</v>
      </c>
      <c r="L107" s="20">
        <f>SUMIFS('3월 단양 개인별 STAT'!L:L, '3월 단양 개인별 STAT'!$D:$D, $D107, '3월 단양 개인별 STAT'!$E:$E, $E107) + SUMIFS('4월 삼척 개인별 STAT'!L:L, '4월 삼척 개인별 STAT'!$D:$D, $D107, '4월 삼척 개인별 STAT'!$E:$E, $E107)</f>
        <v>5</v>
      </c>
      <c r="M107" s="20">
        <f>SUMIFS('3월 단양 개인별 STAT'!M:M, '3월 단양 개인별 STAT'!$D:$D, $D107, '3월 단양 개인별 STAT'!$E:$E, $E107) + SUMIFS('4월 삼척 개인별 STAT'!M:M, '4월 삼척 개인별 STAT'!$D:$D, $D107, '4월 삼척 개인별 STAT'!$E:$E, $E107)</f>
        <v>15</v>
      </c>
      <c r="N107" s="20">
        <f>SUMIFS('3월 단양 개인별 STAT'!N:N, '3월 단양 개인별 STAT'!$D:$D, $D107, '3월 단양 개인별 STAT'!$E:$E, $E107) + SUMIFS('4월 삼척 개인별 STAT'!N:N, '4월 삼척 개인별 STAT'!$D:$D, $D107, '4월 삼척 개인별 STAT'!$E:$E, $E107)</f>
        <v>24</v>
      </c>
      <c r="O107" s="20">
        <f>SUMIFS('3월 단양 개인별 STAT'!O:O, '3월 단양 개인별 STAT'!$D:$D, $D107, '3월 단양 개인별 STAT'!$E:$E, $E107) + SUMIFS('4월 삼척 개인별 STAT'!O:O, '4월 삼척 개인별 STAT'!$D:$D, $D107, '4월 삼척 개인별 STAT'!$E:$E, $E107)</f>
        <v>2</v>
      </c>
      <c r="P107" s="20">
        <f>SUMIFS('3월 단양 개인별 STAT'!P:P, '3월 단양 개인별 STAT'!$D:$D, $D107, '3월 단양 개인별 STAT'!$E:$E, $E107) + SUMIFS('4월 삼척 개인별 STAT'!P:P, '4월 삼척 개인별 STAT'!$D:$D, $D107, '4월 삼척 개인별 STAT'!$E:$E, $E107)</f>
        <v>45</v>
      </c>
      <c r="Q107" s="20">
        <f>SUMIFS('3월 단양 개인별 STAT'!Q:Q, '3월 단양 개인별 STAT'!$D:$D, $D107, '3월 단양 개인별 STAT'!$E:$E, $E107) + SUMIFS('4월 삼척 개인별 STAT'!Q:Q, '4월 삼척 개인별 STAT'!$D:$D, $D107, '4월 삼척 개인별 STAT'!$E:$E, $E107)</f>
        <v>26</v>
      </c>
      <c r="R107" s="35">
        <f t="shared" si="3"/>
        <v>95</v>
      </c>
      <c r="S107" s="34">
        <f t="shared" si="4"/>
        <v>-0.02</v>
      </c>
      <c r="T107" s="20">
        <f>SUMIFS('3월 단양 개인별 STAT'!T:T, '3월 단양 개인별 STAT'!$D:$D, $D107, '3월 단양 개인별 STAT'!$E:$E, $E107) + SUMIFS('4월 삼척 개인별 STAT'!T:T, '4월 삼척 개인별 STAT'!$D:$D, $D107, '4월 삼척 개인별 STAT'!$E:$E, $E107)</f>
        <v>3</v>
      </c>
      <c r="U107" s="20">
        <f>SUMIFS('3월 단양 개인별 STAT'!U:U, '3월 단양 개인별 STAT'!$D:$D, $D107, '3월 단양 개인별 STAT'!$E:$E, $E107) + SUMIFS('4월 삼척 개인별 STAT'!U:U, '4월 삼척 개인별 STAT'!$D:$D, $D107, '4월 삼척 개인별 STAT'!$E:$E, $E107)</f>
        <v>1</v>
      </c>
      <c r="V107" s="20">
        <f>SUMIFS('3월 단양 개인별 STAT'!V:V, '3월 단양 개인별 STAT'!$D:$D, $D107, '3월 단양 개인별 STAT'!$E:$E, $E107) + SUMIFS('4월 삼척 개인별 STAT'!V:V, '4월 삼척 개인별 STAT'!$D:$D, $D107, '4월 삼척 개인별 STAT'!$E:$E, $E107)</f>
        <v>4</v>
      </c>
      <c r="W107" s="20">
        <f>SUMIFS('3월 단양 개인별 STAT'!W:W, '3월 단양 개인별 STAT'!$D:$D, $D107, '3월 단양 개인별 STAT'!$E:$E, $E107) + SUMIFS('4월 삼척 개인별 STAT'!W:W, '4월 삼척 개인별 STAT'!$D:$D, $D107, '4월 삼척 개인별 STAT'!$E:$E, $E107)</f>
        <v>21</v>
      </c>
      <c r="X107" s="20">
        <f>SUMIFS('3월 단양 개인별 STAT'!X:X, '3월 단양 개인별 STAT'!$D:$D, $D107, '3월 단양 개인별 STAT'!$E:$E, $E107) + SUMIFS('4월 삼척 개인별 STAT'!X:X, '4월 삼척 개인별 STAT'!$D:$D, $D107, '4월 삼척 개인별 STAT'!$E:$E, $E107)</f>
        <v>4</v>
      </c>
      <c r="Y107" s="20">
        <f>SUMIFS('3월 단양 개인별 STAT'!Y:Y, '3월 단양 개인별 STAT'!$D:$D, $D107, '3월 단양 개인별 STAT'!$E:$E, $E107) + SUMIFS('4월 삼척 개인별 STAT'!Y:Y, '4월 삼척 개인별 STAT'!$D:$D, $D107, '4월 삼척 개인별 STAT'!$E:$E, $E107)</f>
        <v>11</v>
      </c>
      <c r="Z107" s="35">
        <f t="shared" si="5"/>
        <v>36</v>
      </c>
      <c r="AA107" s="20">
        <f>SUMIFS('3월 단양 개인별 STAT'!AA:AA, '3월 단양 개인별 STAT'!$D:$D, $D107, '3월 단양 개인별 STAT'!$E:$E, $E107) + SUMIFS('4월 삼척 개인별 STAT'!AA:AA, '4월 삼척 개인별 STAT'!$D:$D, $D107, '4월 삼척 개인별 STAT'!$E:$E, $E107)</f>
        <v>1</v>
      </c>
      <c r="AB107" s="35">
        <f t="shared" si="6"/>
        <v>31</v>
      </c>
      <c r="AC107" s="23">
        <f t="shared" si="7"/>
        <v>34</v>
      </c>
      <c r="AD107" s="35">
        <f t="shared" si="8"/>
        <v>9</v>
      </c>
      <c r="AE107" s="20">
        <f>SUMIFS('3월 단양 개인별 STAT'!AE:AE, '3월 단양 개인별 STAT'!$D:$D, $D107, '3월 단양 개인별 STAT'!$E:$E, $E107) + SUMIFS('4월 삼척 개인별 STAT'!AE:AE, '4월 삼척 개인별 STAT'!$D:$D, $D107, '4월 삼척 개인별 STAT'!$E:$E, $E107)</f>
        <v>7</v>
      </c>
      <c r="AF107" s="20">
        <f>SUMIFS('3월 단양 개인별 STAT'!AF:AF, '3월 단양 개인별 STAT'!$D:$D, $D107, '3월 단양 개인별 STAT'!$E:$E, $E107) + SUMIFS('4월 삼척 개인별 STAT'!AF:AF, '4월 삼척 개인별 STAT'!$D:$D, $D107, '4월 삼척 개인별 STAT'!$E:$E, $E107)</f>
        <v>2</v>
      </c>
      <c r="AG107" s="36">
        <f t="shared" si="9"/>
        <v>77.77777778</v>
      </c>
      <c r="AH107" s="20">
        <f>SUMIFS('3월 단양 개인별 STAT'!AH:AH, '3월 단양 개인별 STAT'!$D:$D, $D107, '3월 단양 개인별 STAT'!$E:$E, $E107) + SUMIFS('4월 삼척 개인별 STAT'!AH:AH, '4월 삼척 개인별 STAT'!$D:$D, $D107, '4월 삼척 개인별 STAT'!$E:$E, $E107)</f>
        <v>5</v>
      </c>
      <c r="AI107" s="34" t="str">
        <f t="shared" si="10"/>
        <v>0.33</v>
      </c>
      <c r="AJ107" s="25"/>
      <c r="AK107" s="14"/>
      <c r="AL107" s="27">
        <f t="shared" si="11"/>
        <v>1.6</v>
      </c>
      <c r="AM107" s="27">
        <f t="shared" si="30"/>
        <v>6.333333333</v>
      </c>
      <c r="AN107" s="28">
        <f t="shared" si="13"/>
        <v>0.2526315789</v>
      </c>
      <c r="AO107" s="27">
        <f t="shared" si="14"/>
        <v>0.2</v>
      </c>
      <c r="AP107" s="27">
        <f t="shared" si="15"/>
        <v>0.2666666667</v>
      </c>
      <c r="AQ107" s="27">
        <f t="shared" ref="AQ107:AR107" si="121">iferror(AB107/$M107,"-")</f>
        <v>2.066666667</v>
      </c>
      <c r="AR107" s="27">
        <f t="shared" si="121"/>
        <v>2.266666667</v>
      </c>
      <c r="AS107" s="29">
        <f t="shared" si="17"/>
        <v>0.1333333333</v>
      </c>
      <c r="AT107" s="29" t="str">
        <f t="shared" si="18"/>
        <v>0.33</v>
      </c>
      <c r="AU107" s="14"/>
      <c r="AV107" s="14"/>
      <c r="AW107" s="14"/>
      <c r="AX107" s="14"/>
    </row>
    <row r="108">
      <c r="B108" s="17">
        <v>105.0</v>
      </c>
      <c r="C108" s="18">
        <f t="shared" si="2"/>
        <v>3</v>
      </c>
      <c r="D108" s="19" t="s">
        <v>162</v>
      </c>
      <c r="E108" s="19" t="s">
        <v>165</v>
      </c>
      <c r="F108" s="31">
        <v>2.0</v>
      </c>
      <c r="G108" s="31" t="s">
        <v>52</v>
      </c>
      <c r="H108" s="31" t="s">
        <v>57</v>
      </c>
      <c r="I108" s="31">
        <v>175.0</v>
      </c>
      <c r="J108" s="31">
        <v>65.0</v>
      </c>
      <c r="K108" s="32">
        <v>4.0</v>
      </c>
      <c r="L108" s="20">
        <f>SUMIFS('3월 단양 개인별 STAT'!L:L, '3월 단양 개인별 STAT'!$D:$D, $D108, '3월 단양 개인별 STAT'!$E:$E, $E108) + SUMIFS('4월 삼척 개인별 STAT'!L:L, '4월 삼척 개인별 STAT'!$D:$D, $D108, '4월 삼척 개인별 STAT'!$E:$E, $E108)</f>
        <v>5</v>
      </c>
      <c r="M108" s="20">
        <f>SUMIFS('3월 단양 개인별 STAT'!M:M, '3월 단양 개인별 STAT'!$D:$D, $D108, '3월 단양 개인별 STAT'!$E:$E, $E108) + SUMIFS('4월 삼척 개인별 STAT'!M:M, '4월 삼척 개인별 STAT'!$D:$D, $D108, '4월 삼척 개인별 STAT'!$E:$E, $E108)</f>
        <v>15</v>
      </c>
      <c r="N108" s="20">
        <f>SUMIFS('3월 단양 개인별 STAT'!N:N, '3월 단양 개인별 STAT'!$D:$D, $D108, '3월 단양 개인별 STAT'!$E:$E, $E108) + SUMIFS('4월 삼척 개인별 STAT'!N:N, '4월 삼척 개인별 STAT'!$D:$D, $D108, '4월 삼척 개인별 STAT'!$E:$E, $E108)</f>
        <v>22</v>
      </c>
      <c r="O108" s="20">
        <f>SUMIFS('3월 단양 개인별 STAT'!O:O, '3월 단양 개인별 STAT'!$D:$D, $D108, '3월 단양 개인별 STAT'!$E:$E, $E108) + SUMIFS('4월 삼척 개인별 STAT'!O:O, '4월 삼척 개인별 STAT'!$D:$D, $D108, '4월 삼척 개인별 STAT'!$E:$E, $E108)</f>
        <v>0</v>
      </c>
      <c r="P108" s="20">
        <f>SUMIFS('3월 단양 개인별 STAT'!P:P, '3월 단양 개인별 STAT'!$D:$D, $D108, '3월 단양 개인별 STAT'!$E:$E, $E108) + SUMIFS('4월 삼척 개인별 STAT'!P:P, '4월 삼척 개인별 STAT'!$D:$D, $D108, '4월 삼척 개인별 STAT'!$E:$E, $E108)</f>
        <v>49</v>
      </c>
      <c r="Q108" s="20">
        <f>SUMIFS('3월 단양 개인별 STAT'!Q:Q, '3월 단양 개인별 STAT'!$D:$D, $D108, '3월 단양 개인별 STAT'!$E:$E, $E108) + SUMIFS('4월 삼척 개인별 STAT'!Q:Q, '4월 삼척 개인별 STAT'!$D:$D, $D108, '4월 삼척 개인별 STAT'!$E:$E, $E108)</f>
        <v>26</v>
      </c>
      <c r="R108" s="35">
        <f t="shared" si="3"/>
        <v>97</v>
      </c>
      <c r="S108" s="34">
        <f t="shared" si="4"/>
        <v>-0.04</v>
      </c>
      <c r="T108" s="20">
        <f>SUMIFS('3월 단양 개인별 STAT'!T:T, '3월 단양 개인별 STAT'!$D:$D, $D108, '3월 단양 개인별 STAT'!$E:$E, $E108) + SUMIFS('4월 삼척 개인별 STAT'!T:T, '4월 삼척 개인별 STAT'!$D:$D, $D108, '4월 삼척 개인별 STAT'!$E:$E, $E108)</f>
        <v>2</v>
      </c>
      <c r="U108" s="20">
        <f>SUMIFS('3월 단양 개인별 STAT'!U:U, '3월 단양 개인별 STAT'!$D:$D, $D108, '3월 단양 개인별 STAT'!$E:$E, $E108) + SUMIFS('4월 삼척 개인별 STAT'!U:U, '4월 삼척 개인별 STAT'!$D:$D, $D108, '4월 삼척 개인별 STAT'!$E:$E, $E108)</f>
        <v>0</v>
      </c>
      <c r="V108" s="20">
        <f>SUMIFS('3월 단양 개인별 STAT'!V:V, '3월 단양 개인별 STAT'!$D:$D, $D108, '3월 단양 개인별 STAT'!$E:$E, $E108) + SUMIFS('4월 삼척 개인별 STAT'!V:V, '4월 삼척 개인별 STAT'!$D:$D, $D108, '4월 삼척 개인별 STAT'!$E:$E, $E108)</f>
        <v>0</v>
      </c>
      <c r="W108" s="20">
        <f>SUMIFS('3월 단양 개인별 STAT'!W:W, '3월 단양 개인별 STAT'!$D:$D, $D108, '3월 단양 개인별 STAT'!$E:$E, $E108) + SUMIFS('4월 삼척 개인별 STAT'!W:W, '4월 삼척 개인별 STAT'!$D:$D, $D108, '4월 삼척 개인별 STAT'!$E:$E, $E108)</f>
        <v>20</v>
      </c>
      <c r="X108" s="20">
        <f>SUMIFS('3월 단양 개인별 STAT'!X:X, '3월 단양 개인별 STAT'!$D:$D, $D108, '3월 단양 개인별 STAT'!$E:$E, $E108) + SUMIFS('4월 삼척 개인별 STAT'!X:X, '4월 삼척 개인별 STAT'!$D:$D, $D108, '4월 삼척 개인별 STAT'!$E:$E, $E108)</f>
        <v>2</v>
      </c>
      <c r="Y108" s="20">
        <f>SUMIFS('3월 단양 개인별 STAT'!Y:Y, '3월 단양 개인별 STAT'!$D:$D, $D108, '3월 단양 개인별 STAT'!$E:$E, $E108) + SUMIFS('4월 삼척 개인별 STAT'!Y:Y, '4월 삼척 개인별 STAT'!$D:$D, $D108, '4월 삼척 개인별 STAT'!$E:$E, $E108)</f>
        <v>9</v>
      </c>
      <c r="Z108" s="35">
        <f t="shared" si="5"/>
        <v>31</v>
      </c>
      <c r="AA108" s="20">
        <f>SUMIFS('3월 단양 개인별 STAT'!AA:AA, '3월 단양 개인별 STAT'!$D:$D, $D108, '3월 단양 개인별 STAT'!$E:$E, $E108) + SUMIFS('4월 삼척 개인별 STAT'!AA:AA, '4월 삼척 개인별 STAT'!$D:$D, $D108, '4월 삼척 개인별 STAT'!$E:$E, $E108)</f>
        <v>0</v>
      </c>
      <c r="AB108" s="35">
        <f t="shared" si="6"/>
        <v>26</v>
      </c>
      <c r="AC108" s="23">
        <f t="shared" si="7"/>
        <v>26</v>
      </c>
      <c r="AD108" s="35">
        <f t="shared" si="8"/>
        <v>59</v>
      </c>
      <c r="AE108" s="20">
        <f>SUMIFS('3월 단양 개인별 STAT'!AE:AE, '3월 단양 개인별 STAT'!$D:$D, $D108, '3월 단양 개인별 STAT'!$E:$E, $E108) + SUMIFS('4월 삼척 개인별 STAT'!AE:AE, '4월 삼척 개인별 STAT'!$D:$D, $D108, '4월 삼척 개인별 STAT'!$E:$E, $E108)</f>
        <v>50</v>
      </c>
      <c r="AF108" s="20">
        <f>SUMIFS('3월 단양 개인별 STAT'!AF:AF, '3월 단양 개인별 STAT'!$D:$D, $D108, '3월 단양 개인별 STAT'!$E:$E, $E108) + SUMIFS('4월 삼척 개인별 STAT'!AF:AF, '4월 삼척 개인별 STAT'!$D:$D, $D108, '4월 삼척 개인별 STAT'!$E:$E, $E108)</f>
        <v>9</v>
      </c>
      <c r="AG108" s="36">
        <f t="shared" si="9"/>
        <v>84.74576271</v>
      </c>
      <c r="AH108" s="20">
        <f>SUMIFS('3월 단양 개인별 STAT'!AH:AH, '3월 단양 개인별 STAT'!$D:$D, $D108, '3월 단양 개인별 STAT'!$E:$E, $E108) + SUMIFS('4월 삼척 개인별 STAT'!AH:AH, '4월 삼척 개인별 STAT'!$D:$D, $D108, '4월 삼척 개인별 STAT'!$E:$E, $E108)</f>
        <v>12</v>
      </c>
      <c r="AI108" s="34" t="str">
        <f t="shared" si="10"/>
        <v>0.80</v>
      </c>
      <c r="AJ108" s="25"/>
      <c r="AK108" s="14"/>
      <c r="AL108" s="27">
        <f t="shared" si="11"/>
        <v>1.466666667</v>
      </c>
      <c r="AM108" s="27">
        <f t="shared" si="30"/>
        <v>6.466666667</v>
      </c>
      <c r="AN108" s="28">
        <f t="shared" si="13"/>
        <v>0.2268041237</v>
      </c>
      <c r="AO108" s="27">
        <f t="shared" si="14"/>
        <v>0.1333333333</v>
      </c>
      <c r="AP108" s="27">
        <f t="shared" si="15"/>
        <v>0.1333333333</v>
      </c>
      <c r="AQ108" s="27">
        <f t="shared" ref="AQ108:AR108" si="122">iferror(AB108/$M108,"-")</f>
        <v>1.733333333</v>
      </c>
      <c r="AR108" s="27">
        <f t="shared" si="122"/>
        <v>1.733333333</v>
      </c>
      <c r="AS108" s="29">
        <f t="shared" si="17"/>
        <v>0.6</v>
      </c>
      <c r="AT108" s="29" t="str">
        <f t="shared" si="18"/>
        <v>0.80</v>
      </c>
      <c r="AU108" s="14"/>
      <c r="AV108" s="14"/>
      <c r="AW108" s="14"/>
      <c r="AX108" s="14"/>
    </row>
    <row r="109">
      <c r="B109" s="17">
        <v>106.0</v>
      </c>
      <c r="C109" s="18">
        <f t="shared" si="2"/>
        <v>4</v>
      </c>
      <c r="D109" s="19" t="s">
        <v>162</v>
      </c>
      <c r="E109" s="19" t="s">
        <v>166</v>
      </c>
      <c r="F109" s="31">
        <v>2.0</v>
      </c>
      <c r="G109" s="31" t="s">
        <v>52</v>
      </c>
      <c r="H109" s="31" t="s">
        <v>50</v>
      </c>
      <c r="I109" s="31">
        <v>168.0</v>
      </c>
      <c r="J109" s="31">
        <v>50.0</v>
      </c>
      <c r="K109" s="32">
        <v>5.0</v>
      </c>
      <c r="L109" s="20">
        <f>SUMIFS('3월 단양 개인별 STAT'!L:L, '3월 단양 개인별 STAT'!$D:$D, $D109, '3월 단양 개인별 STAT'!$E:$E, $E109) + SUMIFS('4월 삼척 개인별 STAT'!L:L, '4월 삼척 개인별 STAT'!$D:$D, $D109, '4월 삼척 개인별 STAT'!$E:$E, $E109)</f>
        <v>5</v>
      </c>
      <c r="M109" s="20">
        <f>SUMIFS('3월 단양 개인별 STAT'!M:M, '3월 단양 개인별 STAT'!$D:$D, $D109, '3월 단양 개인별 STAT'!$E:$E, $E109) + SUMIFS('4월 삼척 개인별 STAT'!M:M, '4월 삼척 개인별 STAT'!$D:$D, $D109, '4월 삼척 개인별 STAT'!$E:$E, $E109)</f>
        <v>15</v>
      </c>
      <c r="N109" s="20">
        <f>SUMIFS('3월 단양 개인별 STAT'!N:N, '3월 단양 개인별 STAT'!$D:$D, $D109, '3월 단양 개인별 STAT'!$E:$E, $E109) + SUMIFS('4월 삼척 개인별 STAT'!N:N, '4월 삼척 개인별 STAT'!$D:$D, $D109, '4월 삼척 개인별 STAT'!$E:$E, $E109)</f>
        <v>1</v>
      </c>
      <c r="O109" s="20">
        <f>SUMIFS('3월 단양 개인별 STAT'!O:O, '3월 단양 개인별 STAT'!$D:$D, $D109, '3월 단양 개인별 STAT'!$E:$E, $E109) + SUMIFS('4월 삼척 개인별 STAT'!O:O, '4월 삼척 개인별 STAT'!$D:$D, $D109, '4월 삼척 개인별 STAT'!$E:$E, $E109)</f>
        <v>3</v>
      </c>
      <c r="P109" s="20">
        <f>SUMIFS('3월 단양 개인별 STAT'!P:P, '3월 단양 개인별 STAT'!$D:$D, $D109, '3월 단양 개인별 STAT'!$E:$E, $E109) + SUMIFS('4월 삼척 개인별 STAT'!P:P, '4월 삼척 개인별 STAT'!$D:$D, $D109, '4월 삼척 개인별 STAT'!$E:$E, $E109)</f>
        <v>1</v>
      </c>
      <c r="Q109" s="20">
        <f>SUMIFS('3월 단양 개인별 STAT'!Q:Q, '3월 단양 개인별 STAT'!$D:$D, $D109, '3월 단양 개인별 STAT'!$E:$E, $E109) + SUMIFS('4월 삼척 개인별 STAT'!Q:Q, '4월 삼척 개인별 STAT'!$D:$D, $D109, '4월 삼척 개인별 STAT'!$E:$E, $E109)</f>
        <v>2</v>
      </c>
      <c r="R109" s="35">
        <f t="shared" si="3"/>
        <v>4</v>
      </c>
      <c r="S109" s="34">
        <f t="shared" si="4"/>
        <v>-0.25</v>
      </c>
      <c r="T109" s="20">
        <f>SUMIFS('3월 단양 개인별 STAT'!T:T, '3월 단양 개인별 STAT'!$D:$D, $D109, '3월 단양 개인별 STAT'!$E:$E, $E109) + SUMIFS('4월 삼척 개인별 STAT'!T:T, '4월 삼척 개인별 STAT'!$D:$D, $D109, '4월 삼척 개인별 STAT'!$E:$E, $E109)</f>
        <v>1</v>
      </c>
      <c r="U109" s="20">
        <f>SUMIFS('3월 단양 개인별 STAT'!U:U, '3월 단양 개인별 STAT'!$D:$D, $D109, '3월 단양 개인별 STAT'!$E:$E, $E109) + SUMIFS('4월 삼척 개인별 STAT'!U:U, '4월 삼척 개인별 STAT'!$D:$D, $D109, '4월 삼척 개인별 STAT'!$E:$E, $E109)</f>
        <v>0</v>
      </c>
      <c r="V109" s="20">
        <f>SUMIFS('3월 단양 개인별 STAT'!V:V, '3월 단양 개인별 STAT'!$D:$D, $D109, '3월 단양 개인별 STAT'!$E:$E, $E109) + SUMIFS('4월 삼척 개인별 STAT'!V:V, '4월 삼척 개인별 STAT'!$D:$D, $D109, '4월 삼척 개인별 STAT'!$E:$E, $E109)</f>
        <v>2</v>
      </c>
      <c r="W109" s="20">
        <f>SUMIFS('3월 단양 개인별 STAT'!W:W, '3월 단양 개인별 STAT'!$D:$D, $D109, '3월 단양 개인별 STAT'!$E:$E, $E109) + SUMIFS('4월 삼척 개인별 STAT'!W:W, '4월 삼척 개인별 STAT'!$D:$D, $D109, '4월 삼척 개인별 STAT'!$E:$E, $E109)</f>
        <v>20</v>
      </c>
      <c r="X109" s="20">
        <f>SUMIFS('3월 단양 개인별 STAT'!X:X, '3월 단양 개인별 STAT'!$D:$D, $D109, '3월 단양 개인별 STAT'!$E:$E, $E109) + SUMIFS('4월 삼척 개인별 STAT'!X:X, '4월 삼척 개인별 STAT'!$D:$D, $D109, '4월 삼척 개인별 STAT'!$E:$E, $E109)</f>
        <v>1</v>
      </c>
      <c r="Y109" s="20">
        <f>SUMIFS('3월 단양 개인별 STAT'!Y:Y, '3월 단양 개인별 STAT'!$D:$D, $D109, '3월 단양 개인별 STAT'!$E:$E, $E109) + SUMIFS('4월 삼척 개인별 STAT'!Y:Y, '4월 삼척 개인별 STAT'!$D:$D, $D109, '4월 삼척 개인별 STAT'!$E:$E, $E109)</f>
        <v>2</v>
      </c>
      <c r="Z109" s="35">
        <f t="shared" si="5"/>
        <v>23</v>
      </c>
      <c r="AA109" s="20">
        <f>SUMIFS('3월 단양 개인별 STAT'!AA:AA, '3월 단양 개인별 STAT'!$D:$D, $D109, '3월 단양 개인별 STAT'!$E:$E, $E109) + SUMIFS('4월 삼척 개인별 STAT'!AA:AA, '4월 삼척 개인별 STAT'!$D:$D, $D109, '4월 삼척 개인별 STAT'!$E:$E, $E109)</f>
        <v>4</v>
      </c>
      <c r="AB109" s="35">
        <f t="shared" si="6"/>
        <v>3</v>
      </c>
      <c r="AC109" s="23">
        <f t="shared" si="7"/>
        <v>4.5</v>
      </c>
      <c r="AD109" s="35">
        <f t="shared" si="8"/>
        <v>81</v>
      </c>
      <c r="AE109" s="20">
        <f>SUMIFS('3월 단양 개인별 STAT'!AE:AE, '3월 단양 개인별 STAT'!$D:$D, $D109, '3월 단양 개인별 STAT'!$E:$E, $E109) + SUMIFS('4월 삼척 개인별 STAT'!AE:AE, '4월 삼척 개인별 STAT'!$D:$D, $D109, '4월 삼척 개인별 STAT'!$E:$E, $E109)</f>
        <v>67</v>
      </c>
      <c r="AF109" s="20">
        <f>SUMIFS('3월 단양 개인별 STAT'!AF:AF, '3월 단양 개인별 STAT'!$D:$D, $D109, '3월 단양 개인별 STAT'!$E:$E, $E109) + SUMIFS('4월 삼척 개인별 STAT'!AF:AF, '4월 삼척 개인별 STAT'!$D:$D, $D109, '4월 삼척 개인별 STAT'!$E:$E, $E109)</f>
        <v>14</v>
      </c>
      <c r="AG109" s="36">
        <f t="shared" si="9"/>
        <v>82.71604938</v>
      </c>
      <c r="AH109" s="20">
        <f>SUMIFS('3월 단양 개인별 STAT'!AH:AH, '3월 단양 개인별 STAT'!$D:$D, $D109, '3월 단양 개인별 STAT'!$E:$E, $E109) + SUMIFS('4월 삼척 개인별 STAT'!AH:AH, '4월 삼척 개인별 STAT'!$D:$D, $D109, '4월 삼척 개인별 STAT'!$E:$E, $E109)</f>
        <v>29</v>
      </c>
      <c r="AI109" s="34" t="str">
        <f t="shared" si="10"/>
        <v>1.93</v>
      </c>
      <c r="AJ109" s="25"/>
      <c r="AK109" s="14"/>
      <c r="AL109" s="27">
        <f t="shared" si="11"/>
        <v>0.06666666667</v>
      </c>
      <c r="AM109" s="27">
        <f t="shared" si="30"/>
        <v>0.2666666667</v>
      </c>
      <c r="AN109" s="28">
        <f t="shared" si="13"/>
        <v>0.25</v>
      </c>
      <c r="AO109" s="27">
        <f t="shared" si="14"/>
        <v>0.06666666667</v>
      </c>
      <c r="AP109" s="27">
        <f t="shared" si="15"/>
        <v>0.06666666667</v>
      </c>
      <c r="AQ109" s="27">
        <f t="shared" ref="AQ109:AR109" si="123">iferror(AB109/$M109,"-")</f>
        <v>0.2</v>
      </c>
      <c r="AR109" s="27">
        <f t="shared" si="123"/>
        <v>0.3</v>
      </c>
      <c r="AS109" s="29">
        <f t="shared" si="17"/>
        <v>0.9333333333</v>
      </c>
      <c r="AT109" s="29" t="str">
        <f t="shared" si="18"/>
        <v>1.93</v>
      </c>
      <c r="AU109" s="14"/>
      <c r="AV109" s="14"/>
      <c r="AW109" s="14"/>
      <c r="AX109" s="14"/>
    </row>
    <row r="110">
      <c r="B110" s="17">
        <v>107.0</v>
      </c>
      <c r="C110" s="18">
        <f t="shared" si="2"/>
        <v>5</v>
      </c>
      <c r="D110" s="19" t="s">
        <v>162</v>
      </c>
      <c r="E110" s="19" t="s">
        <v>167</v>
      </c>
      <c r="F110" s="31">
        <v>3.0</v>
      </c>
      <c r="G110" s="31" t="s">
        <v>50</v>
      </c>
      <c r="H110" s="31" t="s">
        <v>52</v>
      </c>
      <c r="I110" s="31">
        <v>165.0</v>
      </c>
      <c r="J110" s="31">
        <v>55.0</v>
      </c>
      <c r="K110" s="32">
        <v>7.0</v>
      </c>
      <c r="L110" s="20">
        <f>SUMIFS('3월 단양 개인별 STAT'!L:L, '3월 단양 개인별 STAT'!$D:$D, $D110, '3월 단양 개인별 STAT'!$E:$E, $E110) + SUMIFS('4월 삼척 개인별 STAT'!L:L, '4월 삼척 개인별 STAT'!$D:$D, $D110, '4월 삼척 개인별 STAT'!$E:$E, $E110)</f>
        <v>5</v>
      </c>
      <c r="M110" s="20">
        <f>SUMIFS('3월 단양 개인별 STAT'!M:M, '3월 단양 개인별 STAT'!$D:$D, $D110, '3월 단양 개인별 STAT'!$E:$E, $E110) + SUMIFS('4월 삼척 개인별 STAT'!M:M, '4월 삼척 개인별 STAT'!$D:$D, $D110, '4월 삼척 개인별 STAT'!$E:$E, $E110)</f>
        <v>15</v>
      </c>
      <c r="N110" s="20">
        <f>SUMIFS('3월 단양 개인별 STAT'!N:N, '3월 단양 개인별 STAT'!$D:$D, $D110, '3월 단양 개인별 STAT'!$E:$E, $E110) + SUMIFS('4월 삼척 개인별 STAT'!N:N, '4월 삼척 개인별 STAT'!$D:$D, $D110, '4월 삼척 개인별 STAT'!$E:$E, $E110)</f>
        <v>0</v>
      </c>
      <c r="O110" s="20">
        <f>SUMIFS('3월 단양 개인별 STAT'!O:O, '3월 단양 개인별 STAT'!$D:$D, $D110, '3월 단양 개인별 STAT'!$E:$E, $E110) + SUMIFS('4월 삼척 개인별 STAT'!O:O, '4월 삼척 개인별 STAT'!$D:$D, $D110, '4월 삼척 개인별 STAT'!$E:$E, $E110)</f>
        <v>2</v>
      </c>
      <c r="P110" s="20">
        <f>SUMIFS('3월 단양 개인별 STAT'!P:P, '3월 단양 개인별 STAT'!$D:$D, $D110, '3월 단양 개인별 STAT'!$E:$E, $E110) + SUMIFS('4월 삼척 개인별 STAT'!P:P, '4월 삼척 개인별 STAT'!$D:$D, $D110, '4월 삼척 개인별 STAT'!$E:$E, $E110)</f>
        <v>0</v>
      </c>
      <c r="Q110" s="20">
        <f>SUMIFS('3월 단양 개인별 STAT'!Q:Q, '3월 단양 개인별 STAT'!$D:$D, $D110, '3월 단양 개인별 STAT'!$E:$E, $E110) + SUMIFS('4월 삼척 개인별 STAT'!Q:Q, '4월 삼척 개인별 STAT'!$D:$D, $D110, '4월 삼척 개인별 STAT'!$E:$E, $E110)</f>
        <v>0</v>
      </c>
      <c r="R110" s="33" t="str">
        <f t="shared" si="3"/>
        <v>-</v>
      </c>
      <c r="S110" s="34" t="str">
        <f t="shared" si="4"/>
        <v>-</v>
      </c>
      <c r="T110" s="20">
        <f>SUMIFS('3월 단양 개인별 STAT'!T:T, '3월 단양 개인별 STAT'!$D:$D, $D110, '3월 단양 개인별 STAT'!$E:$E, $E110) + SUMIFS('4월 삼척 개인별 STAT'!T:T, '4월 삼척 개인별 STAT'!$D:$D, $D110, '4월 삼척 개인별 STAT'!$E:$E, $E110)</f>
        <v>0</v>
      </c>
      <c r="U110" s="20">
        <f>SUMIFS('3월 단양 개인별 STAT'!U:U, '3월 단양 개인별 STAT'!$D:$D, $D110, '3월 단양 개인별 STAT'!$E:$E, $E110) + SUMIFS('4월 삼척 개인별 STAT'!U:U, '4월 삼척 개인별 STAT'!$D:$D, $D110, '4월 삼척 개인별 STAT'!$E:$E, $E110)</f>
        <v>0</v>
      </c>
      <c r="V110" s="20">
        <f>SUMIFS('3월 단양 개인별 STAT'!V:V, '3월 단양 개인별 STAT'!$D:$D, $D110, '3월 단양 개인별 STAT'!$E:$E, $E110) + SUMIFS('4월 삼척 개인별 STAT'!V:V, '4월 삼척 개인별 STAT'!$D:$D, $D110, '4월 삼척 개인별 STAT'!$E:$E, $E110)</f>
        <v>0</v>
      </c>
      <c r="W110" s="20">
        <f>SUMIFS('3월 단양 개인별 STAT'!W:W, '3월 단양 개인별 STAT'!$D:$D, $D110, '3월 단양 개인별 STAT'!$E:$E, $E110) + SUMIFS('4월 삼척 개인별 STAT'!W:W, '4월 삼척 개인별 STAT'!$D:$D, $D110, '4월 삼척 개인별 STAT'!$E:$E, $E110)</f>
        <v>3</v>
      </c>
      <c r="X110" s="20">
        <f>SUMIFS('3월 단양 개인별 STAT'!X:X, '3월 단양 개인별 STAT'!$D:$D, $D110, '3월 단양 개인별 STAT'!$E:$E, $E110) + SUMIFS('4월 삼척 개인별 STAT'!X:X, '4월 삼척 개인별 STAT'!$D:$D, $D110, '4월 삼척 개인별 STAT'!$E:$E, $E110)</f>
        <v>0</v>
      </c>
      <c r="Y110" s="20">
        <f>SUMIFS('3월 단양 개인별 STAT'!Y:Y, '3월 단양 개인별 STAT'!$D:$D, $D110, '3월 단양 개인별 STAT'!$E:$E, $E110) + SUMIFS('4월 삼척 개인별 STAT'!Y:Y, '4월 삼척 개인별 STAT'!$D:$D, $D110, '4월 삼척 개인별 STAT'!$E:$E, $E110)</f>
        <v>0</v>
      </c>
      <c r="Z110" s="35">
        <f t="shared" si="5"/>
        <v>3</v>
      </c>
      <c r="AA110" s="20">
        <f>SUMIFS('3월 단양 개인별 STAT'!AA:AA, '3월 단양 개인별 STAT'!$D:$D, $D110, '3월 단양 개인별 STAT'!$E:$E, $E110) + SUMIFS('4월 삼척 개인별 STAT'!AA:AA, '4월 삼척 개인별 STAT'!$D:$D, $D110, '4월 삼척 개인별 STAT'!$E:$E, $E110)</f>
        <v>0</v>
      </c>
      <c r="AB110" s="33" t="str">
        <f t="shared" si="6"/>
        <v>-</v>
      </c>
      <c r="AC110" s="23">
        <f t="shared" si="7"/>
        <v>0</v>
      </c>
      <c r="AD110" s="35">
        <f t="shared" si="8"/>
        <v>107</v>
      </c>
      <c r="AE110" s="20">
        <f>SUMIFS('3월 단양 개인별 STAT'!AE:AE, '3월 단양 개인별 STAT'!$D:$D, $D110, '3월 단양 개인별 STAT'!$E:$E, $E110) + SUMIFS('4월 삼척 개인별 STAT'!AE:AE, '4월 삼척 개인별 STAT'!$D:$D, $D110, '4월 삼척 개인별 STAT'!$E:$E, $E110)</f>
        <v>92</v>
      </c>
      <c r="AF110" s="20">
        <f>SUMIFS('3월 단양 개인별 STAT'!AF:AF, '3월 단양 개인별 STAT'!$D:$D, $D110, '3월 단양 개인별 STAT'!$E:$E, $E110) + SUMIFS('4월 삼척 개인별 STAT'!AF:AF, '4월 삼척 개인별 STAT'!$D:$D, $D110, '4월 삼척 개인별 STAT'!$E:$E, $E110)</f>
        <v>15</v>
      </c>
      <c r="AG110" s="36">
        <f t="shared" si="9"/>
        <v>85.98130841</v>
      </c>
      <c r="AH110" s="20">
        <f>SUMIFS('3월 단양 개인별 STAT'!AH:AH, '3월 단양 개인별 STAT'!$D:$D, $D110, '3월 단양 개인별 STAT'!$E:$E, $E110) + SUMIFS('4월 삼척 개인별 STAT'!AH:AH, '4월 삼척 개인별 STAT'!$D:$D, $D110, '4월 삼척 개인별 STAT'!$E:$E, $E110)</f>
        <v>19</v>
      </c>
      <c r="AI110" s="34" t="str">
        <f t="shared" si="10"/>
        <v>1.27</v>
      </c>
      <c r="AJ110" s="25"/>
      <c r="AK110" s="14"/>
      <c r="AL110" s="27">
        <f t="shared" si="11"/>
        <v>0</v>
      </c>
      <c r="AM110" s="27" t="str">
        <f t="shared" si="30"/>
        <v>-</v>
      </c>
      <c r="AN110" s="28" t="str">
        <f t="shared" si="13"/>
        <v>-</v>
      </c>
      <c r="AO110" s="27">
        <f t="shared" si="14"/>
        <v>0</v>
      </c>
      <c r="AP110" s="27">
        <f t="shared" si="15"/>
        <v>0</v>
      </c>
      <c r="AQ110" s="27" t="str">
        <f t="shared" ref="AQ110:AR110" si="124">iferror(AB110/$M110,"-")</f>
        <v>-</v>
      </c>
      <c r="AR110" s="27">
        <f t="shared" si="124"/>
        <v>0</v>
      </c>
      <c r="AS110" s="29">
        <f t="shared" si="17"/>
        <v>1</v>
      </c>
      <c r="AT110" s="29" t="str">
        <f t="shared" si="18"/>
        <v>1.27</v>
      </c>
      <c r="AU110" s="14"/>
      <c r="AV110" s="14"/>
      <c r="AW110" s="14"/>
      <c r="AX110" s="14"/>
    </row>
    <row r="111">
      <c r="B111" s="17">
        <v>108.0</v>
      </c>
      <c r="C111" s="18">
        <f t="shared" si="2"/>
        <v>6</v>
      </c>
      <c r="D111" s="19" t="s">
        <v>162</v>
      </c>
      <c r="E111" s="19" t="s">
        <v>168</v>
      </c>
      <c r="F111" s="31">
        <v>3.0</v>
      </c>
      <c r="G111" s="31" t="s">
        <v>50</v>
      </c>
      <c r="H111" s="31" t="s">
        <v>52</v>
      </c>
      <c r="I111" s="31">
        <v>166.0</v>
      </c>
      <c r="J111" s="31">
        <v>60.0</v>
      </c>
      <c r="K111" s="32">
        <v>8.0</v>
      </c>
      <c r="L111" s="20">
        <f>SUMIFS('3월 단양 개인별 STAT'!L:L, '3월 단양 개인별 STAT'!$D:$D, $D111, '3월 단양 개인별 STAT'!$E:$E, $E111) + SUMIFS('4월 삼척 개인별 STAT'!L:L, '4월 삼척 개인별 STAT'!$D:$D, $D111, '4월 삼척 개인별 STAT'!$E:$E, $E111)</f>
        <v>0</v>
      </c>
      <c r="M111" s="20">
        <f>SUMIFS('3월 단양 개인별 STAT'!M:M, '3월 단양 개인별 STAT'!$D:$D, $D111, '3월 단양 개인별 STAT'!$E:$E, $E111) + SUMIFS('4월 삼척 개인별 STAT'!M:M, '4월 삼척 개인별 STAT'!$D:$D, $D111, '4월 삼척 개인별 STAT'!$E:$E, $E111)</f>
        <v>0</v>
      </c>
      <c r="N111" s="20">
        <f>SUMIFS('3월 단양 개인별 STAT'!N:N, '3월 단양 개인별 STAT'!$D:$D, $D111, '3월 단양 개인별 STAT'!$E:$E, $E111) + SUMIFS('4월 삼척 개인별 STAT'!N:N, '4월 삼척 개인별 STAT'!$D:$D, $D111, '4월 삼척 개인별 STAT'!$E:$E, $E111)</f>
        <v>0</v>
      </c>
      <c r="O111" s="20">
        <f>SUMIFS('3월 단양 개인별 STAT'!O:O, '3월 단양 개인별 STAT'!$D:$D, $D111, '3월 단양 개인별 STAT'!$E:$E, $E111) + SUMIFS('4월 삼척 개인별 STAT'!O:O, '4월 삼척 개인별 STAT'!$D:$D, $D111, '4월 삼척 개인별 STAT'!$E:$E, $E111)</f>
        <v>0</v>
      </c>
      <c r="P111" s="20">
        <f>SUMIFS('3월 단양 개인별 STAT'!P:P, '3월 단양 개인별 STAT'!$D:$D, $D111, '3월 단양 개인별 STAT'!$E:$E, $E111) + SUMIFS('4월 삼척 개인별 STAT'!P:P, '4월 삼척 개인별 STAT'!$D:$D, $D111, '4월 삼척 개인별 STAT'!$E:$E, $E111)</f>
        <v>0</v>
      </c>
      <c r="Q111" s="20">
        <f>SUMIFS('3월 단양 개인별 STAT'!Q:Q, '3월 단양 개인별 STAT'!$D:$D, $D111, '3월 단양 개인별 STAT'!$E:$E, $E111) + SUMIFS('4월 삼척 개인별 STAT'!Q:Q, '4월 삼척 개인별 STAT'!$D:$D, $D111, '4월 삼척 개인별 STAT'!$E:$E, $E111)</f>
        <v>0</v>
      </c>
      <c r="R111" s="33" t="str">
        <f t="shared" si="3"/>
        <v>-</v>
      </c>
      <c r="S111" s="34" t="str">
        <f t="shared" si="4"/>
        <v>-</v>
      </c>
      <c r="T111" s="20">
        <f>SUMIFS('3월 단양 개인별 STAT'!T:T, '3월 단양 개인별 STAT'!$D:$D, $D111, '3월 단양 개인별 STAT'!$E:$E, $E111) + SUMIFS('4월 삼척 개인별 STAT'!T:T, '4월 삼척 개인별 STAT'!$D:$D, $D111, '4월 삼척 개인별 STAT'!$E:$E, $E111)</f>
        <v>0</v>
      </c>
      <c r="U111" s="20">
        <f>SUMIFS('3월 단양 개인별 STAT'!U:U, '3월 단양 개인별 STAT'!$D:$D, $D111, '3월 단양 개인별 STAT'!$E:$E, $E111) + SUMIFS('4월 삼척 개인별 STAT'!U:U, '4월 삼척 개인별 STAT'!$D:$D, $D111, '4월 삼척 개인별 STAT'!$E:$E, $E111)</f>
        <v>0</v>
      </c>
      <c r="V111" s="20">
        <f>SUMIFS('3월 단양 개인별 STAT'!V:V, '3월 단양 개인별 STAT'!$D:$D, $D111, '3월 단양 개인별 STAT'!$E:$E, $E111) + SUMIFS('4월 삼척 개인별 STAT'!V:V, '4월 삼척 개인별 STAT'!$D:$D, $D111, '4월 삼척 개인별 STAT'!$E:$E, $E111)</f>
        <v>0</v>
      </c>
      <c r="W111" s="20">
        <f>SUMIFS('3월 단양 개인별 STAT'!W:W, '3월 단양 개인별 STAT'!$D:$D, $D111, '3월 단양 개인별 STAT'!$E:$E, $E111) + SUMIFS('4월 삼척 개인별 STAT'!W:W, '4월 삼척 개인별 STAT'!$D:$D, $D111, '4월 삼척 개인별 STAT'!$E:$E, $E111)</f>
        <v>0</v>
      </c>
      <c r="X111" s="20">
        <f>SUMIFS('3월 단양 개인별 STAT'!X:X, '3월 단양 개인별 STAT'!$D:$D, $D111, '3월 단양 개인별 STAT'!$E:$E, $E111) + SUMIFS('4월 삼척 개인별 STAT'!X:X, '4월 삼척 개인별 STAT'!$D:$D, $D111, '4월 삼척 개인별 STAT'!$E:$E, $E111)</f>
        <v>0</v>
      </c>
      <c r="Y111" s="20">
        <f>SUMIFS('3월 단양 개인별 STAT'!Y:Y, '3월 단양 개인별 STAT'!$D:$D, $D111, '3월 단양 개인별 STAT'!$E:$E, $E111) + SUMIFS('4월 삼척 개인별 STAT'!Y:Y, '4월 삼척 개인별 STAT'!$D:$D, $D111, '4월 삼척 개인별 STAT'!$E:$E, $E111)</f>
        <v>0</v>
      </c>
      <c r="Z111" s="33" t="str">
        <f t="shared" si="5"/>
        <v>-</v>
      </c>
      <c r="AA111" s="20">
        <f>SUMIFS('3월 단양 개인별 STAT'!AA:AA, '3월 단양 개인별 STAT'!$D:$D, $D111, '3월 단양 개인별 STAT'!$E:$E, $E111) + SUMIFS('4월 삼척 개인별 STAT'!AA:AA, '4월 삼척 개인별 STAT'!$D:$D, $D111, '4월 삼척 개인별 STAT'!$E:$E, $E111)</f>
        <v>0</v>
      </c>
      <c r="AB111" s="33" t="str">
        <f t="shared" si="6"/>
        <v>-</v>
      </c>
      <c r="AC111" s="23">
        <f t="shared" si="7"/>
        <v>0</v>
      </c>
      <c r="AD111" s="33" t="str">
        <f t="shared" si="8"/>
        <v>-</v>
      </c>
      <c r="AE111" s="20">
        <f>SUMIFS('3월 단양 개인별 STAT'!AE:AE, '3월 단양 개인별 STAT'!$D:$D, $D111, '3월 단양 개인별 STAT'!$E:$E, $E111) + SUMIFS('4월 삼척 개인별 STAT'!AE:AE, '4월 삼척 개인별 STAT'!$D:$D, $D111, '4월 삼척 개인별 STAT'!$E:$E, $E111)</f>
        <v>0</v>
      </c>
      <c r="AF111" s="20">
        <f>SUMIFS('3월 단양 개인별 STAT'!AF:AF, '3월 단양 개인별 STAT'!$D:$D, $D111, '3월 단양 개인별 STAT'!$E:$E, $E111) + SUMIFS('4월 삼척 개인별 STAT'!AF:AF, '4월 삼척 개인별 STAT'!$D:$D, $D111, '4월 삼척 개인별 STAT'!$E:$E, $E111)</f>
        <v>0</v>
      </c>
      <c r="AG111" s="36" t="str">
        <f t="shared" si="9"/>
        <v>-</v>
      </c>
      <c r="AH111" s="20">
        <f>SUMIFS('3월 단양 개인별 STAT'!AH:AH, '3월 단양 개인별 STAT'!$D:$D, $D111, '3월 단양 개인별 STAT'!$E:$E, $E111) + SUMIFS('4월 삼척 개인별 STAT'!AH:AH, '4월 삼척 개인별 STAT'!$D:$D, $D111, '4월 삼척 개인별 STAT'!$E:$E, $E111)</f>
        <v>0</v>
      </c>
      <c r="AI111" s="34" t="str">
        <f t="shared" si="10"/>
        <v>-</v>
      </c>
      <c r="AJ111" s="25"/>
      <c r="AK111" s="14"/>
      <c r="AL111" s="27" t="str">
        <f t="shared" si="11"/>
        <v>-</v>
      </c>
      <c r="AM111" s="27" t="str">
        <f t="shared" si="30"/>
        <v>-</v>
      </c>
      <c r="AN111" s="28" t="str">
        <f t="shared" si="13"/>
        <v>-</v>
      </c>
      <c r="AO111" s="27" t="str">
        <f t="shared" si="14"/>
        <v>-</v>
      </c>
      <c r="AP111" s="27" t="str">
        <f t="shared" si="15"/>
        <v>-</v>
      </c>
      <c r="AQ111" s="27" t="str">
        <f t="shared" ref="AQ111:AR111" si="125">iferror(AB111/$M111,"-")</f>
        <v>-</v>
      </c>
      <c r="AR111" s="27" t="str">
        <f t="shared" si="125"/>
        <v>-</v>
      </c>
      <c r="AS111" s="29" t="str">
        <f t="shared" si="17"/>
        <v>-</v>
      </c>
      <c r="AT111" s="29" t="str">
        <f t="shared" si="18"/>
        <v>-</v>
      </c>
      <c r="AU111" s="14"/>
      <c r="AV111" s="14"/>
      <c r="AW111" s="14"/>
      <c r="AX111" s="14"/>
    </row>
    <row r="112">
      <c r="B112" s="17">
        <v>109.0</v>
      </c>
      <c r="C112" s="18">
        <f t="shared" si="2"/>
        <v>7</v>
      </c>
      <c r="D112" s="19" t="s">
        <v>162</v>
      </c>
      <c r="E112" s="19" t="s">
        <v>169</v>
      </c>
      <c r="F112" s="31">
        <v>1.0</v>
      </c>
      <c r="G112" s="31" t="s">
        <v>54</v>
      </c>
      <c r="H112" s="31" t="s">
        <v>57</v>
      </c>
      <c r="I112" s="31">
        <v>165.0</v>
      </c>
      <c r="J112" s="31">
        <v>55.0</v>
      </c>
      <c r="K112" s="32">
        <v>9.0</v>
      </c>
      <c r="L112" s="20">
        <f>SUMIFS('3월 단양 개인별 STAT'!L:L, '3월 단양 개인별 STAT'!$D:$D, $D112, '3월 단양 개인별 STAT'!$E:$E, $E112) + SUMIFS('4월 삼척 개인별 STAT'!L:L, '4월 삼척 개인별 STAT'!$D:$D, $D112, '4월 삼척 개인별 STAT'!$E:$E, $E112)</f>
        <v>5</v>
      </c>
      <c r="M112" s="20">
        <f>SUMIFS('3월 단양 개인별 STAT'!M:M, '3월 단양 개인별 STAT'!$D:$D, $D112, '3월 단양 개인별 STAT'!$E:$E, $E112) + SUMIFS('4월 삼척 개인별 STAT'!M:M, '4월 삼척 개인별 STAT'!$D:$D, $D112, '4월 삼척 개인별 STAT'!$E:$E, $E112)</f>
        <v>15</v>
      </c>
      <c r="N112" s="20">
        <f>SUMIFS('3월 단양 개인별 STAT'!N:N, '3월 단양 개인별 STAT'!$D:$D, $D112, '3월 단양 개인별 STAT'!$E:$E, $E112) + SUMIFS('4월 삼척 개인별 STAT'!N:N, '4월 삼척 개인별 STAT'!$D:$D, $D112, '4월 삼척 개인별 STAT'!$E:$E, $E112)</f>
        <v>5</v>
      </c>
      <c r="O112" s="20">
        <f>SUMIFS('3월 단양 개인별 STAT'!O:O, '3월 단양 개인별 STAT'!$D:$D, $D112, '3월 단양 개인별 STAT'!$E:$E, $E112) + SUMIFS('4월 삼척 개인별 STAT'!O:O, '4월 삼척 개인별 STAT'!$D:$D, $D112, '4월 삼척 개인별 STAT'!$E:$E, $E112)</f>
        <v>79</v>
      </c>
      <c r="P112" s="20">
        <f>SUMIFS('3월 단양 개인별 STAT'!P:P, '3월 단양 개인별 STAT'!$D:$D, $D112, '3월 단양 개인별 STAT'!$E:$E, $E112) + SUMIFS('4월 삼척 개인별 STAT'!P:P, '4월 삼척 개인별 STAT'!$D:$D, $D112, '4월 삼척 개인별 STAT'!$E:$E, $E112)</f>
        <v>7</v>
      </c>
      <c r="Q112" s="20">
        <f>SUMIFS('3월 단양 개인별 STAT'!Q:Q, '3월 단양 개인별 STAT'!$D:$D, $D112, '3월 단양 개인별 STAT'!$E:$E, $E112) + SUMIFS('4월 삼척 개인별 STAT'!Q:Q, '4월 삼척 개인별 STAT'!$D:$D, $D112, '4월 삼척 개인별 STAT'!$E:$E, $E112)</f>
        <v>4</v>
      </c>
      <c r="R112" s="35">
        <f t="shared" si="3"/>
        <v>16</v>
      </c>
      <c r="S112" s="34">
        <f t="shared" si="4"/>
        <v>0.06</v>
      </c>
      <c r="T112" s="20">
        <f>SUMIFS('3월 단양 개인별 STAT'!T:T, '3월 단양 개인별 STAT'!$D:$D, $D112, '3월 단양 개인별 STAT'!$E:$E, $E112) + SUMIFS('4월 삼척 개인별 STAT'!T:T, '4월 삼척 개인별 STAT'!$D:$D, $D112, '4월 삼척 개인별 STAT'!$E:$E, $E112)</f>
        <v>3</v>
      </c>
      <c r="U112" s="20">
        <f>SUMIFS('3월 단양 개인별 STAT'!U:U, '3월 단양 개인별 STAT'!$D:$D, $D112, '3월 단양 개인별 STAT'!$E:$E, $E112) + SUMIFS('4월 삼척 개인별 STAT'!U:U, '4월 삼척 개인별 STAT'!$D:$D, $D112, '4월 삼척 개인별 STAT'!$E:$E, $E112)</f>
        <v>2</v>
      </c>
      <c r="V112" s="20">
        <f>SUMIFS('3월 단양 개인별 STAT'!V:V, '3월 단양 개인별 STAT'!$D:$D, $D112, '3월 단양 개인별 STAT'!$E:$E, $E112) + SUMIFS('4월 삼척 개인별 STAT'!V:V, '4월 삼척 개인별 STAT'!$D:$D, $D112, '4월 삼척 개인별 STAT'!$E:$E, $E112)</f>
        <v>0</v>
      </c>
      <c r="W112" s="20">
        <f>SUMIFS('3월 단양 개인별 STAT'!W:W, '3월 단양 개인별 STAT'!$D:$D, $D112, '3월 단양 개인별 STAT'!$E:$E, $E112) + SUMIFS('4월 삼척 개인별 STAT'!W:W, '4월 삼척 개인별 STAT'!$D:$D, $D112, '4월 삼척 개인별 STAT'!$E:$E, $E112)</f>
        <v>25</v>
      </c>
      <c r="X112" s="20">
        <f>SUMIFS('3월 단양 개인별 STAT'!X:X, '3월 단양 개인별 STAT'!$D:$D, $D112, '3월 단양 개인별 STAT'!$E:$E, $E112) + SUMIFS('4월 삼척 개인별 STAT'!X:X, '4월 삼척 개인별 STAT'!$D:$D, $D112, '4월 삼척 개인별 STAT'!$E:$E, $E112)</f>
        <v>3</v>
      </c>
      <c r="Y112" s="20">
        <f>SUMIFS('3월 단양 개인별 STAT'!Y:Y, '3월 단양 개인별 STAT'!$D:$D, $D112, '3월 단양 개인별 STAT'!$E:$E, $E112) + SUMIFS('4월 삼척 개인별 STAT'!Y:Y, '4월 삼척 개인별 STAT'!$D:$D, $D112, '4월 삼척 개인별 STAT'!$E:$E, $E112)</f>
        <v>4</v>
      </c>
      <c r="Z112" s="35">
        <f t="shared" si="5"/>
        <v>32</v>
      </c>
      <c r="AA112" s="20">
        <f>SUMIFS('3월 단양 개인별 STAT'!AA:AA, '3월 단양 개인별 STAT'!$D:$D, $D112, '3월 단양 개인별 STAT'!$E:$E, $E112) + SUMIFS('4월 삼척 개인별 STAT'!AA:AA, '4월 삼척 개인별 STAT'!$D:$D, $D112, '4월 삼척 개인별 STAT'!$E:$E, $E112)</f>
        <v>6</v>
      </c>
      <c r="AB112" s="35">
        <f t="shared" si="6"/>
        <v>11</v>
      </c>
      <c r="AC112" s="23">
        <f t="shared" si="7"/>
        <v>11</v>
      </c>
      <c r="AD112" s="35">
        <f t="shared" si="8"/>
        <v>9</v>
      </c>
      <c r="AE112" s="20">
        <f>SUMIFS('3월 단양 개인별 STAT'!AE:AE, '3월 단양 개인별 STAT'!$D:$D, $D112, '3월 단양 개인별 STAT'!$E:$E, $E112) + SUMIFS('4월 삼척 개인별 STAT'!AE:AE, '4월 삼척 개인별 STAT'!$D:$D, $D112, '4월 삼척 개인별 STAT'!$E:$E, $E112)</f>
        <v>1</v>
      </c>
      <c r="AF112" s="20">
        <f>SUMIFS('3월 단양 개인별 STAT'!AF:AF, '3월 단양 개인별 STAT'!$D:$D, $D112, '3월 단양 개인별 STAT'!$E:$E, $E112) + SUMIFS('4월 삼척 개인별 STAT'!AF:AF, '4월 삼척 개인별 STAT'!$D:$D, $D112, '4월 삼척 개인별 STAT'!$E:$E, $E112)</f>
        <v>8</v>
      </c>
      <c r="AG112" s="36">
        <f t="shared" si="9"/>
        <v>11.11111111</v>
      </c>
      <c r="AH112" s="20">
        <f>SUMIFS('3월 단양 개인별 STAT'!AH:AH, '3월 단양 개인별 STAT'!$D:$D, $D112, '3월 단양 개인별 STAT'!$E:$E, $E112) + SUMIFS('4월 삼척 개인별 STAT'!AH:AH, '4월 삼척 개인별 STAT'!$D:$D, $D112, '4월 삼척 개인별 STAT'!$E:$E, $E112)</f>
        <v>21</v>
      </c>
      <c r="AI112" s="34" t="str">
        <f t="shared" si="10"/>
        <v>1.40</v>
      </c>
      <c r="AJ112" s="25"/>
      <c r="AK112" s="14"/>
      <c r="AL112" s="27">
        <f t="shared" si="11"/>
        <v>0.3333333333</v>
      </c>
      <c r="AM112" s="27">
        <f t="shared" si="30"/>
        <v>1.066666667</v>
      </c>
      <c r="AN112" s="28">
        <f t="shared" si="13"/>
        <v>0.3125</v>
      </c>
      <c r="AO112" s="27">
        <f t="shared" si="14"/>
        <v>0.2</v>
      </c>
      <c r="AP112" s="27">
        <f t="shared" si="15"/>
        <v>0.2</v>
      </c>
      <c r="AQ112" s="27">
        <f t="shared" ref="AQ112:AR112" si="126">iferror(AB112/$M112,"-")</f>
        <v>0.7333333333</v>
      </c>
      <c r="AR112" s="27">
        <f t="shared" si="126"/>
        <v>0.7333333333</v>
      </c>
      <c r="AS112" s="29">
        <f t="shared" si="17"/>
        <v>0.5333333333</v>
      </c>
      <c r="AT112" s="29" t="str">
        <f t="shared" si="18"/>
        <v>1.40</v>
      </c>
      <c r="AU112" s="14"/>
      <c r="AV112" s="14"/>
      <c r="AW112" s="14"/>
      <c r="AX112" s="14"/>
    </row>
    <row r="113">
      <c r="B113" s="17">
        <v>110.0</v>
      </c>
      <c r="C113" s="18">
        <f t="shared" si="2"/>
        <v>8</v>
      </c>
      <c r="D113" s="19" t="s">
        <v>162</v>
      </c>
      <c r="E113" s="31" t="s">
        <v>170</v>
      </c>
      <c r="F113" s="31">
        <v>3.0</v>
      </c>
      <c r="G113" s="31" t="s">
        <v>52</v>
      </c>
      <c r="H113" s="31" t="s">
        <v>50</v>
      </c>
      <c r="I113" s="31">
        <v>175.0</v>
      </c>
      <c r="J113" s="31">
        <v>65.0</v>
      </c>
      <c r="K113" s="32">
        <v>10.0</v>
      </c>
      <c r="L113" s="32">
        <v>3.0</v>
      </c>
      <c r="M113" s="32">
        <v>9.0</v>
      </c>
      <c r="N113" s="32">
        <v>19.0</v>
      </c>
      <c r="O113" s="32">
        <v>3.0</v>
      </c>
      <c r="P113" s="32">
        <v>42.0</v>
      </c>
      <c r="Q113" s="32">
        <v>17.0</v>
      </c>
      <c r="R113" s="21">
        <f t="shared" si="3"/>
        <v>78</v>
      </c>
      <c r="S113" s="22">
        <f t="shared" si="4"/>
        <v>0.03</v>
      </c>
      <c r="T113" s="20">
        <v>0.0</v>
      </c>
      <c r="U113" s="20">
        <v>0.0</v>
      </c>
      <c r="V113" s="32">
        <v>0.0</v>
      </c>
      <c r="W113" s="20">
        <v>22.0</v>
      </c>
      <c r="X113" s="32">
        <v>2.0</v>
      </c>
      <c r="Y113" s="32">
        <v>1.0</v>
      </c>
      <c r="Z113" s="21">
        <f t="shared" si="5"/>
        <v>25</v>
      </c>
      <c r="AA113" s="20">
        <v>0.0</v>
      </c>
      <c r="AB113" s="21">
        <f t="shared" si="6"/>
        <v>21</v>
      </c>
      <c r="AC113" s="23">
        <f t="shared" si="7"/>
        <v>21</v>
      </c>
      <c r="AD113" s="21">
        <f t="shared" si="8"/>
        <v>56</v>
      </c>
      <c r="AE113" s="20">
        <v>50.0</v>
      </c>
      <c r="AF113" s="32">
        <v>6.0</v>
      </c>
      <c r="AG113" s="24">
        <f t="shared" si="9"/>
        <v>89.28571429</v>
      </c>
      <c r="AH113" s="32">
        <v>13.0</v>
      </c>
      <c r="AI113" s="22" t="str">
        <f t="shared" si="10"/>
        <v>1.44</v>
      </c>
      <c r="AJ113" s="26"/>
      <c r="AK113" s="26"/>
      <c r="AL113" s="27">
        <f t="shared" si="11"/>
        <v>2.111111111</v>
      </c>
      <c r="AM113" s="27">
        <f t="shared" si="30"/>
        <v>8.666666667</v>
      </c>
      <c r="AN113" s="28">
        <f t="shared" si="13"/>
        <v>0.2435897436</v>
      </c>
      <c r="AO113" s="27">
        <f t="shared" si="14"/>
        <v>0</v>
      </c>
      <c r="AP113" s="27">
        <f t="shared" si="15"/>
        <v>0.2222222222</v>
      </c>
      <c r="AQ113" s="27">
        <f t="shared" ref="AQ113:AR113" si="127">iferror(AB113/$M113,"-")</f>
        <v>2.333333333</v>
      </c>
      <c r="AR113" s="27">
        <f t="shared" si="127"/>
        <v>2.333333333</v>
      </c>
      <c r="AS113" s="29">
        <f t="shared" si="17"/>
        <v>0.6666666667</v>
      </c>
      <c r="AT113" s="29" t="str">
        <f t="shared" si="18"/>
        <v>1.44</v>
      </c>
      <c r="AU113" s="26"/>
      <c r="AV113" s="26"/>
      <c r="AW113" s="26"/>
      <c r="AX113" s="26"/>
    </row>
    <row r="114">
      <c r="B114" s="17">
        <v>111.0</v>
      </c>
      <c r="C114" s="18">
        <f t="shared" si="2"/>
        <v>9</v>
      </c>
      <c r="D114" s="19" t="s">
        <v>162</v>
      </c>
      <c r="E114" s="19" t="s">
        <v>171</v>
      </c>
      <c r="F114" s="31">
        <v>2.0</v>
      </c>
      <c r="G114" s="31" t="s">
        <v>47</v>
      </c>
      <c r="H114" s="31" t="s">
        <v>52</v>
      </c>
      <c r="I114" s="31">
        <v>175.0</v>
      </c>
      <c r="J114" s="31">
        <v>60.0</v>
      </c>
      <c r="K114" s="32">
        <v>11.0</v>
      </c>
      <c r="L114" s="20">
        <f>SUMIFS('3월 단양 개인별 STAT'!L:L, '3월 단양 개인별 STAT'!$D:$D, $D114, '3월 단양 개인별 STAT'!$E:$E, $E114) + SUMIFS('4월 삼척 개인별 STAT'!L:L, '4월 삼척 개인별 STAT'!$D:$D, $D114, '4월 삼척 개인별 STAT'!$E:$E, $E114)</f>
        <v>5</v>
      </c>
      <c r="M114" s="20">
        <f>SUMIFS('3월 단양 개인별 STAT'!M:M, '3월 단양 개인별 STAT'!$D:$D, $D114, '3월 단양 개인별 STAT'!$E:$E, $E114) + SUMIFS('4월 삼척 개인별 STAT'!M:M, '4월 삼척 개인별 STAT'!$D:$D, $D114, '4월 삼척 개인별 STAT'!$E:$E, $E114)</f>
        <v>15</v>
      </c>
      <c r="N114" s="20">
        <f>SUMIFS('3월 단양 개인별 STAT'!N:N, '3월 단양 개인별 STAT'!$D:$D, $D114, '3월 단양 개인별 STAT'!$E:$E, $E114) + SUMIFS('4월 삼척 개인별 STAT'!N:N, '4월 삼척 개인별 STAT'!$D:$D, $D114, '4월 삼척 개인별 STAT'!$E:$E, $E114)</f>
        <v>17</v>
      </c>
      <c r="O114" s="20">
        <f>SUMIFS('3월 단양 개인별 STAT'!O:O, '3월 단양 개인별 STAT'!$D:$D, $D114, '3월 단양 개인별 STAT'!$E:$E, $E114) + SUMIFS('4월 삼척 개인별 STAT'!O:O, '4월 삼척 개인별 STAT'!$D:$D, $D114, '4월 삼척 개인별 STAT'!$E:$E, $E114)</f>
        <v>1</v>
      </c>
      <c r="P114" s="20">
        <f>SUMIFS('3월 단양 개인별 STAT'!P:P, '3월 단양 개인별 STAT'!$D:$D, $D114, '3월 단양 개인별 STAT'!$E:$E, $E114) + SUMIFS('4월 삼척 개인별 STAT'!P:P, '4월 삼척 개인별 STAT'!$D:$D, $D114, '4월 삼척 개인별 STAT'!$E:$E, $E114)</f>
        <v>25</v>
      </c>
      <c r="Q114" s="20">
        <f>SUMIFS('3월 단양 개인별 STAT'!Q:Q, '3월 단양 개인별 STAT'!$D:$D, $D114, '3월 단양 개인별 STAT'!$E:$E, $E114) + SUMIFS('4월 삼척 개인별 STAT'!Q:Q, '4월 삼척 개인별 STAT'!$D:$D, $D114, '4월 삼척 개인별 STAT'!$E:$E, $E114)</f>
        <v>9</v>
      </c>
      <c r="R114" s="35">
        <f t="shared" si="3"/>
        <v>51</v>
      </c>
      <c r="S114" s="34">
        <f t="shared" si="4"/>
        <v>0.16</v>
      </c>
      <c r="T114" s="20">
        <f>SUMIFS('3월 단양 개인별 STAT'!T:T, '3월 단양 개인별 STAT'!$D:$D, $D114, '3월 단양 개인별 STAT'!$E:$E, $E114) + SUMIFS('4월 삼척 개인별 STAT'!T:T, '4월 삼척 개인별 STAT'!$D:$D, $D114, '4월 삼척 개인별 STAT'!$E:$E, $E114)</f>
        <v>2</v>
      </c>
      <c r="U114" s="20">
        <f>SUMIFS('3월 단양 개인별 STAT'!U:U, '3월 단양 개인별 STAT'!$D:$D, $D114, '3월 단양 개인별 STAT'!$E:$E, $E114) + SUMIFS('4월 삼척 개인별 STAT'!U:U, '4월 삼척 개인별 STAT'!$D:$D, $D114, '4월 삼척 개인별 STAT'!$E:$E, $E114)</f>
        <v>0</v>
      </c>
      <c r="V114" s="20">
        <f>SUMIFS('3월 단양 개인별 STAT'!V:V, '3월 단양 개인별 STAT'!$D:$D, $D114, '3월 단양 개인별 STAT'!$E:$E, $E114) + SUMIFS('4월 삼척 개인별 STAT'!V:V, '4월 삼척 개인별 STAT'!$D:$D, $D114, '4월 삼척 개인별 STAT'!$E:$E, $E114)</f>
        <v>2</v>
      </c>
      <c r="W114" s="20">
        <f>SUMIFS('3월 단양 개인별 STAT'!W:W, '3월 단양 개인별 STAT'!$D:$D, $D114, '3월 단양 개인별 STAT'!$E:$E, $E114) + SUMIFS('4월 삼척 개인별 STAT'!W:W, '4월 삼척 개인별 STAT'!$D:$D, $D114, '4월 삼척 개인별 STAT'!$E:$E, $E114)</f>
        <v>22</v>
      </c>
      <c r="X114" s="20">
        <f>SUMIFS('3월 단양 개인별 STAT'!X:X, '3월 단양 개인별 STAT'!$D:$D, $D114, '3월 단양 개인별 STAT'!$E:$E, $E114) + SUMIFS('4월 삼척 개인별 STAT'!X:X, '4월 삼척 개인별 STAT'!$D:$D, $D114, '4월 삼척 개인별 STAT'!$E:$E, $E114)</f>
        <v>1</v>
      </c>
      <c r="Y114" s="20">
        <f>SUMIFS('3월 단양 개인별 STAT'!Y:Y, '3월 단양 개인별 STAT'!$D:$D, $D114, '3월 단양 개인별 STAT'!$E:$E, $E114) + SUMIFS('4월 삼척 개인별 STAT'!Y:Y, '4월 삼척 개인별 STAT'!$D:$D, $D114, '4월 삼척 개인별 STAT'!$E:$E, $E114)</f>
        <v>6</v>
      </c>
      <c r="Z114" s="35">
        <f t="shared" si="5"/>
        <v>29</v>
      </c>
      <c r="AA114" s="20">
        <f>SUMIFS('3월 단양 개인별 STAT'!AA:AA, '3월 단양 개인별 STAT'!$D:$D, $D114, '3월 단양 개인별 STAT'!$E:$E, $E114) + SUMIFS('4월 삼척 개인별 STAT'!AA:AA, '4월 삼척 개인별 STAT'!$D:$D, $D114, '4월 삼척 개인별 STAT'!$E:$E, $E114)</f>
        <v>0</v>
      </c>
      <c r="AB114" s="35">
        <f t="shared" si="6"/>
        <v>20</v>
      </c>
      <c r="AC114" s="23">
        <f t="shared" si="7"/>
        <v>21.5</v>
      </c>
      <c r="AD114" s="35">
        <f t="shared" si="8"/>
        <v>6</v>
      </c>
      <c r="AE114" s="20">
        <f>SUMIFS('3월 단양 개인별 STAT'!AE:AE, '3월 단양 개인별 STAT'!$D:$D, $D114, '3월 단양 개인별 STAT'!$E:$E, $E114) + SUMIFS('4월 삼척 개인별 STAT'!AE:AE, '4월 삼척 개인별 STAT'!$D:$D, $D114, '4월 삼척 개인별 STAT'!$E:$E, $E114)</f>
        <v>5</v>
      </c>
      <c r="AF114" s="20">
        <f>SUMIFS('3월 단양 개인별 STAT'!AF:AF, '3월 단양 개인별 STAT'!$D:$D, $D114, '3월 단양 개인별 STAT'!$E:$E, $E114) + SUMIFS('4월 삼척 개인별 STAT'!AF:AF, '4월 삼척 개인별 STAT'!$D:$D, $D114, '4월 삼척 개인별 STAT'!$E:$E, $E114)</f>
        <v>1</v>
      </c>
      <c r="AG114" s="36">
        <f t="shared" si="9"/>
        <v>83.33333333</v>
      </c>
      <c r="AH114" s="20">
        <f>SUMIFS('3월 단양 개인별 STAT'!AH:AH, '3월 단양 개인별 STAT'!$D:$D, $D114, '3월 단양 개인별 STAT'!$E:$E, $E114) + SUMIFS('4월 삼척 개인별 STAT'!AH:AH, '4월 삼척 개인별 STAT'!$D:$D, $D114, '4월 삼척 개인별 STAT'!$E:$E, $E114)</f>
        <v>4</v>
      </c>
      <c r="AI114" s="34" t="str">
        <f t="shared" si="10"/>
        <v>0.27</v>
      </c>
      <c r="AJ114" s="25"/>
      <c r="AK114" s="14"/>
      <c r="AL114" s="27">
        <f t="shared" si="11"/>
        <v>1.133333333</v>
      </c>
      <c r="AM114" s="27">
        <f t="shared" si="30"/>
        <v>3.4</v>
      </c>
      <c r="AN114" s="28">
        <f t="shared" si="13"/>
        <v>0.3333333333</v>
      </c>
      <c r="AO114" s="27">
        <f t="shared" si="14"/>
        <v>0.1333333333</v>
      </c>
      <c r="AP114" s="27">
        <f t="shared" si="15"/>
        <v>0.06666666667</v>
      </c>
      <c r="AQ114" s="27">
        <f t="shared" ref="AQ114:AR114" si="128">iferror(AB114/$M114,"-")</f>
        <v>1.333333333</v>
      </c>
      <c r="AR114" s="27">
        <f t="shared" si="128"/>
        <v>1.433333333</v>
      </c>
      <c r="AS114" s="29">
        <f t="shared" si="17"/>
        <v>0.06666666667</v>
      </c>
      <c r="AT114" s="29" t="str">
        <f t="shared" si="18"/>
        <v>0.27</v>
      </c>
      <c r="AU114" s="14"/>
      <c r="AV114" s="14"/>
      <c r="AW114" s="14"/>
      <c r="AX114" s="14"/>
    </row>
    <row r="115">
      <c r="B115" s="17">
        <v>112.0</v>
      </c>
      <c r="C115" s="18">
        <f t="shared" si="2"/>
        <v>10</v>
      </c>
      <c r="D115" s="19" t="s">
        <v>162</v>
      </c>
      <c r="E115" s="19" t="s">
        <v>172</v>
      </c>
      <c r="F115" s="31">
        <v>1.0</v>
      </c>
      <c r="G115" s="31" t="s">
        <v>52</v>
      </c>
      <c r="H115" s="31" t="s">
        <v>57</v>
      </c>
      <c r="I115" s="31">
        <v>168.0</v>
      </c>
      <c r="J115" s="31">
        <v>53.0</v>
      </c>
      <c r="K115" s="32">
        <v>12.0</v>
      </c>
      <c r="L115" s="20">
        <f>SUMIFS('3월 단양 개인별 STAT'!L:L, '3월 단양 개인별 STAT'!$D:$D, $D115, '3월 단양 개인별 STAT'!$E:$E, $E115) + SUMIFS('4월 삼척 개인별 STAT'!L:L, '4월 삼척 개인별 STAT'!$D:$D, $D115, '4월 삼척 개인별 STAT'!$E:$E, $E115)</f>
        <v>4</v>
      </c>
      <c r="M115" s="20">
        <f>SUMIFS('3월 단양 개인별 STAT'!M:M, '3월 단양 개인별 STAT'!$D:$D, $D115, '3월 단양 개인별 STAT'!$E:$E, $E115) + SUMIFS('4월 삼척 개인별 STAT'!M:M, '4월 삼척 개인별 STAT'!$D:$D, $D115, '4월 삼척 개인별 STAT'!$E:$E, $E115)</f>
        <v>8</v>
      </c>
      <c r="N115" s="20">
        <f>SUMIFS('3월 단양 개인별 STAT'!N:N, '3월 단양 개인별 STAT'!$D:$D, $D115, '3월 단양 개인별 STAT'!$E:$E, $E115) + SUMIFS('4월 삼척 개인별 STAT'!N:N, '4월 삼척 개인별 STAT'!$D:$D, $D115, '4월 삼척 개인별 STAT'!$E:$E, $E115)</f>
        <v>0</v>
      </c>
      <c r="O115" s="20">
        <f>SUMIFS('3월 단양 개인별 STAT'!O:O, '3월 단양 개인별 STAT'!$D:$D, $D115, '3월 단양 개인별 STAT'!$E:$E, $E115) + SUMIFS('4월 삼척 개인별 STAT'!O:O, '4월 삼척 개인별 STAT'!$D:$D, $D115, '4월 삼척 개인별 STAT'!$E:$E, $E115)</f>
        <v>0</v>
      </c>
      <c r="P115" s="20">
        <f>SUMIFS('3월 단양 개인별 STAT'!P:P, '3월 단양 개인별 STAT'!$D:$D, $D115, '3월 단양 개인별 STAT'!$E:$E, $E115) + SUMIFS('4월 삼척 개인별 STAT'!P:P, '4월 삼척 개인별 STAT'!$D:$D, $D115, '4월 삼척 개인별 STAT'!$E:$E, $E115)</f>
        <v>0</v>
      </c>
      <c r="Q115" s="20">
        <f>SUMIFS('3월 단양 개인별 STAT'!Q:Q, '3월 단양 개인별 STAT'!$D:$D, $D115, '3월 단양 개인별 STAT'!$E:$E, $E115) + SUMIFS('4월 삼척 개인별 STAT'!Q:Q, '4월 삼척 개인별 STAT'!$D:$D, $D115, '4월 삼척 개인별 STAT'!$E:$E, $E115)</f>
        <v>0</v>
      </c>
      <c r="R115" s="33" t="str">
        <f t="shared" si="3"/>
        <v>-</v>
      </c>
      <c r="S115" s="34" t="str">
        <f t="shared" si="4"/>
        <v>-</v>
      </c>
      <c r="T115" s="20">
        <f>SUMIFS('3월 단양 개인별 STAT'!T:T, '3월 단양 개인별 STAT'!$D:$D, $D115, '3월 단양 개인별 STAT'!$E:$E, $E115) + SUMIFS('4월 삼척 개인별 STAT'!T:T, '4월 삼척 개인별 STAT'!$D:$D, $D115, '4월 삼척 개인별 STAT'!$E:$E, $E115)</f>
        <v>0</v>
      </c>
      <c r="U115" s="20">
        <f>SUMIFS('3월 단양 개인별 STAT'!U:U, '3월 단양 개인별 STAT'!$D:$D, $D115, '3월 단양 개인별 STAT'!$E:$E, $E115) + SUMIFS('4월 삼척 개인별 STAT'!U:U, '4월 삼척 개인별 STAT'!$D:$D, $D115, '4월 삼척 개인별 STAT'!$E:$E, $E115)</f>
        <v>0</v>
      </c>
      <c r="V115" s="20">
        <f>SUMIFS('3월 단양 개인별 STAT'!V:V, '3월 단양 개인별 STAT'!$D:$D, $D115, '3월 단양 개인별 STAT'!$E:$E, $E115) + SUMIFS('4월 삼척 개인별 STAT'!V:V, '4월 삼척 개인별 STAT'!$D:$D, $D115, '4월 삼척 개인별 STAT'!$E:$E, $E115)</f>
        <v>0</v>
      </c>
      <c r="W115" s="20">
        <f>SUMIFS('3월 단양 개인별 STAT'!W:W, '3월 단양 개인별 STAT'!$D:$D, $D115, '3월 단양 개인별 STAT'!$E:$E, $E115) + SUMIFS('4월 삼척 개인별 STAT'!W:W, '4월 삼척 개인별 STAT'!$D:$D, $D115, '4월 삼척 개인별 STAT'!$E:$E, $E115)</f>
        <v>5</v>
      </c>
      <c r="X115" s="20">
        <f>SUMIFS('3월 단양 개인별 STAT'!X:X, '3월 단양 개인별 STAT'!$D:$D, $D115, '3월 단양 개인별 STAT'!$E:$E, $E115) + SUMIFS('4월 삼척 개인별 STAT'!X:X, '4월 삼척 개인별 STAT'!$D:$D, $D115, '4월 삼척 개인별 STAT'!$E:$E, $E115)</f>
        <v>1</v>
      </c>
      <c r="Y115" s="20">
        <f>SUMIFS('3월 단양 개인별 STAT'!Y:Y, '3월 단양 개인별 STAT'!$D:$D, $D115, '3월 단양 개인별 STAT'!$E:$E, $E115) + SUMIFS('4월 삼척 개인별 STAT'!Y:Y, '4월 삼척 개인별 STAT'!$D:$D, $D115, '4월 삼척 개인별 STAT'!$E:$E, $E115)</f>
        <v>2</v>
      </c>
      <c r="Z115" s="35">
        <f t="shared" si="5"/>
        <v>8</v>
      </c>
      <c r="AA115" s="20">
        <f>SUMIFS('3월 단양 개인별 STAT'!AA:AA, '3월 단양 개인별 STAT'!$D:$D, $D115, '3월 단양 개인별 STAT'!$E:$E, $E115) + SUMIFS('4월 삼척 개인별 STAT'!AA:AA, '4월 삼척 개인별 STAT'!$D:$D, $D115, '4월 삼척 개인별 STAT'!$E:$E, $E115)</f>
        <v>0</v>
      </c>
      <c r="AB115" s="35">
        <f t="shared" si="6"/>
        <v>1</v>
      </c>
      <c r="AC115" s="23">
        <f t="shared" si="7"/>
        <v>1</v>
      </c>
      <c r="AD115" s="35">
        <f t="shared" si="8"/>
        <v>2</v>
      </c>
      <c r="AE115" s="20">
        <f>SUMIFS('3월 단양 개인별 STAT'!AE:AE, '3월 단양 개인별 STAT'!$D:$D, $D115, '3월 단양 개인별 STAT'!$E:$E, $E115) + SUMIFS('4월 삼척 개인별 STAT'!AE:AE, '4월 삼척 개인별 STAT'!$D:$D, $D115, '4월 삼척 개인별 STAT'!$E:$E, $E115)</f>
        <v>1</v>
      </c>
      <c r="AF115" s="20">
        <f>SUMIFS('3월 단양 개인별 STAT'!AF:AF, '3월 단양 개인별 STAT'!$D:$D, $D115, '3월 단양 개인별 STAT'!$E:$E, $E115) + SUMIFS('4월 삼척 개인별 STAT'!AF:AF, '4월 삼척 개인별 STAT'!$D:$D, $D115, '4월 삼척 개인별 STAT'!$E:$E, $E115)</f>
        <v>1</v>
      </c>
      <c r="AG115" s="36">
        <f t="shared" si="9"/>
        <v>50</v>
      </c>
      <c r="AH115" s="20">
        <f>SUMIFS('3월 단양 개인별 STAT'!AH:AH, '3월 단양 개인별 STAT'!$D:$D, $D115, '3월 단양 개인별 STAT'!$E:$E, $E115) + SUMIFS('4월 삼척 개인별 STAT'!AH:AH, '4월 삼척 개인별 STAT'!$D:$D, $D115, '4월 삼척 개인별 STAT'!$E:$E, $E115)</f>
        <v>1</v>
      </c>
      <c r="AI115" s="34" t="str">
        <f t="shared" si="10"/>
        <v>0.13</v>
      </c>
      <c r="AJ115" s="25"/>
      <c r="AK115" s="14"/>
      <c r="AL115" s="27">
        <f t="shared" si="11"/>
        <v>0</v>
      </c>
      <c r="AM115" s="27" t="str">
        <f t="shared" si="30"/>
        <v>-</v>
      </c>
      <c r="AN115" s="28" t="str">
        <f t="shared" si="13"/>
        <v>-</v>
      </c>
      <c r="AO115" s="27">
        <f t="shared" si="14"/>
        <v>0</v>
      </c>
      <c r="AP115" s="27">
        <f t="shared" si="15"/>
        <v>0.125</v>
      </c>
      <c r="AQ115" s="27">
        <f t="shared" ref="AQ115:AR115" si="129">iferror(AB115/$M115,"-")</f>
        <v>0.125</v>
      </c>
      <c r="AR115" s="27">
        <f t="shared" si="129"/>
        <v>0.125</v>
      </c>
      <c r="AS115" s="29">
        <f t="shared" si="17"/>
        <v>0.125</v>
      </c>
      <c r="AT115" s="29" t="str">
        <f t="shared" si="18"/>
        <v>0.13</v>
      </c>
      <c r="AU115" s="14"/>
      <c r="AV115" s="14"/>
      <c r="AW115" s="14"/>
      <c r="AX115" s="14"/>
    </row>
    <row r="116">
      <c r="B116" s="17">
        <v>113.0</v>
      </c>
      <c r="C116" s="18">
        <f t="shared" si="2"/>
        <v>1</v>
      </c>
      <c r="D116" s="19" t="s">
        <v>173</v>
      </c>
      <c r="E116" s="19" t="s">
        <v>174</v>
      </c>
      <c r="F116" s="19">
        <v>3.0</v>
      </c>
      <c r="G116" s="19" t="s">
        <v>54</v>
      </c>
      <c r="H116" s="19" t="s">
        <v>48</v>
      </c>
      <c r="I116" s="19">
        <v>177.0</v>
      </c>
      <c r="J116" s="19">
        <v>60.0</v>
      </c>
      <c r="K116" s="20">
        <v>1.0</v>
      </c>
      <c r="L116" s="20">
        <f>SUMIFS('3월 단양 개인별 STAT'!L:L, '3월 단양 개인별 STAT'!$D:$D, $D116, '3월 단양 개인별 STAT'!$E:$E, $E116) + SUMIFS('4월 삼척 개인별 STAT'!L:L, '4월 삼척 개인별 STAT'!$D:$D, $D116, '4월 삼척 개인별 STAT'!$E:$E, $E116)</f>
        <v>2</v>
      </c>
      <c r="M116" s="20">
        <f>SUMIFS('3월 단양 개인별 STAT'!M:M, '3월 단양 개인별 STAT'!$D:$D, $D116, '3월 단양 개인별 STAT'!$E:$E, $E116) + SUMIFS('4월 삼척 개인별 STAT'!M:M, '4월 삼척 개인별 STAT'!$D:$D, $D116, '4월 삼척 개인별 STAT'!$E:$E, $E116)</f>
        <v>8</v>
      </c>
      <c r="N116" s="20">
        <f>SUMIFS('3월 단양 개인별 STAT'!N:N, '3월 단양 개인별 STAT'!$D:$D, $D116, '3월 단양 개인별 STAT'!$E:$E, $E116) + SUMIFS('4월 삼척 개인별 STAT'!N:N, '4월 삼척 개인별 STAT'!$D:$D, $D116, '4월 삼척 개인별 STAT'!$E:$E, $E116)</f>
        <v>0</v>
      </c>
      <c r="O116" s="20">
        <f>SUMIFS('3월 단양 개인별 STAT'!O:O, '3월 단양 개인별 STAT'!$D:$D, $D116, '3월 단양 개인별 STAT'!$E:$E, $E116) + SUMIFS('4월 삼척 개인별 STAT'!O:O, '4월 삼척 개인별 STAT'!$D:$D, $D116, '4월 삼척 개인별 STAT'!$E:$E, $E116)</f>
        <v>73</v>
      </c>
      <c r="P116" s="20">
        <f>SUMIFS('3월 단양 개인별 STAT'!P:P, '3월 단양 개인별 STAT'!$D:$D, $D116, '3월 단양 개인별 STAT'!$E:$E, $E116) + SUMIFS('4월 삼척 개인별 STAT'!P:P, '4월 삼척 개인별 STAT'!$D:$D, $D116, '4월 삼척 개인별 STAT'!$E:$E, $E116)</f>
        <v>1</v>
      </c>
      <c r="Q116" s="20">
        <f>SUMIFS('3월 단양 개인별 STAT'!Q:Q, '3월 단양 개인별 STAT'!$D:$D, $D116, '3월 단양 개인별 STAT'!$E:$E, $E116) + SUMIFS('4월 삼척 개인별 STAT'!Q:Q, '4월 삼척 개인별 STAT'!$D:$D, $D116, '4월 삼척 개인별 STAT'!$E:$E, $E116)</f>
        <v>2</v>
      </c>
      <c r="R116" s="35">
        <f t="shared" si="3"/>
        <v>3</v>
      </c>
      <c r="S116" s="34">
        <f t="shared" si="4"/>
        <v>-0.67</v>
      </c>
      <c r="T116" s="20">
        <f>SUMIFS('3월 단양 개인별 STAT'!T:T, '3월 단양 개인별 STAT'!$D:$D, $D116, '3월 단양 개인별 STAT'!$E:$E, $E116) + SUMIFS('4월 삼척 개인별 STAT'!T:T, '4월 삼척 개인별 STAT'!$D:$D, $D116, '4월 삼척 개인별 STAT'!$E:$E, $E116)</f>
        <v>4</v>
      </c>
      <c r="U116" s="20">
        <f>SUMIFS('3월 단양 개인별 STAT'!U:U, '3월 단양 개인별 STAT'!$D:$D, $D116, '3월 단양 개인별 STAT'!$E:$E, $E116) + SUMIFS('4월 삼척 개인별 STAT'!U:U, '4월 삼척 개인별 STAT'!$D:$D, $D116, '4월 삼척 개인별 STAT'!$E:$E, $E116)</f>
        <v>0</v>
      </c>
      <c r="V116" s="20">
        <f>SUMIFS('3월 단양 개인별 STAT'!V:V, '3월 단양 개인별 STAT'!$D:$D, $D116, '3월 단양 개인별 STAT'!$E:$E, $E116) + SUMIFS('4월 삼척 개인별 STAT'!V:V, '4월 삼척 개인별 STAT'!$D:$D, $D116, '4월 삼척 개인별 STAT'!$E:$E, $E116)</f>
        <v>0</v>
      </c>
      <c r="W116" s="20">
        <f>SUMIFS('3월 단양 개인별 STAT'!W:W, '3월 단양 개인별 STAT'!$D:$D, $D116, '3월 단양 개인별 STAT'!$E:$E, $E116) + SUMIFS('4월 삼척 개인별 STAT'!W:W, '4월 삼척 개인별 STAT'!$D:$D, $D116, '4월 삼척 개인별 STAT'!$E:$E, $E116)</f>
        <v>19</v>
      </c>
      <c r="X116" s="20">
        <f>SUMIFS('3월 단양 개인별 STAT'!X:X, '3월 단양 개인별 STAT'!$D:$D, $D116, '3월 단양 개인별 STAT'!$E:$E, $E116) + SUMIFS('4월 삼척 개인별 STAT'!X:X, '4월 삼척 개인별 STAT'!$D:$D, $D116, '4월 삼척 개인별 STAT'!$E:$E, $E116)</f>
        <v>1</v>
      </c>
      <c r="Y116" s="20">
        <f>SUMIFS('3월 단양 개인별 STAT'!Y:Y, '3월 단양 개인별 STAT'!$D:$D, $D116, '3월 단양 개인별 STAT'!$E:$E, $E116) + SUMIFS('4월 삼척 개인별 STAT'!Y:Y, '4월 삼척 개인별 STAT'!$D:$D, $D116, '4월 삼척 개인별 STAT'!$E:$E, $E116)</f>
        <v>0</v>
      </c>
      <c r="Z116" s="35">
        <f t="shared" si="5"/>
        <v>20</v>
      </c>
      <c r="AA116" s="20">
        <f>SUMIFS('3월 단양 개인별 STAT'!AA:AA, '3월 단양 개인별 STAT'!$D:$D, $D116, '3월 단양 개인별 STAT'!$E:$E, $E116) + SUMIFS('4월 삼척 개인별 STAT'!AA:AA, '4월 삼척 개인별 STAT'!$D:$D, $D116, '4월 삼척 개인별 STAT'!$E:$E, $E116)</f>
        <v>3</v>
      </c>
      <c r="AB116" s="35">
        <f t="shared" si="6"/>
        <v>5</v>
      </c>
      <c r="AC116" s="23">
        <f t="shared" si="7"/>
        <v>5</v>
      </c>
      <c r="AD116" s="35">
        <f t="shared" si="8"/>
        <v>6</v>
      </c>
      <c r="AE116" s="20">
        <f>SUMIFS('3월 단양 개인별 STAT'!AE:AE, '3월 단양 개인별 STAT'!$D:$D, $D116, '3월 단양 개인별 STAT'!$E:$E, $E116) + SUMIFS('4월 삼척 개인별 STAT'!AE:AE, '4월 삼척 개인별 STAT'!$D:$D, $D116, '4월 삼척 개인별 STAT'!$E:$E, $E116)</f>
        <v>3</v>
      </c>
      <c r="AF116" s="20">
        <f>SUMIFS('3월 단양 개인별 STAT'!AF:AF, '3월 단양 개인별 STAT'!$D:$D, $D116, '3월 단양 개인별 STAT'!$E:$E, $E116) + SUMIFS('4월 삼척 개인별 STAT'!AF:AF, '4월 삼척 개인별 STAT'!$D:$D, $D116, '4월 삼척 개인별 STAT'!$E:$E, $E116)</f>
        <v>3</v>
      </c>
      <c r="AG116" s="36">
        <f t="shared" si="9"/>
        <v>50</v>
      </c>
      <c r="AH116" s="20">
        <f>SUMIFS('3월 단양 개인별 STAT'!AH:AH, '3월 단양 개인별 STAT'!$D:$D, $D116, '3월 단양 개인별 STAT'!$E:$E, $E116) + SUMIFS('4월 삼척 개인별 STAT'!AH:AH, '4월 삼척 개인별 STAT'!$D:$D, $D116, '4월 삼척 개인별 STAT'!$E:$E, $E116)</f>
        <v>6</v>
      </c>
      <c r="AI116" s="34" t="str">
        <f t="shared" si="10"/>
        <v>0.75</v>
      </c>
      <c r="AJ116" s="25"/>
      <c r="AL116" s="27">
        <f t="shared" si="11"/>
        <v>0</v>
      </c>
      <c r="AM116" s="27">
        <f t="shared" si="30"/>
        <v>0.375</v>
      </c>
      <c r="AN116" s="28">
        <f t="shared" si="13"/>
        <v>0</v>
      </c>
      <c r="AO116" s="27">
        <f t="shared" si="14"/>
        <v>0.5</v>
      </c>
      <c r="AP116" s="27">
        <f t="shared" si="15"/>
        <v>0.125</v>
      </c>
      <c r="AQ116" s="27">
        <f t="shared" ref="AQ116:AR116" si="130">iferror(AB116/$M116,"-")</f>
        <v>0.625</v>
      </c>
      <c r="AR116" s="27">
        <f t="shared" si="130"/>
        <v>0.625</v>
      </c>
      <c r="AS116" s="29">
        <f t="shared" si="17"/>
        <v>0.375</v>
      </c>
      <c r="AT116" s="29" t="str">
        <f t="shared" si="18"/>
        <v>0.75</v>
      </c>
    </row>
    <row r="117">
      <c r="B117" s="17">
        <v>114.0</v>
      </c>
      <c r="C117" s="18">
        <f t="shared" si="2"/>
        <v>2</v>
      </c>
      <c r="D117" s="19" t="s">
        <v>173</v>
      </c>
      <c r="E117" s="19" t="s">
        <v>175</v>
      </c>
      <c r="F117" s="19">
        <v>1.0</v>
      </c>
      <c r="G117" s="19" t="s">
        <v>50</v>
      </c>
      <c r="H117" s="19" t="s">
        <v>48</v>
      </c>
      <c r="I117" s="19">
        <v>165.0</v>
      </c>
      <c r="J117" s="19">
        <v>54.0</v>
      </c>
      <c r="K117" s="20">
        <v>3.0</v>
      </c>
      <c r="L117" s="20">
        <f>SUMIFS('3월 단양 개인별 STAT'!L:L, '3월 단양 개인별 STAT'!$D:$D, $D117, '3월 단양 개인별 STAT'!$E:$E, $E117) + SUMIFS('4월 삼척 개인별 STAT'!L:L, '4월 삼척 개인별 STAT'!$D:$D, $D117, '4월 삼척 개인별 STAT'!$E:$E, $E117)</f>
        <v>2</v>
      </c>
      <c r="M117" s="20">
        <f>SUMIFS('3월 단양 개인별 STAT'!M:M, '3월 단양 개인별 STAT'!$D:$D, $D117, '3월 단양 개인별 STAT'!$E:$E, $E117) + SUMIFS('4월 삼척 개인별 STAT'!M:M, '4월 삼척 개인별 STAT'!$D:$D, $D117, '4월 삼척 개인별 STAT'!$E:$E, $E117)</f>
        <v>3</v>
      </c>
      <c r="N117" s="20">
        <f>SUMIFS('3월 단양 개인별 STAT'!N:N, '3월 단양 개인별 STAT'!$D:$D, $D117, '3월 단양 개인별 STAT'!$E:$E, $E117) + SUMIFS('4월 삼척 개인별 STAT'!N:N, '4월 삼척 개인별 STAT'!$D:$D, $D117, '4월 삼척 개인별 STAT'!$E:$E, $E117)</f>
        <v>0</v>
      </c>
      <c r="O117" s="20">
        <f>SUMIFS('3월 단양 개인별 STAT'!O:O, '3월 단양 개인별 STAT'!$D:$D, $D117, '3월 단양 개인별 STAT'!$E:$E, $E117) + SUMIFS('4월 삼척 개인별 STAT'!O:O, '4월 삼척 개인별 STAT'!$D:$D, $D117, '4월 삼척 개인별 STAT'!$E:$E, $E117)</f>
        <v>1</v>
      </c>
      <c r="P117" s="20">
        <f>SUMIFS('3월 단양 개인별 STAT'!P:P, '3월 단양 개인별 STAT'!$D:$D, $D117, '3월 단양 개인별 STAT'!$E:$E, $E117) + SUMIFS('4월 삼척 개인별 STAT'!P:P, '4월 삼척 개인별 STAT'!$D:$D, $D117, '4월 삼척 개인별 STAT'!$E:$E, $E117)</f>
        <v>0</v>
      </c>
      <c r="Q117" s="20">
        <f>SUMIFS('3월 단양 개인별 STAT'!Q:Q, '3월 단양 개인별 STAT'!$D:$D, $D117, '3월 단양 개인별 STAT'!$E:$E, $E117) + SUMIFS('4월 삼척 개인별 STAT'!Q:Q, '4월 삼척 개인별 STAT'!$D:$D, $D117, '4월 삼척 개인별 STAT'!$E:$E, $E117)</f>
        <v>0</v>
      </c>
      <c r="R117" s="33" t="str">
        <f t="shared" si="3"/>
        <v>-</v>
      </c>
      <c r="S117" s="34" t="str">
        <f t="shared" si="4"/>
        <v>-</v>
      </c>
      <c r="T117" s="20">
        <f>SUMIFS('3월 단양 개인별 STAT'!T:T, '3월 단양 개인별 STAT'!$D:$D, $D117, '3월 단양 개인별 STAT'!$E:$E, $E117) + SUMIFS('4월 삼척 개인별 STAT'!T:T, '4월 삼척 개인별 STAT'!$D:$D, $D117, '4월 삼척 개인별 STAT'!$E:$E, $E117)</f>
        <v>0</v>
      </c>
      <c r="U117" s="20">
        <f>SUMIFS('3월 단양 개인별 STAT'!U:U, '3월 단양 개인별 STAT'!$D:$D, $D117, '3월 단양 개인별 STAT'!$E:$E, $E117) + SUMIFS('4월 삼척 개인별 STAT'!U:U, '4월 삼척 개인별 STAT'!$D:$D, $D117, '4월 삼척 개인별 STAT'!$E:$E, $E117)</f>
        <v>0</v>
      </c>
      <c r="V117" s="20">
        <f>SUMIFS('3월 단양 개인별 STAT'!V:V, '3월 단양 개인별 STAT'!$D:$D, $D117, '3월 단양 개인별 STAT'!$E:$E, $E117) + SUMIFS('4월 삼척 개인별 STAT'!V:V, '4월 삼척 개인별 STAT'!$D:$D, $D117, '4월 삼척 개인별 STAT'!$E:$E, $E117)</f>
        <v>0</v>
      </c>
      <c r="W117" s="20">
        <f>SUMIFS('3월 단양 개인별 STAT'!W:W, '3월 단양 개인별 STAT'!$D:$D, $D117, '3월 단양 개인별 STAT'!$E:$E, $E117) + SUMIFS('4월 삼척 개인별 STAT'!W:W, '4월 삼척 개인별 STAT'!$D:$D, $D117, '4월 삼척 개인별 STAT'!$E:$E, $E117)</f>
        <v>0</v>
      </c>
      <c r="X117" s="20">
        <f>SUMIFS('3월 단양 개인별 STAT'!X:X, '3월 단양 개인별 STAT'!$D:$D, $D117, '3월 단양 개인별 STAT'!$E:$E, $E117) + SUMIFS('4월 삼척 개인별 STAT'!X:X, '4월 삼척 개인별 STAT'!$D:$D, $D117, '4월 삼척 개인별 STAT'!$E:$E, $E117)</f>
        <v>0</v>
      </c>
      <c r="Y117" s="20">
        <f>SUMIFS('3월 단양 개인별 STAT'!Y:Y, '3월 단양 개인별 STAT'!$D:$D, $D117, '3월 단양 개인별 STAT'!$E:$E, $E117) + SUMIFS('4월 삼척 개인별 STAT'!Y:Y, '4월 삼척 개인별 STAT'!$D:$D, $D117, '4월 삼척 개인별 STAT'!$E:$E, $E117)</f>
        <v>0</v>
      </c>
      <c r="Z117" s="33" t="str">
        <f t="shared" si="5"/>
        <v>-</v>
      </c>
      <c r="AA117" s="20">
        <f>SUMIFS('3월 단양 개인별 STAT'!AA:AA, '3월 단양 개인별 STAT'!$D:$D, $D117, '3월 단양 개인별 STAT'!$E:$E, $E117) + SUMIFS('4월 삼척 개인별 STAT'!AA:AA, '4월 삼척 개인별 STAT'!$D:$D, $D117, '4월 삼척 개인별 STAT'!$E:$E, $E117)</f>
        <v>0</v>
      </c>
      <c r="AB117" s="33" t="str">
        <f t="shared" si="6"/>
        <v>-</v>
      </c>
      <c r="AC117" s="23">
        <f t="shared" si="7"/>
        <v>0</v>
      </c>
      <c r="AD117" s="35">
        <f t="shared" si="8"/>
        <v>8</v>
      </c>
      <c r="AE117" s="20">
        <f>SUMIFS('3월 단양 개인별 STAT'!AE:AE, '3월 단양 개인별 STAT'!$D:$D, $D117, '3월 단양 개인별 STAT'!$E:$E, $E117) + SUMIFS('4월 삼척 개인별 STAT'!AE:AE, '4월 삼척 개인별 STAT'!$D:$D, $D117, '4월 삼척 개인별 STAT'!$E:$E, $E117)</f>
        <v>8</v>
      </c>
      <c r="AF117" s="20">
        <f>SUMIFS('3월 단양 개인별 STAT'!AF:AF, '3월 단양 개인별 STAT'!$D:$D, $D117, '3월 단양 개인별 STAT'!$E:$E, $E117) + SUMIFS('4월 삼척 개인별 STAT'!AF:AF, '4월 삼척 개인별 STAT'!$D:$D, $D117, '4월 삼척 개인별 STAT'!$E:$E, $E117)</f>
        <v>0</v>
      </c>
      <c r="AG117" s="36">
        <f t="shared" si="9"/>
        <v>100</v>
      </c>
      <c r="AH117" s="20">
        <f>SUMIFS('3월 단양 개인별 STAT'!AH:AH, '3월 단양 개인별 STAT'!$D:$D, $D117, '3월 단양 개인별 STAT'!$E:$E, $E117) + SUMIFS('4월 삼척 개인별 STAT'!AH:AH, '4월 삼척 개인별 STAT'!$D:$D, $D117, '4월 삼척 개인별 STAT'!$E:$E, $E117)</f>
        <v>5</v>
      </c>
      <c r="AI117" s="34" t="str">
        <f t="shared" si="10"/>
        <v>1.67</v>
      </c>
      <c r="AJ117" s="25"/>
      <c r="AL117" s="27">
        <f t="shared" si="11"/>
        <v>0</v>
      </c>
      <c r="AM117" s="27" t="str">
        <f t="shared" si="30"/>
        <v>-</v>
      </c>
      <c r="AN117" s="28" t="str">
        <f t="shared" si="13"/>
        <v>-</v>
      </c>
      <c r="AO117" s="27">
        <f t="shared" si="14"/>
        <v>0</v>
      </c>
      <c r="AP117" s="27">
        <f t="shared" si="15"/>
        <v>0</v>
      </c>
      <c r="AQ117" s="27" t="str">
        <f t="shared" ref="AQ117:AR117" si="131">iferror(AB117/$M117,"-")</f>
        <v>-</v>
      </c>
      <c r="AR117" s="27">
        <f t="shared" si="131"/>
        <v>0</v>
      </c>
      <c r="AS117" s="29">
        <f t="shared" si="17"/>
        <v>0</v>
      </c>
      <c r="AT117" s="29" t="str">
        <f t="shared" si="18"/>
        <v>1.67</v>
      </c>
    </row>
    <row r="118">
      <c r="B118" s="17">
        <v>115.0</v>
      </c>
      <c r="C118" s="18">
        <f t="shared" si="2"/>
        <v>3</v>
      </c>
      <c r="D118" s="19" t="s">
        <v>173</v>
      </c>
      <c r="E118" s="19" t="s">
        <v>176</v>
      </c>
      <c r="F118" s="19">
        <v>2.0</v>
      </c>
      <c r="G118" s="19" t="s">
        <v>47</v>
      </c>
      <c r="H118" s="19" t="s">
        <v>57</v>
      </c>
      <c r="I118" s="19">
        <v>184.0</v>
      </c>
      <c r="J118" s="19">
        <v>65.0</v>
      </c>
      <c r="K118" s="20">
        <v>4.0</v>
      </c>
      <c r="L118" s="20">
        <f>SUMIFS('3월 단양 개인별 STAT'!L:L, '3월 단양 개인별 STAT'!$D:$D, $D118, '3월 단양 개인별 STAT'!$E:$E, $E118) + SUMIFS('4월 삼척 개인별 STAT'!L:L, '4월 삼척 개인별 STAT'!$D:$D, $D118, '4월 삼척 개인별 STAT'!$E:$E, $E118)</f>
        <v>2</v>
      </c>
      <c r="M118" s="20">
        <f>SUMIFS('3월 단양 개인별 STAT'!M:M, '3월 단양 개인별 STAT'!$D:$D, $D118, '3월 단양 개인별 STAT'!$E:$E, $E118) + SUMIFS('4월 삼척 개인별 STAT'!M:M, '4월 삼척 개인별 STAT'!$D:$D, $D118, '4월 삼척 개인별 STAT'!$E:$E, $E118)</f>
        <v>7</v>
      </c>
      <c r="N118" s="20">
        <f>SUMIFS('3월 단양 개인별 STAT'!N:N, '3월 단양 개인별 STAT'!$D:$D, $D118, '3월 단양 개인별 STAT'!$E:$E, $E118) + SUMIFS('4월 삼척 개인별 STAT'!N:N, '4월 삼척 개인별 STAT'!$D:$D, $D118, '4월 삼척 개인별 STAT'!$E:$E, $E118)</f>
        <v>9</v>
      </c>
      <c r="O118" s="20">
        <f>SUMIFS('3월 단양 개인별 STAT'!O:O, '3월 단양 개인별 STAT'!$D:$D, $D118, '3월 단양 개인별 STAT'!$E:$E, $E118) + SUMIFS('4월 삼척 개인별 STAT'!O:O, '4월 삼척 개인별 STAT'!$D:$D, $D118, '4월 삼척 개인별 STAT'!$E:$E, $E118)</f>
        <v>1</v>
      </c>
      <c r="P118" s="20">
        <f>SUMIFS('3월 단양 개인별 STAT'!P:P, '3월 단양 개인별 STAT'!$D:$D, $D118, '3월 단양 개인별 STAT'!$E:$E, $E118) + SUMIFS('4월 삼척 개인별 STAT'!P:P, '4월 삼척 개인별 STAT'!$D:$D, $D118, '4월 삼척 개인별 STAT'!$E:$E, $E118)</f>
        <v>8</v>
      </c>
      <c r="Q118" s="20">
        <f>SUMIFS('3월 단양 개인별 STAT'!Q:Q, '3월 단양 개인별 STAT'!$D:$D, $D118, '3월 단양 개인별 STAT'!$E:$E, $E118) + SUMIFS('4월 삼척 개인별 STAT'!Q:Q, '4월 삼척 개인별 STAT'!$D:$D, $D118, '4월 삼척 개인별 STAT'!$E:$E, $E118)</f>
        <v>4</v>
      </c>
      <c r="R118" s="35">
        <f t="shared" si="3"/>
        <v>21</v>
      </c>
      <c r="S118" s="34">
        <f t="shared" si="4"/>
        <v>0.24</v>
      </c>
      <c r="T118" s="20">
        <f>SUMIFS('3월 단양 개인별 STAT'!T:T, '3월 단양 개인별 STAT'!$D:$D, $D118, '3월 단양 개인별 STAT'!$E:$E, $E118) + SUMIFS('4월 삼척 개인별 STAT'!T:T, '4월 삼척 개인별 STAT'!$D:$D, $D118, '4월 삼척 개인별 STAT'!$E:$E, $E118)</f>
        <v>2</v>
      </c>
      <c r="U118" s="20">
        <f>SUMIFS('3월 단양 개인별 STAT'!U:U, '3월 단양 개인별 STAT'!$D:$D, $D118, '3월 단양 개인별 STAT'!$E:$E, $E118) + SUMIFS('4월 삼척 개인별 STAT'!U:U, '4월 삼척 개인별 STAT'!$D:$D, $D118, '4월 삼척 개인별 STAT'!$E:$E, $E118)</f>
        <v>0</v>
      </c>
      <c r="V118" s="20">
        <f>SUMIFS('3월 단양 개인별 STAT'!V:V, '3월 단양 개인별 STAT'!$D:$D, $D118, '3월 단양 개인별 STAT'!$E:$E, $E118) + SUMIFS('4월 삼척 개인별 STAT'!V:V, '4월 삼척 개인별 STAT'!$D:$D, $D118, '4월 삼척 개인별 STAT'!$E:$E, $E118)</f>
        <v>2</v>
      </c>
      <c r="W118" s="20">
        <f>SUMIFS('3월 단양 개인별 STAT'!W:W, '3월 단양 개인별 STAT'!$D:$D, $D118, '3월 단양 개인별 STAT'!$E:$E, $E118) + SUMIFS('4월 삼척 개인별 STAT'!W:W, '4월 삼척 개인별 STAT'!$D:$D, $D118, '4월 삼척 개인별 STAT'!$E:$E, $E118)</f>
        <v>7</v>
      </c>
      <c r="X118" s="20">
        <f>SUMIFS('3월 단양 개인별 STAT'!X:X, '3월 단양 개인별 STAT'!$D:$D, $D118, '3월 단양 개인별 STAT'!$E:$E, $E118) + SUMIFS('4월 삼척 개인별 STAT'!X:X, '4월 삼척 개인별 STAT'!$D:$D, $D118, '4월 삼척 개인별 STAT'!$E:$E, $E118)</f>
        <v>0</v>
      </c>
      <c r="Y118" s="20">
        <f>SUMIFS('3월 단양 개인별 STAT'!Y:Y, '3월 단양 개인별 STAT'!$D:$D, $D118, '3월 단양 개인별 STAT'!$E:$E, $E118) + SUMIFS('4월 삼척 개인별 STAT'!Y:Y, '4월 삼척 개인별 STAT'!$D:$D, $D118, '4월 삼척 개인별 STAT'!$E:$E, $E118)</f>
        <v>2</v>
      </c>
      <c r="Z118" s="35">
        <f t="shared" si="5"/>
        <v>9</v>
      </c>
      <c r="AA118" s="20">
        <f>SUMIFS('3월 단양 개인별 STAT'!AA:AA, '3월 단양 개인별 STAT'!$D:$D, $D118, '3월 단양 개인별 STAT'!$E:$E, $E118) + SUMIFS('4월 삼척 개인별 STAT'!AA:AA, '4월 삼척 개인별 STAT'!$D:$D, $D118, '4월 삼척 개인별 STAT'!$E:$E, $E118)</f>
        <v>0</v>
      </c>
      <c r="AB118" s="35">
        <f t="shared" si="6"/>
        <v>11</v>
      </c>
      <c r="AC118" s="23">
        <f t="shared" si="7"/>
        <v>12.5</v>
      </c>
      <c r="AD118" s="33" t="str">
        <f t="shared" si="8"/>
        <v>-</v>
      </c>
      <c r="AE118" s="20">
        <f>SUMIFS('3월 단양 개인별 STAT'!AE:AE, '3월 단양 개인별 STAT'!$D:$D, $D118, '3월 단양 개인별 STAT'!$E:$E, $E118) + SUMIFS('4월 삼척 개인별 STAT'!AE:AE, '4월 삼척 개인별 STAT'!$D:$D, $D118, '4월 삼척 개인별 STAT'!$E:$E, $E118)</f>
        <v>0</v>
      </c>
      <c r="AF118" s="20">
        <f>SUMIFS('3월 단양 개인별 STAT'!AF:AF, '3월 단양 개인별 STAT'!$D:$D, $D118, '3월 단양 개인별 STAT'!$E:$E, $E118) + SUMIFS('4월 삼척 개인별 STAT'!AF:AF, '4월 삼척 개인별 STAT'!$D:$D, $D118, '4월 삼척 개인별 STAT'!$E:$E, $E118)</f>
        <v>0</v>
      </c>
      <c r="AG118" s="36" t="str">
        <f t="shared" si="9"/>
        <v>-</v>
      </c>
      <c r="AH118" s="20">
        <f>SUMIFS('3월 단양 개인별 STAT'!AH:AH, '3월 단양 개인별 STAT'!$D:$D, $D118, '3월 단양 개인별 STAT'!$E:$E, $E118) + SUMIFS('4월 삼척 개인별 STAT'!AH:AH, '4월 삼척 개인별 STAT'!$D:$D, $D118, '4월 삼척 개인별 STAT'!$E:$E, $E118)</f>
        <v>0</v>
      </c>
      <c r="AI118" s="34" t="str">
        <f t="shared" si="10"/>
        <v>0</v>
      </c>
      <c r="AJ118" s="25"/>
      <c r="AL118" s="27">
        <f t="shared" si="11"/>
        <v>1.285714286</v>
      </c>
      <c r="AM118" s="27">
        <f t="shared" si="30"/>
        <v>3</v>
      </c>
      <c r="AN118" s="28">
        <f t="shared" si="13"/>
        <v>0.4285714286</v>
      </c>
      <c r="AO118" s="27">
        <f t="shared" si="14"/>
        <v>0.2857142857</v>
      </c>
      <c r="AP118" s="27">
        <f t="shared" si="15"/>
        <v>0</v>
      </c>
      <c r="AQ118" s="27">
        <f t="shared" ref="AQ118:AR118" si="132">iferror(AB118/$M118,"-")</f>
        <v>1.571428571</v>
      </c>
      <c r="AR118" s="27">
        <f t="shared" si="132"/>
        <v>1.785714286</v>
      </c>
      <c r="AS118" s="29">
        <f t="shared" si="17"/>
        <v>0</v>
      </c>
      <c r="AT118" s="29" t="str">
        <f t="shared" si="18"/>
        <v>0</v>
      </c>
    </row>
    <row r="119">
      <c r="B119" s="17">
        <v>116.0</v>
      </c>
      <c r="C119" s="18">
        <f t="shared" si="2"/>
        <v>4</v>
      </c>
      <c r="D119" s="19" t="s">
        <v>173</v>
      </c>
      <c r="E119" s="19" t="s">
        <v>177</v>
      </c>
      <c r="F119" s="19">
        <v>3.0</v>
      </c>
      <c r="G119" s="19" t="s">
        <v>57</v>
      </c>
      <c r="H119" s="19" t="s">
        <v>50</v>
      </c>
      <c r="I119" s="19">
        <v>172.0</v>
      </c>
      <c r="J119" s="19">
        <v>69.0</v>
      </c>
      <c r="K119" s="20">
        <v>5.0</v>
      </c>
      <c r="L119" s="20">
        <f>SUMIFS('3월 단양 개인별 STAT'!L:L, '3월 단양 개인별 STAT'!$D:$D, $D119, '3월 단양 개인별 STAT'!$E:$E, $E119) + SUMIFS('4월 삼척 개인별 STAT'!L:L, '4월 삼척 개인별 STAT'!$D:$D, $D119, '4월 삼척 개인별 STAT'!$E:$E, $E119)</f>
        <v>2</v>
      </c>
      <c r="M119" s="20">
        <f>SUMIFS('3월 단양 개인별 STAT'!M:M, '3월 단양 개인별 STAT'!$D:$D, $D119, '3월 단양 개인별 STAT'!$E:$E, $E119) + SUMIFS('4월 삼척 개인별 STAT'!M:M, '4월 삼척 개인별 STAT'!$D:$D, $D119, '4월 삼척 개인별 STAT'!$E:$E, $E119)</f>
        <v>8</v>
      </c>
      <c r="N119" s="20">
        <f>SUMIFS('3월 단양 개인별 STAT'!N:N, '3월 단양 개인별 STAT'!$D:$D, $D119, '3월 단양 개인별 STAT'!$E:$E, $E119) + SUMIFS('4월 삼척 개인별 STAT'!N:N, '4월 삼척 개인별 STAT'!$D:$D, $D119, '4월 삼척 개인별 STAT'!$E:$E, $E119)</f>
        <v>0</v>
      </c>
      <c r="O119" s="20">
        <f>SUMIFS('3월 단양 개인별 STAT'!O:O, '3월 단양 개인별 STAT'!$D:$D, $D119, '3월 단양 개인별 STAT'!$E:$E, $E119) + SUMIFS('4월 삼척 개인별 STAT'!O:O, '4월 삼척 개인별 STAT'!$D:$D, $D119, '4월 삼척 개인별 STAT'!$E:$E, $E119)</f>
        <v>1</v>
      </c>
      <c r="P119" s="20">
        <f>SUMIFS('3월 단양 개인별 STAT'!P:P, '3월 단양 개인별 STAT'!$D:$D, $D119, '3월 단양 개인별 STAT'!$E:$E, $E119) + SUMIFS('4월 삼척 개인별 STAT'!P:P, '4월 삼척 개인별 STAT'!$D:$D, $D119, '4월 삼척 개인별 STAT'!$E:$E, $E119)</f>
        <v>0</v>
      </c>
      <c r="Q119" s="20">
        <f>SUMIFS('3월 단양 개인별 STAT'!Q:Q, '3월 단양 개인별 STAT'!$D:$D, $D119, '3월 단양 개인별 STAT'!$E:$E, $E119) + SUMIFS('4월 삼척 개인별 STAT'!Q:Q, '4월 삼척 개인별 STAT'!$D:$D, $D119, '4월 삼척 개인별 STAT'!$E:$E, $E119)</f>
        <v>0</v>
      </c>
      <c r="R119" s="33" t="str">
        <f t="shared" si="3"/>
        <v>-</v>
      </c>
      <c r="S119" s="34" t="str">
        <f t="shared" si="4"/>
        <v>-</v>
      </c>
      <c r="T119" s="20">
        <f>SUMIFS('3월 단양 개인별 STAT'!T:T, '3월 단양 개인별 STAT'!$D:$D, $D119, '3월 단양 개인별 STAT'!$E:$E, $E119) + SUMIFS('4월 삼척 개인별 STAT'!T:T, '4월 삼척 개인별 STAT'!$D:$D, $D119, '4월 삼척 개인별 STAT'!$E:$E, $E119)</f>
        <v>1</v>
      </c>
      <c r="U119" s="20">
        <f>SUMIFS('3월 단양 개인별 STAT'!U:U, '3월 단양 개인별 STAT'!$D:$D, $D119, '3월 단양 개인별 STAT'!$E:$E, $E119) + SUMIFS('4월 삼척 개인별 STAT'!U:U, '4월 삼척 개인별 STAT'!$D:$D, $D119, '4월 삼척 개인별 STAT'!$E:$E, $E119)</f>
        <v>0</v>
      </c>
      <c r="V119" s="20">
        <f>SUMIFS('3월 단양 개인별 STAT'!V:V, '3월 단양 개인별 STAT'!$D:$D, $D119, '3월 단양 개인별 STAT'!$E:$E, $E119) + SUMIFS('4월 삼척 개인별 STAT'!V:V, '4월 삼척 개인별 STAT'!$D:$D, $D119, '4월 삼척 개인별 STAT'!$E:$E, $E119)</f>
        <v>0</v>
      </c>
      <c r="W119" s="20">
        <f>SUMIFS('3월 단양 개인별 STAT'!W:W, '3월 단양 개인별 STAT'!$D:$D, $D119, '3월 단양 개인별 STAT'!$E:$E, $E119) + SUMIFS('4월 삼척 개인별 STAT'!W:W, '4월 삼척 개인별 STAT'!$D:$D, $D119, '4월 삼척 개인별 STAT'!$E:$E, $E119)</f>
        <v>0</v>
      </c>
      <c r="X119" s="20">
        <f>SUMIFS('3월 단양 개인별 STAT'!X:X, '3월 단양 개인별 STAT'!$D:$D, $D119, '3월 단양 개인별 STAT'!$E:$E, $E119) + SUMIFS('4월 삼척 개인별 STAT'!X:X, '4월 삼척 개인별 STAT'!$D:$D, $D119, '4월 삼척 개인별 STAT'!$E:$E, $E119)</f>
        <v>0</v>
      </c>
      <c r="Y119" s="20">
        <f>SUMIFS('3월 단양 개인별 STAT'!Y:Y, '3월 단양 개인별 STAT'!$D:$D, $D119, '3월 단양 개인별 STAT'!$E:$E, $E119) + SUMIFS('4월 삼척 개인별 STAT'!Y:Y, '4월 삼척 개인별 STAT'!$D:$D, $D119, '4월 삼척 개인별 STAT'!$E:$E, $E119)</f>
        <v>0</v>
      </c>
      <c r="Z119" s="33" t="str">
        <f t="shared" si="5"/>
        <v>-</v>
      </c>
      <c r="AA119" s="20">
        <f>SUMIFS('3월 단양 개인별 STAT'!AA:AA, '3월 단양 개인별 STAT'!$D:$D, $D119, '3월 단양 개인별 STAT'!$E:$E, $E119) + SUMIFS('4월 삼척 개인별 STAT'!AA:AA, '4월 삼척 개인별 STAT'!$D:$D, $D119, '4월 삼척 개인별 STAT'!$E:$E, $E119)</f>
        <v>3</v>
      </c>
      <c r="AB119" s="35">
        <f t="shared" si="6"/>
        <v>1</v>
      </c>
      <c r="AC119" s="23">
        <f t="shared" si="7"/>
        <v>1</v>
      </c>
      <c r="AD119" s="35">
        <f t="shared" si="8"/>
        <v>35</v>
      </c>
      <c r="AE119" s="20">
        <f>SUMIFS('3월 단양 개인별 STAT'!AE:AE, '3월 단양 개인별 STAT'!$D:$D, $D119, '3월 단양 개인별 STAT'!$E:$E, $E119) + SUMIFS('4월 삼척 개인별 STAT'!AE:AE, '4월 삼척 개인별 STAT'!$D:$D, $D119, '4월 삼척 개인별 STAT'!$E:$E, $E119)</f>
        <v>31</v>
      </c>
      <c r="AF119" s="20">
        <f>SUMIFS('3월 단양 개인별 STAT'!AF:AF, '3월 단양 개인별 STAT'!$D:$D, $D119, '3월 단양 개인별 STAT'!$E:$E, $E119) + SUMIFS('4월 삼척 개인별 STAT'!AF:AF, '4월 삼척 개인별 STAT'!$D:$D, $D119, '4월 삼척 개인별 STAT'!$E:$E, $E119)</f>
        <v>4</v>
      </c>
      <c r="AG119" s="36">
        <f t="shared" si="9"/>
        <v>88.57142857</v>
      </c>
      <c r="AH119" s="20">
        <f>SUMIFS('3월 단양 개인별 STAT'!AH:AH, '3월 단양 개인별 STAT'!$D:$D, $D119, '3월 단양 개인별 STAT'!$E:$E, $E119) + SUMIFS('4월 삼척 개인별 STAT'!AH:AH, '4월 삼척 개인별 STAT'!$D:$D, $D119, '4월 삼척 개인별 STAT'!$E:$E, $E119)</f>
        <v>7</v>
      </c>
      <c r="AI119" s="34" t="str">
        <f t="shared" si="10"/>
        <v>0.88</v>
      </c>
      <c r="AJ119" s="25"/>
      <c r="AL119" s="27">
        <f t="shared" si="11"/>
        <v>0</v>
      </c>
      <c r="AM119" s="27" t="str">
        <f t="shared" si="30"/>
        <v>-</v>
      </c>
      <c r="AN119" s="28" t="str">
        <f t="shared" si="13"/>
        <v>-</v>
      </c>
      <c r="AO119" s="27">
        <f t="shared" si="14"/>
        <v>0.125</v>
      </c>
      <c r="AP119" s="27">
        <f t="shared" si="15"/>
        <v>0</v>
      </c>
      <c r="AQ119" s="27">
        <f t="shared" ref="AQ119:AR119" si="133">iferror(AB119/$M119,"-")</f>
        <v>0.125</v>
      </c>
      <c r="AR119" s="27">
        <f t="shared" si="133"/>
        <v>0.125</v>
      </c>
      <c r="AS119" s="29">
        <f t="shared" si="17"/>
        <v>0.5</v>
      </c>
      <c r="AT119" s="29" t="str">
        <f t="shared" si="18"/>
        <v>0.88</v>
      </c>
    </row>
    <row r="120">
      <c r="B120" s="17">
        <v>117.0</v>
      </c>
      <c r="C120" s="18">
        <f t="shared" si="2"/>
        <v>5</v>
      </c>
      <c r="D120" s="19" t="s">
        <v>173</v>
      </c>
      <c r="E120" s="19" t="s">
        <v>178</v>
      </c>
      <c r="F120" s="19">
        <v>2.0</v>
      </c>
      <c r="G120" s="19" t="s">
        <v>50</v>
      </c>
      <c r="H120" s="19" t="s">
        <v>52</v>
      </c>
      <c r="I120" s="19">
        <v>168.0</v>
      </c>
      <c r="J120" s="19">
        <v>57.0</v>
      </c>
      <c r="K120" s="20">
        <v>6.0</v>
      </c>
      <c r="L120" s="20">
        <f>SUMIFS('3월 단양 개인별 STAT'!L:L, '3월 단양 개인별 STAT'!$D:$D, $D120, '3월 단양 개인별 STAT'!$E:$E, $E120) + SUMIFS('4월 삼척 개인별 STAT'!L:L, '4월 삼척 개인별 STAT'!$D:$D, $D120, '4월 삼척 개인별 STAT'!$E:$E, $E120)</f>
        <v>0</v>
      </c>
      <c r="M120" s="20">
        <f>SUMIFS('3월 단양 개인별 STAT'!M:M, '3월 단양 개인별 STAT'!$D:$D, $D120, '3월 단양 개인별 STAT'!$E:$E, $E120) + SUMIFS('4월 삼척 개인별 STAT'!M:M, '4월 삼척 개인별 STAT'!$D:$D, $D120, '4월 삼척 개인별 STAT'!$E:$E, $E120)</f>
        <v>0</v>
      </c>
      <c r="N120" s="20">
        <f>SUMIFS('3월 단양 개인별 STAT'!N:N, '3월 단양 개인별 STAT'!$D:$D, $D120, '3월 단양 개인별 STAT'!$E:$E, $E120) + SUMIFS('4월 삼척 개인별 STAT'!N:N, '4월 삼척 개인별 STAT'!$D:$D, $D120, '4월 삼척 개인별 STAT'!$E:$E, $E120)</f>
        <v>0</v>
      </c>
      <c r="O120" s="20">
        <f>SUMIFS('3월 단양 개인별 STAT'!O:O, '3월 단양 개인별 STAT'!$D:$D, $D120, '3월 단양 개인별 STAT'!$E:$E, $E120) + SUMIFS('4월 삼척 개인별 STAT'!O:O, '4월 삼척 개인별 STAT'!$D:$D, $D120, '4월 삼척 개인별 STAT'!$E:$E, $E120)</f>
        <v>0</v>
      </c>
      <c r="P120" s="20">
        <f>SUMIFS('3월 단양 개인별 STAT'!P:P, '3월 단양 개인별 STAT'!$D:$D, $D120, '3월 단양 개인별 STAT'!$E:$E, $E120) + SUMIFS('4월 삼척 개인별 STAT'!P:P, '4월 삼척 개인별 STAT'!$D:$D, $D120, '4월 삼척 개인별 STAT'!$E:$E, $E120)</f>
        <v>0</v>
      </c>
      <c r="Q120" s="20">
        <f>SUMIFS('3월 단양 개인별 STAT'!Q:Q, '3월 단양 개인별 STAT'!$D:$D, $D120, '3월 단양 개인별 STAT'!$E:$E, $E120) + SUMIFS('4월 삼척 개인별 STAT'!Q:Q, '4월 삼척 개인별 STAT'!$D:$D, $D120, '4월 삼척 개인별 STAT'!$E:$E, $E120)</f>
        <v>0</v>
      </c>
      <c r="R120" s="33" t="str">
        <f t="shared" si="3"/>
        <v>-</v>
      </c>
      <c r="S120" s="34" t="str">
        <f t="shared" si="4"/>
        <v>-</v>
      </c>
      <c r="T120" s="20">
        <f>SUMIFS('3월 단양 개인별 STAT'!T:T, '3월 단양 개인별 STAT'!$D:$D, $D120, '3월 단양 개인별 STAT'!$E:$E, $E120) + SUMIFS('4월 삼척 개인별 STAT'!T:T, '4월 삼척 개인별 STAT'!$D:$D, $D120, '4월 삼척 개인별 STAT'!$E:$E, $E120)</f>
        <v>0</v>
      </c>
      <c r="U120" s="20">
        <f>SUMIFS('3월 단양 개인별 STAT'!U:U, '3월 단양 개인별 STAT'!$D:$D, $D120, '3월 단양 개인별 STAT'!$E:$E, $E120) + SUMIFS('4월 삼척 개인별 STAT'!U:U, '4월 삼척 개인별 STAT'!$D:$D, $D120, '4월 삼척 개인별 STAT'!$E:$E, $E120)</f>
        <v>0</v>
      </c>
      <c r="V120" s="20">
        <f>SUMIFS('3월 단양 개인별 STAT'!V:V, '3월 단양 개인별 STAT'!$D:$D, $D120, '3월 단양 개인별 STAT'!$E:$E, $E120) + SUMIFS('4월 삼척 개인별 STAT'!V:V, '4월 삼척 개인별 STAT'!$D:$D, $D120, '4월 삼척 개인별 STAT'!$E:$E, $E120)</f>
        <v>0</v>
      </c>
      <c r="W120" s="20">
        <f>SUMIFS('3월 단양 개인별 STAT'!W:W, '3월 단양 개인별 STAT'!$D:$D, $D120, '3월 단양 개인별 STAT'!$E:$E, $E120) + SUMIFS('4월 삼척 개인별 STAT'!W:W, '4월 삼척 개인별 STAT'!$D:$D, $D120, '4월 삼척 개인별 STAT'!$E:$E, $E120)</f>
        <v>0</v>
      </c>
      <c r="X120" s="20">
        <f>SUMIFS('3월 단양 개인별 STAT'!X:X, '3월 단양 개인별 STAT'!$D:$D, $D120, '3월 단양 개인별 STAT'!$E:$E, $E120) + SUMIFS('4월 삼척 개인별 STAT'!X:X, '4월 삼척 개인별 STAT'!$D:$D, $D120, '4월 삼척 개인별 STAT'!$E:$E, $E120)</f>
        <v>0</v>
      </c>
      <c r="Y120" s="20">
        <f>SUMIFS('3월 단양 개인별 STAT'!Y:Y, '3월 단양 개인별 STAT'!$D:$D, $D120, '3월 단양 개인별 STAT'!$E:$E, $E120) + SUMIFS('4월 삼척 개인별 STAT'!Y:Y, '4월 삼척 개인별 STAT'!$D:$D, $D120, '4월 삼척 개인별 STAT'!$E:$E, $E120)</f>
        <v>0</v>
      </c>
      <c r="Z120" s="33" t="str">
        <f t="shared" si="5"/>
        <v>-</v>
      </c>
      <c r="AA120" s="20">
        <f>SUMIFS('3월 단양 개인별 STAT'!AA:AA, '3월 단양 개인별 STAT'!$D:$D, $D120, '3월 단양 개인별 STAT'!$E:$E, $E120) + SUMIFS('4월 삼척 개인별 STAT'!AA:AA, '4월 삼척 개인별 STAT'!$D:$D, $D120, '4월 삼척 개인별 STAT'!$E:$E, $E120)</f>
        <v>0</v>
      </c>
      <c r="AB120" s="33" t="str">
        <f t="shared" si="6"/>
        <v>-</v>
      </c>
      <c r="AC120" s="23">
        <f t="shared" si="7"/>
        <v>0</v>
      </c>
      <c r="AD120" s="33" t="str">
        <f t="shared" si="8"/>
        <v>-</v>
      </c>
      <c r="AE120" s="20">
        <f>SUMIFS('3월 단양 개인별 STAT'!AE:AE, '3월 단양 개인별 STAT'!$D:$D, $D120, '3월 단양 개인별 STAT'!$E:$E, $E120) + SUMIFS('4월 삼척 개인별 STAT'!AE:AE, '4월 삼척 개인별 STAT'!$D:$D, $D120, '4월 삼척 개인별 STAT'!$E:$E, $E120)</f>
        <v>0</v>
      </c>
      <c r="AF120" s="20">
        <f>SUMIFS('3월 단양 개인별 STAT'!AF:AF, '3월 단양 개인별 STAT'!$D:$D, $D120, '3월 단양 개인별 STAT'!$E:$E, $E120) + SUMIFS('4월 삼척 개인별 STAT'!AF:AF, '4월 삼척 개인별 STAT'!$D:$D, $D120, '4월 삼척 개인별 STAT'!$E:$E, $E120)</f>
        <v>0</v>
      </c>
      <c r="AG120" s="36" t="str">
        <f t="shared" si="9"/>
        <v>-</v>
      </c>
      <c r="AH120" s="20">
        <f>SUMIFS('3월 단양 개인별 STAT'!AH:AH, '3월 단양 개인별 STAT'!$D:$D, $D120, '3월 단양 개인별 STAT'!$E:$E, $E120) + SUMIFS('4월 삼척 개인별 STAT'!AH:AH, '4월 삼척 개인별 STAT'!$D:$D, $D120, '4월 삼척 개인별 STAT'!$E:$E, $E120)</f>
        <v>0</v>
      </c>
      <c r="AI120" s="34" t="str">
        <f t="shared" si="10"/>
        <v>-</v>
      </c>
      <c r="AJ120" s="25"/>
      <c r="AL120" s="27" t="str">
        <f t="shared" si="11"/>
        <v>-</v>
      </c>
      <c r="AM120" s="27" t="str">
        <f t="shared" si="30"/>
        <v>-</v>
      </c>
      <c r="AN120" s="28" t="str">
        <f t="shared" si="13"/>
        <v>-</v>
      </c>
      <c r="AO120" s="27" t="str">
        <f t="shared" si="14"/>
        <v>-</v>
      </c>
      <c r="AP120" s="27" t="str">
        <f t="shared" si="15"/>
        <v>-</v>
      </c>
      <c r="AQ120" s="27" t="str">
        <f t="shared" ref="AQ120:AR120" si="134">iferror(AB120/$M120,"-")</f>
        <v>-</v>
      </c>
      <c r="AR120" s="27" t="str">
        <f t="shared" si="134"/>
        <v>-</v>
      </c>
      <c r="AS120" s="29" t="str">
        <f t="shared" si="17"/>
        <v>-</v>
      </c>
      <c r="AT120" s="29" t="str">
        <f t="shared" si="18"/>
        <v>-</v>
      </c>
    </row>
    <row r="121">
      <c r="B121" s="17">
        <v>118.0</v>
      </c>
      <c r="C121" s="18">
        <f t="shared" si="2"/>
        <v>6</v>
      </c>
      <c r="D121" s="19" t="s">
        <v>173</v>
      </c>
      <c r="E121" s="19" t="s">
        <v>179</v>
      </c>
      <c r="F121" s="19">
        <v>3.0</v>
      </c>
      <c r="G121" s="19" t="s">
        <v>52</v>
      </c>
      <c r="H121" s="19" t="s">
        <v>57</v>
      </c>
      <c r="I121" s="19">
        <v>175.0</v>
      </c>
      <c r="J121" s="19">
        <v>66.0</v>
      </c>
      <c r="K121" s="20">
        <v>7.0</v>
      </c>
      <c r="L121" s="20">
        <f>SUMIFS('3월 단양 개인별 STAT'!L:L, '3월 단양 개인별 STAT'!$D:$D, $D121, '3월 단양 개인별 STAT'!$E:$E, $E121) + SUMIFS('4월 삼척 개인별 STAT'!L:L, '4월 삼척 개인별 STAT'!$D:$D, $D121, '4월 삼척 개인별 STAT'!$E:$E, $E121)</f>
        <v>2</v>
      </c>
      <c r="M121" s="20">
        <f>SUMIFS('3월 단양 개인별 STAT'!M:M, '3월 단양 개인별 STAT'!$D:$D, $D121, '3월 단양 개인별 STAT'!$E:$E, $E121) + SUMIFS('4월 삼척 개인별 STAT'!M:M, '4월 삼척 개인별 STAT'!$D:$D, $D121, '4월 삼척 개인별 STAT'!$E:$E, $E121)</f>
        <v>7</v>
      </c>
      <c r="N121" s="20">
        <f>SUMIFS('3월 단양 개인별 STAT'!N:N, '3월 단양 개인별 STAT'!$D:$D, $D121, '3월 단양 개인별 STAT'!$E:$E, $E121) + SUMIFS('4월 삼척 개인별 STAT'!N:N, '4월 삼척 개인별 STAT'!$D:$D, $D121, '4월 삼척 개인별 STAT'!$E:$E, $E121)</f>
        <v>3</v>
      </c>
      <c r="O121" s="20">
        <f>SUMIFS('3월 단양 개인별 STAT'!O:O, '3월 단양 개인별 STAT'!$D:$D, $D121, '3월 단양 개인별 STAT'!$E:$E, $E121) + SUMIFS('4월 삼척 개인별 STAT'!O:O, '4월 삼척 개인별 STAT'!$D:$D, $D121, '4월 삼척 개인별 STAT'!$E:$E, $E121)</f>
        <v>2</v>
      </c>
      <c r="P121" s="20">
        <f>SUMIFS('3월 단양 개인별 STAT'!P:P, '3월 단양 개인별 STAT'!$D:$D, $D121, '3월 단양 개인별 STAT'!$E:$E, $E121) + SUMIFS('4월 삼척 개인별 STAT'!P:P, '4월 삼척 개인별 STAT'!$D:$D, $D121, '4월 삼척 개인별 STAT'!$E:$E, $E121)</f>
        <v>1</v>
      </c>
      <c r="Q121" s="20">
        <f>SUMIFS('3월 단양 개인별 STAT'!Q:Q, '3월 단양 개인별 STAT'!$D:$D, $D121, '3월 단양 개인별 STAT'!$E:$E, $E121) + SUMIFS('4월 삼척 개인별 STAT'!Q:Q, '4월 삼척 개인별 STAT'!$D:$D, $D121, '4월 삼척 개인별 STAT'!$E:$E, $E121)</f>
        <v>0</v>
      </c>
      <c r="R121" s="35">
        <f t="shared" si="3"/>
        <v>4</v>
      </c>
      <c r="S121" s="34">
        <f t="shared" si="4"/>
        <v>0.75</v>
      </c>
      <c r="T121" s="20">
        <f>SUMIFS('3월 단양 개인별 STAT'!T:T, '3월 단양 개인별 STAT'!$D:$D, $D121, '3월 단양 개인별 STAT'!$E:$E, $E121) + SUMIFS('4월 삼척 개인별 STAT'!T:T, '4월 삼척 개인별 STAT'!$D:$D, $D121, '4월 삼척 개인별 STAT'!$E:$E, $E121)</f>
        <v>0</v>
      </c>
      <c r="U121" s="20">
        <f>SUMIFS('3월 단양 개인별 STAT'!U:U, '3월 단양 개인별 STAT'!$D:$D, $D121, '3월 단양 개인별 STAT'!$E:$E, $E121) + SUMIFS('4월 삼척 개인별 STAT'!U:U, '4월 삼척 개인별 STAT'!$D:$D, $D121, '4월 삼척 개인별 STAT'!$E:$E, $E121)</f>
        <v>0</v>
      </c>
      <c r="V121" s="20">
        <f>SUMIFS('3월 단양 개인별 STAT'!V:V, '3월 단양 개인별 STAT'!$D:$D, $D121, '3월 단양 개인별 STAT'!$E:$E, $E121) + SUMIFS('4월 삼척 개인별 STAT'!V:V, '4월 삼척 개인별 STAT'!$D:$D, $D121, '4월 삼척 개인별 STAT'!$E:$E, $E121)</f>
        <v>0</v>
      </c>
      <c r="W121" s="20">
        <f>SUMIFS('3월 단양 개인별 STAT'!W:W, '3월 단양 개인별 STAT'!$D:$D, $D121, '3월 단양 개인별 STAT'!$E:$E, $E121) + SUMIFS('4월 삼척 개인별 STAT'!W:W, '4월 삼척 개인별 STAT'!$D:$D, $D121, '4월 삼척 개인별 STAT'!$E:$E, $E121)</f>
        <v>11</v>
      </c>
      <c r="X121" s="20">
        <f>SUMIFS('3월 단양 개인별 STAT'!X:X, '3월 단양 개인별 STAT'!$D:$D, $D121, '3월 단양 개인별 STAT'!$E:$E, $E121) + SUMIFS('4월 삼척 개인별 STAT'!X:X, '4월 삼척 개인별 STAT'!$D:$D, $D121, '4월 삼척 개인별 STAT'!$E:$E, $E121)</f>
        <v>1</v>
      </c>
      <c r="Y121" s="20">
        <f>SUMIFS('3월 단양 개인별 STAT'!Y:Y, '3월 단양 개인별 STAT'!$D:$D, $D121, '3월 단양 개인별 STAT'!$E:$E, $E121) + SUMIFS('4월 삼척 개인별 STAT'!Y:Y, '4월 삼척 개인별 STAT'!$D:$D, $D121, '4월 삼척 개인별 STAT'!$E:$E, $E121)</f>
        <v>1</v>
      </c>
      <c r="Z121" s="35">
        <f t="shared" si="5"/>
        <v>13</v>
      </c>
      <c r="AA121" s="20">
        <f>SUMIFS('3월 단양 개인별 STAT'!AA:AA, '3월 단양 개인별 STAT'!$D:$D, $D121, '3월 단양 개인별 STAT'!$E:$E, $E121) + SUMIFS('4월 삼척 개인별 STAT'!AA:AA, '4월 삼척 개인별 STAT'!$D:$D, $D121, '4월 삼척 개인별 STAT'!$E:$E, $E121)</f>
        <v>0</v>
      </c>
      <c r="AB121" s="35">
        <f t="shared" si="6"/>
        <v>4</v>
      </c>
      <c r="AC121" s="23">
        <f t="shared" si="7"/>
        <v>4</v>
      </c>
      <c r="AD121" s="35">
        <f t="shared" si="8"/>
        <v>18</v>
      </c>
      <c r="AE121" s="20">
        <f>SUMIFS('3월 단양 개인별 STAT'!AE:AE, '3월 단양 개인별 STAT'!$D:$D, $D121, '3월 단양 개인별 STAT'!$E:$E, $E121) + SUMIFS('4월 삼척 개인별 STAT'!AE:AE, '4월 삼척 개인별 STAT'!$D:$D, $D121, '4월 삼척 개인별 STAT'!$E:$E, $E121)</f>
        <v>15</v>
      </c>
      <c r="AF121" s="20">
        <f>SUMIFS('3월 단양 개인별 STAT'!AF:AF, '3월 단양 개인별 STAT'!$D:$D, $D121, '3월 단양 개인별 STAT'!$E:$E, $E121) + SUMIFS('4월 삼척 개인별 STAT'!AF:AF, '4월 삼척 개인별 STAT'!$D:$D, $D121, '4월 삼척 개인별 STAT'!$E:$E, $E121)</f>
        <v>3</v>
      </c>
      <c r="AG121" s="36">
        <f t="shared" si="9"/>
        <v>83.33333333</v>
      </c>
      <c r="AH121" s="20">
        <f>SUMIFS('3월 단양 개인별 STAT'!AH:AH, '3월 단양 개인별 STAT'!$D:$D, $D121, '3월 단양 개인별 STAT'!$E:$E, $E121) + SUMIFS('4월 삼척 개인별 STAT'!AH:AH, '4월 삼척 개인별 STAT'!$D:$D, $D121, '4월 삼척 개인별 STAT'!$E:$E, $E121)</f>
        <v>4</v>
      </c>
      <c r="AI121" s="34" t="str">
        <f t="shared" si="10"/>
        <v>0.57</v>
      </c>
      <c r="AJ121" s="25"/>
      <c r="AL121" s="27">
        <f t="shared" si="11"/>
        <v>0.4285714286</v>
      </c>
      <c r="AM121" s="27">
        <f t="shared" si="30"/>
        <v>0.5714285714</v>
      </c>
      <c r="AN121" s="28">
        <f t="shared" si="13"/>
        <v>0.75</v>
      </c>
      <c r="AO121" s="27">
        <f t="shared" si="14"/>
        <v>0</v>
      </c>
      <c r="AP121" s="27">
        <f t="shared" si="15"/>
        <v>0.1428571429</v>
      </c>
      <c r="AQ121" s="27">
        <f t="shared" ref="AQ121:AR121" si="135">iferror(AB121/$M121,"-")</f>
        <v>0.5714285714</v>
      </c>
      <c r="AR121" s="27">
        <f t="shared" si="135"/>
        <v>0.5714285714</v>
      </c>
      <c r="AS121" s="29">
        <f t="shared" si="17"/>
        <v>0.4285714286</v>
      </c>
      <c r="AT121" s="29" t="str">
        <f t="shared" si="18"/>
        <v>0.57</v>
      </c>
    </row>
    <row r="122">
      <c r="B122" s="17">
        <v>119.0</v>
      </c>
      <c r="C122" s="18">
        <f t="shared" si="2"/>
        <v>7</v>
      </c>
      <c r="D122" s="19" t="s">
        <v>173</v>
      </c>
      <c r="E122" s="19" t="s">
        <v>180</v>
      </c>
      <c r="F122" s="19">
        <v>2.0</v>
      </c>
      <c r="G122" s="19" t="s">
        <v>47</v>
      </c>
      <c r="H122" s="19" t="s">
        <v>52</v>
      </c>
      <c r="I122" s="19">
        <v>184.0</v>
      </c>
      <c r="J122" s="19">
        <v>70.0</v>
      </c>
      <c r="K122" s="20">
        <v>8.0</v>
      </c>
      <c r="L122" s="20">
        <f>SUMIFS('3월 단양 개인별 STAT'!L:L, '3월 단양 개인별 STAT'!$D:$D, $D122, '3월 단양 개인별 STAT'!$E:$E, $E122) + SUMIFS('4월 삼척 개인별 STAT'!L:L, '4월 삼척 개인별 STAT'!$D:$D, $D122, '4월 삼척 개인별 STAT'!$E:$E, $E122)</f>
        <v>2</v>
      </c>
      <c r="M122" s="20">
        <f>SUMIFS('3월 단양 개인별 STAT'!M:M, '3월 단양 개인별 STAT'!$D:$D, $D122, '3월 단양 개인별 STAT'!$E:$E, $E122) + SUMIFS('4월 삼척 개인별 STAT'!M:M, '4월 삼척 개인별 STAT'!$D:$D, $D122, '4월 삼척 개인별 STAT'!$E:$E, $E122)</f>
        <v>8</v>
      </c>
      <c r="N122" s="20">
        <f>SUMIFS('3월 단양 개인별 STAT'!N:N, '3월 단양 개인별 STAT'!$D:$D, $D122, '3월 단양 개인별 STAT'!$E:$E, $E122) + SUMIFS('4월 삼척 개인별 STAT'!N:N, '4월 삼척 개인별 STAT'!$D:$D, $D122, '4월 삼척 개인별 STAT'!$E:$E, $E122)</f>
        <v>37</v>
      </c>
      <c r="O122" s="20">
        <f>SUMIFS('3월 단양 개인별 STAT'!O:O, '3월 단양 개인별 STAT'!$D:$D, $D122, '3월 단양 개인별 STAT'!$E:$E, $E122) + SUMIFS('4월 삼척 개인별 STAT'!O:O, '4월 삼척 개인별 STAT'!$D:$D, $D122, '4월 삼척 개인별 STAT'!$E:$E, $E122)</f>
        <v>0</v>
      </c>
      <c r="P122" s="20">
        <f>SUMIFS('3월 단양 개인별 STAT'!P:P, '3월 단양 개인별 STAT'!$D:$D, $D122, '3월 단양 개인별 STAT'!$E:$E, $E122) + SUMIFS('4월 삼척 개인별 STAT'!P:P, '4월 삼척 개인별 STAT'!$D:$D, $D122, '4월 삼척 개인별 STAT'!$E:$E, $E122)</f>
        <v>39</v>
      </c>
      <c r="Q122" s="20">
        <f>SUMIFS('3월 단양 개인별 STAT'!Q:Q, '3월 단양 개인별 STAT'!$D:$D, $D122, '3월 단양 개인별 STAT'!$E:$E, $E122) + SUMIFS('4월 삼척 개인별 STAT'!Q:Q, '4월 삼척 개인별 STAT'!$D:$D, $D122, '4월 삼척 개인별 STAT'!$E:$E, $E122)</f>
        <v>11</v>
      </c>
      <c r="R122" s="35">
        <f t="shared" si="3"/>
        <v>87</v>
      </c>
      <c r="S122" s="34">
        <f t="shared" si="4"/>
        <v>0.3</v>
      </c>
      <c r="T122" s="20">
        <f>SUMIFS('3월 단양 개인별 STAT'!T:T, '3월 단양 개인별 STAT'!$D:$D, $D122, '3월 단양 개인별 STAT'!$E:$E, $E122) + SUMIFS('4월 삼척 개인별 STAT'!T:T, '4월 삼척 개인별 STAT'!$D:$D, $D122, '4월 삼척 개인별 STAT'!$E:$E, $E122)</f>
        <v>3</v>
      </c>
      <c r="U122" s="20">
        <f>SUMIFS('3월 단양 개인별 STAT'!U:U, '3월 단양 개인별 STAT'!$D:$D, $D122, '3월 단양 개인별 STAT'!$E:$E, $E122) + SUMIFS('4월 삼척 개인별 STAT'!U:U, '4월 삼척 개인별 STAT'!$D:$D, $D122, '4월 삼척 개인별 STAT'!$E:$E, $E122)</f>
        <v>0</v>
      </c>
      <c r="V122" s="20">
        <f>SUMIFS('3월 단양 개인별 STAT'!V:V, '3월 단양 개인별 STAT'!$D:$D, $D122, '3월 단양 개인별 STAT'!$E:$E, $E122) + SUMIFS('4월 삼척 개인별 STAT'!V:V, '4월 삼척 개인별 STAT'!$D:$D, $D122, '4월 삼척 개인별 STAT'!$E:$E, $E122)</f>
        <v>1</v>
      </c>
      <c r="W122" s="20">
        <f>SUMIFS('3월 단양 개인별 STAT'!W:W, '3월 단양 개인별 STAT'!$D:$D, $D122, '3월 단양 개인별 STAT'!$E:$E, $E122) + SUMIFS('4월 삼척 개인별 STAT'!W:W, '4월 삼척 개인별 STAT'!$D:$D, $D122, '4월 삼척 개인별 STAT'!$E:$E, $E122)</f>
        <v>18</v>
      </c>
      <c r="X122" s="20">
        <f>SUMIFS('3월 단양 개인별 STAT'!X:X, '3월 단양 개인별 STAT'!$D:$D, $D122, '3월 단양 개인별 STAT'!$E:$E, $E122) + SUMIFS('4월 삼척 개인별 STAT'!X:X, '4월 삼척 개인별 STAT'!$D:$D, $D122, '4월 삼척 개인별 STAT'!$E:$E, $E122)</f>
        <v>5</v>
      </c>
      <c r="Y122" s="20">
        <f>SUMIFS('3월 단양 개인별 STAT'!Y:Y, '3월 단양 개인별 STAT'!$D:$D, $D122, '3월 단양 개인별 STAT'!$E:$E, $E122) + SUMIFS('4월 삼척 개인별 STAT'!Y:Y, '4월 삼척 개인별 STAT'!$D:$D, $D122, '4월 삼척 개인별 STAT'!$E:$E, $E122)</f>
        <v>4</v>
      </c>
      <c r="Z122" s="35">
        <f t="shared" si="5"/>
        <v>27</v>
      </c>
      <c r="AA122" s="20">
        <f>SUMIFS('3월 단양 개인별 STAT'!AA:AA, '3월 단양 개인별 STAT'!$D:$D, $D122, '3월 단양 개인별 STAT'!$E:$E, $E122) + SUMIFS('4월 삼척 개인별 STAT'!AA:AA, '4월 삼척 개인별 STAT'!$D:$D, $D122, '4월 삼척 개인별 STAT'!$E:$E, $E122)</f>
        <v>0</v>
      </c>
      <c r="AB122" s="35">
        <f t="shared" si="6"/>
        <v>45</v>
      </c>
      <c r="AC122" s="23">
        <f t="shared" si="7"/>
        <v>45.75</v>
      </c>
      <c r="AD122" s="35">
        <f t="shared" si="8"/>
        <v>1</v>
      </c>
      <c r="AE122" s="20">
        <f>SUMIFS('3월 단양 개인별 STAT'!AE:AE, '3월 단양 개인별 STAT'!$D:$D, $D122, '3월 단양 개인별 STAT'!$E:$E, $E122) + SUMIFS('4월 삼척 개인별 STAT'!AE:AE, '4월 삼척 개인별 STAT'!$D:$D, $D122, '4월 삼척 개인별 STAT'!$E:$E, $E122)</f>
        <v>1</v>
      </c>
      <c r="AF122" s="20">
        <f>SUMIFS('3월 단양 개인별 STAT'!AF:AF, '3월 단양 개인별 STAT'!$D:$D, $D122, '3월 단양 개인별 STAT'!$E:$E, $E122) + SUMIFS('4월 삼척 개인별 STAT'!AF:AF, '4월 삼척 개인별 STAT'!$D:$D, $D122, '4월 삼척 개인별 STAT'!$E:$E, $E122)</f>
        <v>0</v>
      </c>
      <c r="AG122" s="36">
        <f t="shared" si="9"/>
        <v>100</v>
      </c>
      <c r="AH122" s="20">
        <f>SUMIFS('3월 단양 개인별 STAT'!AH:AH, '3월 단양 개인별 STAT'!$D:$D, $D122, '3월 단양 개인별 STAT'!$E:$E, $E122) + SUMIFS('4월 삼척 개인별 STAT'!AH:AH, '4월 삼척 개인별 STAT'!$D:$D, $D122, '4월 삼척 개인별 STAT'!$E:$E, $E122)</f>
        <v>6</v>
      </c>
      <c r="AI122" s="34" t="str">
        <f t="shared" si="10"/>
        <v>0.75</v>
      </c>
      <c r="AJ122" s="25"/>
      <c r="AL122" s="27">
        <f t="shared" si="11"/>
        <v>4.625</v>
      </c>
      <c r="AM122" s="27">
        <f t="shared" si="30"/>
        <v>10.875</v>
      </c>
      <c r="AN122" s="28">
        <f t="shared" si="13"/>
        <v>0.4252873563</v>
      </c>
      <c r="AO122" s="27">
        <f t="shared" si="14"/>
        <v>0.375</v>
      </c>
      <c r="AP122" s="27">
        <f t="shared" si="15"/>
        <v>0.625</v>
      </c>
      <c r="AQ122" s="27">
        <f t="shared" ref="AQ122:AR122" si="136">iferror(AB122/$M122,"-")</f>
        <v>5.625</v>
      </c>
      <c r="AR122" s="27">
        <f t="shared" si="136"/>
        <v>5.71875</v>
      </c>
      <c r="AS122" s="29">
        <f t="shared" si="17"/>
        <v>0</v>
      </c>
      <c r="AT122" s="29" t="str">
        <f t="shared" si="18"/>
        <v>0.75</v>
      </c>
    </row>
    <row r="123">
      <c r="B123" s="17">
        <v>120.0</v>
      </c>
      <c r="C123" s="18">
        <f t="shared" si="2"/>
        <v>8</v>
      </c>
      <c r="D123" s="19" t="s">
        <v>173</v>
      </c>
      <c r="E123" s="19" t="s">
        <v>181</v>
      </c>
      <c r="F123" s="19">
        <v>3.0</v>
      </c>
      <c r="G123" s="19" t="s">
        <v>52</v>
      </c>
      <c r="H123" s="19" t="s">
        <v>57</v>
      </c>
      <c r="I123" s="19">
        <v>175.0</v>
      </c>
      <c r="J123" s="19">
        <v>60.0</v>
      </c>
      <c r="K123" s="20">
        <v>9.0</v>
      </c>
      <c r="L123" s="20">
        <f>SUMIFS('3월 단양 개인별 STAT'!L:L, '3월 단양 개인별 STAT'!$D:$D, $D123, '3월 단양 개인별 STAT'!$E:$E, $E123) + SUMIFS('4월 삼척 개인별 STAT'!L:L, '4월 삼척 개인별 STAT'!$D:$D, $D123, '4월 삼척 개인별 STAT'!$E:$E, $E123)</f>
        <v>2</v>
      </c>
      <c r="M123" s="20">
        <f>SUMIFS('3월 단양 개인별 STAT'!M:M, '3월 단양 개인별 STAT'!$D:$D, $D123, '3월 단양 개인별 STAT'!$E:$E, $E123) + SUMIFS('4월 삼척 개인별 STAT'!M:M, '4월 삼척 개인별 STAT'!$D:$D, $D123, '4월 삼척 개인별 STAT'!$E:$E, $E123)</f>
        <v>8</v>
      </c>
      <c r="N123" s="20">
        <f>SUMIFS('3월 단양 개인별 STAT'!N:N, '3월 단양 개인별 STAT'!$D:$D, $D123, '3월 단양 개인별 STAT'!$E:$E, $E123) + SUMIFS('4월 삼척 개인별 STAT'!N:N, '4월 삼척 개인별 STAT'!$D:$D, $D123, '4월 삼척 개인별 STAT'!$E:$E, $E123)</f>
        <v>15</v>
      </c>
      <c r="O123" s="20">
        <f>SUMIFS('3월 단양 개인별 STAT'!O:O, '3월 단양 개인별 STAT'!$D:$D, $D123, '3월 단양 개인별 STAT'!$E:$E, $E123) + SUMIFS('4월 삼척 개인별 STAT'!O:O, '4월 삼척 개인별 STAT'!$D:$D, $D123, '4월 삼척 개인별 STAT'!$E:$E, $E123)</f>
        <v>4</v>
      </c>
      <c r="P123" s="20">
        <f>SUMIFS('3월 단양 개인별 STAT'!P:P, '3월 단양 개인별 STAT'!$D:$D, $D123, '3월 단양 개인별 STAT'!$E:$E, $E123) + SUMIFS('4월 삼척 개인별 STAT'!P:P, '4월 삼척 개인별 STAT'!$D:$D, $D123, '4월 삼척 개인별 STAT'!$E:$E, $E123)</f>
        <v>19</v>
      </c>
      <c r="Q123" s="20">
        <f>SUMIFS('3월 단양 개인별 STAT'!Q:Q, '3월 단양 개인별 STAT'!$D:$D, $D123, '3월 단양 개인별 STAT'!$E:$E, $E123) + SUMIFS('4월 삼척 개인별 STAT'!Q:Q, '4월 삼척 개인별 STAT'!$D:$D, $D123, '4월 삼척 개인별 STAT'!$E:$E, $E123)</f>
        <v>0</v>
      </c>
      <c r="R123" s="35">
        <f t="shared" si="3"/>
        <v>34</v>
      </c>
      <c r="S123" s="34">
        <f t="shared" si="4"/>
        <v>0.44</v>
      </c>
      <c r="T123" s="20">
        <f>SUMIFS('3월 단양 개인별 STAT'!T:T, '3월 단양 개인별 STAT'!$D:$D, $D123, '3월 단양 개인별 STAT'!$E:$E, $E123) + SUMIFS('4월 삼척 개인별 STAT'!T:T, '4월 삼척 개인별 STAT'!$D:$D, $D123, '4월 삼척 개인별 STAT'!$E:$E, $E123)</f>
        <v>1</v>
      </c>
      <c r="U123" s="20">
        <f>SUMIFS('3월 단양 개인별 STAT'!U:U, '3월 단양 개인별 STAT'!$D:$D, $D123, '3월 단양 개인별 STAT'!$E:$E, $E123) + SUMIFS('4월 삼척 개인별 STAT'!U:U, '4월 삼척 개인별 STAT'!$D:$D, $D123, '4월 삼척 개인별 STAT'!$E:$E, $E123)</f>
        <v>0</v>
      </c>
      <c r="V123" s="20">
        <f>SUMIFS('3월 단양 개인별 STAT'!V:V, '3월 단양 개인별 STAT'!$D:$D, $D123, '3월 단양 개인별 STAT'!$E:$E, $E123) + SUMIFS('4월 삼척 개인별 STAT'!V:V, '4월 삼척 개인별 STAT'!$D:$D, $D123, '4월 삼척 개인별 STAT'!$E:$E, $E123)</f>
        <v>3</v>
      </c>
      <c r="W123" s="20">
        <f>SUMIFS('3월 단양 개인별 STAT'!W:W, '3월 단양 개인별 STAT'!$D:$D, $D123, '3월 단양 개인별 STAT'!$E:$E, $E123) + SUMIFS('4월 삼척 개인별 STAT'!W:W, '4월 삼척 개인별 STAT'!$D:$D, $D123, '4월 삼척 개인별 STAT'!$E:$E, $E123)</f>
        <v>27</v>
      </c>
      <c r="X123" s="20">
        <f>SUMIFS('3월 단양 개인별 STAT'!X:X, '3월 단양 개인별 STAT'!$D:$D, $D123, '3월 단양 개인별 STAT'!$E:$E, $E123) + SUMIFS('4월 삼척 개인별 STAT'!X:X, '4월 삼척 개인별 STAT'!$D:$D, $D123, '4월 삼척 개인별 STAT'!$E:$E, $E123)</f>
        <v>4</v>
      </c>
      <c r="Y123" s="20">
        <f>SUMIFS('3월 단양 개인별 STAT'!Y:Y, '3월 단양 개인별 STAT'!$D:$D, $D123, '3월 단양 개인별 STAT'!$E:$E, $E123) + SUMIFS('4월 삼척 개인별 STAT'!Y:Y, '4월 삼척 개인별 STAT'!$D:$D, $D123, '4월 삼척 개인별 STAT'!$E:$E, $E123)</f>
        <v>5</v>
      </c>
      <c r="Z123" s="35">
        <f t="shared" si="5"/>
        <v>36</v>
      </c>
      <c r="AA123" s="20">
        <f>SUMIFS('3월 단양 개인별 STAT'!AA:AA, '3월 단양 개인별 STAT'!$D:$D, $D123, '3월 단양 개인별 STAT'!$E:$E, $E123) + SUMIFS('4월 삼척 개인별 STAT'!AA:AA, '4월 삼척 개인별 STAT'!$D:$D, $D123, '4월 삼척 개인별 STAT'!$E:$E, $E123)</f>
        <v>1</v>
      </c>
      <c r="AB123" s="35">
        <f t="shared" si="6"/>
        <v>20</v>
      </c>
      <c r="AC123" s="23">
        <f t="shared" si="7"/>
        <v>22.25</v>
      </c>
      <c r="AD123" s="35">
        <f t="shared" si="8"/>
        <v>53</v>
      </c>
      <c r="AE123" s="20">
        <f>SUMIFS('3월 단양 개인별 STAT'!AE:AE, '3월 단양 개인별 STAT'!$D:$D, $D123, '3월 단양 개인별 STAT'!$E:$E, $E123) + SUMIFS('4월 삼척 개인별 STAT'!AE:AE, '4월 삼척 개인별 STAT'!$D:$D, $D123, '4월 삼척 개인별 STAT'!$E:$E, $E123)</f>
        <v>45</v>
      </c>
      <c r="AF123" s="20">
        <f>SUMIFS('3월 단양 개인별 STAT'!AF:AF, '3월 단양 개인별 STAT'!$D:$D, $D123, '3월 단양 개인별 STAT'!$E:$E, $E123) + SUMIFS('4월 삼척 개인별 STAT'!AF:AF, '4월 삼척 개인별 STAT'!$D:$D, $D123, '4월 삼척 개인별 STAT'!$E:$E, $E123)</f>
        <v>8</v>
      </c>
      <c r="AG123" s="36">
        <f t="shared" si="9"/>
        <v>84.90566038</v>
      </c>
      <c r="AH123" s="20">
        <f>SUMIFS('3월 단양 개인별 STAT'!AH:AH, '3월 단양 개인별 STAT'!$D:$D, $D123, '3월 단양 개인별 STAT'!$E:$E, $E123) + SUMIFS('4월 삼척 개인별 STAT'!AH:AH, '4월 삼척 개인별 STAT'!$D:$D, $D123, '4월 삼척 개인별 STAT'!$E:$E, $E123)</f>
        <v>16</v>
      </c>
      <c r="AI123" s="34" t="str">
        <f t="shared" si="10"/>
        <v>2</v>
      </c>
      <c r="AJ123" s="25"/>
      <c r="AL123" s="27">
        <f t="shared" si="11"/>
        <v>1.875</v>
      </c>
      <c r="AM123" s="27">
        <f t="shared" si="30"/>
        <v>4.25</v>
      </c>
      <c r="AN123" s="28">
        <f t="shared" si="13"/>
        <v>0.4411764706</v>
      </c>
      <c r="AO123" s="27">
        <f t="shared" si="14"/>
        <v>0.125</v>
      </c>
      <c r="AP123" s="27">
        <f t="shared" si="15"/>
        <v>0.5</v>
      </c>
      <c r="AQ123" s="27">
        <f t="shared" ref="AQ123:AR123" si="137">iferror(AB123/$M123,"-")</f>
        <v>2.5</v>
      </c>
      <c r="AR123" s="27">
        <f t="shared" si="137"/>
        <v>2.78125</v>
      </c>
      <c r="AS123" s="29">
        <f t="shared" si="17"/>
        <v>1</v>
      </c>
      <c r="AT123" s="29" t="str">
        <f t="shared" si="18"/>
        <v>2</v>
      </c>
    </row>
    <row r="124">
      <c r="B124" s="17">
        <v>121.0</v>
      </c>
      <c r="C124" s="18">
        <f t="shared" si="2"/>
        <v>9</v>
      </c>
      <c r="D124" s="19" t="s">
        <v>173</v>
      </c>
      <c r="E124" s="19" t="s">
        <v>182</v>
      </c>
      <c r="F124" s="19">
        <v>1.0</v>
      </c>
      <c r="G124" s="19" t="s">
        <v>52</v>
      </c>
      <c r="H124" s="19" t="s">
        <v>57</v>
      </c>
      <c r="I124" s="19">
        <v>180.0</v>
      </c>
      <c r="J124" s="19">
        <v>61.0</v>
      </c>
      <c r="K124" s="20">
        <v>10.0</v>
      </c>
      <c r="L124" s="20">
        <f>SUMIFS('3월 단양 개인별 STAT'!L:L, '3월 단양 개인별 STAT'!$D:$D, $D124, '3월 단양 개인별 STAT'!$E:$E, $E124) + SUMIFS('4월 삼척 개인별 STAT'!L:L, '4월 삼척 개인별 STAT'!$D:$D, $D124, '4월 삼척 개인별 STAT'!$E:$E, $E124)</f>
        <v>2</v>
      </c>
      <c r="M124" s="20">
        <f>SUMIFS('3월 단양 개인별 STAT'!M:M, '3월 단양 개인별 STAT'!$D:$D, $D124, '3월 단양 개인별 STAT'!$E:$E, $E124) + SUMIFS('4월 삼척 개인별 STAT'!M:M, '4월 삼척 개인별 STAT'!$D:$D, $D124, '4월 삼척 개인별 STAT'!$E:$E, $E124)</f>
        <v>8</v>
      </c>
      <c r="N124" s="20">
        <f>SUMIFS('3월 단양 개인별 STAT'!N:N, '3월 단양 개인별 STAT'!$D:$D, $D124, '3월 단양 개인별 STAT'!$E:$E, $E124) + SUMIFS('4월 삼척 개인별 STAT'!N:N, '4월 삼척 개인별 STAT'!$D:$D, $D124, '4월 삼척 개인별 STAT'!$E:$E, $E124)</f>
        <v>19</v>
      </c>
      <c r="O124" s="20">
        <f>SUMIFS('3월 단양 개인별 STAT'!O:O, '3월 단양 개인별 STAT'!$D:$D, $D124, '3월 단양 개인별 STAT'!$E:$E, $E124) + SUMIFS('4월 삼척 개인별 STAT'!O:O, '4월 삼척 개인별 STAT'!$D:$D, $D124, '4월 삼척 개인별 STAT'!$E:$E, $E124)</f>
        <v>1</v>
      </c>
      <c r="P124" s="20">
        <f>SUMIFS('3월 단양 개인별 STAT'!P:P, '3월 단양 개인별 STAT'!$D:$D, $D124, '3월 단양 개인별 STAT'!$E:$E, $E124) + SUMIFS('4월 삼척 개인별 STAT'!P:P, '4월 삼척 개인별 STAT'!$D:$D, $D124, '4월 삼척 개인별 STAT'!$E:$E, $E124)</f>
        <v>21</v>
      </c>
      <c r="Q124" s="20">
        <f>SUMIFS('3월 단양 개인별 STAT'!Q:Q, '3월 단양 개인별 STAT'!$D:$D, $D124, '3월 단양 개인별 STAT'!$E:$E, $E124) + SUMIFS('4월 삼척 개인별 STAT'!Q:Q, '4월 삼척 개인별 STAT'!$D:$D, $D124, '4월 삼척 개인별 STAT'!$E:$E, $E124)</f>
        <v>16</v>
      </c>
      <c r="R124" s="35">
        <f t="shared" si="3"/>
        <v>56</v>
      </c>
      <c r="S124" s="34">
        <f t="shared" si="4"/>
        <v>0.05</v>
      </c>
      <c r="T124" s="20">
        <f>SUMIFS('3월 단양 개인별 STAT'!T:T, '3월 단양 개인별 STAT'!$D:$D, $D124, '3월 단양 개인별 STAT'!$E:$E, $E124) + SUMIFS('4월 삼척 개인별 STAT'!T:T, '4월 삼척 개인별 STAT'!$D:$D, $D124, '4월 삼척 개인별 STAT'!$E:$E, $E124)</f>
        <v>0</v>
      </c>
      <c r="U124" s="20">
        <f>SUMIFS('3월 단양 개인별 STAT'!U:U, '3월 단양 개인별 STAT'!$D:$D, $D124, '3월 단양 개인별 STAT'!$E:$E, $E124) + SUMIFS('4월 삼척 개인별 STAT'!U:U, '4월 삼척 개인별 STAT'!$D:$D, $D124, '4월 삼척 개인별 STAT'!$E:$E, $E124)</f>
        <v>0</v>
      </c>
      <c r="V124" s="20">
        <f>SUMIFS('3월 단양 개인별 STAT'!V:V, '3월 단양 개인별 STAT'!$D:$D, $D124, '3월 단양 개인별 STAT'!$E:$E, $E124) + SUMIFS('4월 삼척 개인별 STAT'!V:V, '4월 삼척 개인별 STAT'!$D:$D, $D124, '4월 삼척 개인별 STAT'!$E:$E, $E124)</f>
        <v>0</v>
      </c>
      <c r="W124" s="20">
        <f>SUMIFS('3월 단양 개인별 STAT'!W:W, '3월 단양 개인별 STAT'!$D:$D, $D124, '3월 단양 개인별 STAT'!$E:$E, $E124) + SUMIFS('4월 삼척 개인별 STAT'!W:W, '4월 삼척 개인별 STAT'!$D:$D, $D124, '4월 삼척 개인별 STAT'!$E:$E, $E124)</f>
        <v>13</v>
      </c>
      <c r="X124" s="20">
        <f>SUMIFS('3월 단양 개인별 STAT'!X:X, '3월 단양 개인별 STAT'!$D:$D, $D124, '3월 단양 개인별 STAT'!$E:$E, $E124) + SUMIFS('4월 삼척 개인별 STAT'!X:X, '4월 삼척 개인별 STAT'!$D:$D, $D124, '4월 삼척 개인별 STAT'!$E:$E, $E124)</f>
        <v>0</v>
      </c>
      <c r="Y124" s="20">
        <f>SUMIFS('3월 단양 개인별 STAT'!Y:Y, '3월 단양 개인별 STAT'!$D:$D, $D124, '3월 단양 개인별 STAT'!$E:$E, $E124) + SUMIFS('4월 삼척 개인별 STAT'!Y:Y, '4월 삼척 개인별 STAT'!$D:$D, $D124, '4월 삼척 개인별 STAT'!$E:$E, $E124)</f>
        <v>4</v>
      </c>
      <c r="Z124" s="35">
        <f t="shared" si="5"/>
        <v>17</v>
      </c>
      <c r="AA124" s="20">
        <f>SUMIFS('3월 단양 개인별 STAT'!AA:AA, '3월 단양 개인별 STAT'!$D:$D, $D124, '3월 단양 개인별 STAT'!$E:$E, $E124) + SUMIFS('4월 삼척 개인별 STAT'!AA:AA, '4월 삼척 개인별 STAT'!$D:$D, $D124, '4월 삼척 개인별 STAT'!$E:$E, $E124)</f>
        <v>1</v>
      </c>
      <c r="AB124" s="35">
        <f t="shared" si="6"/>
        <v>19</v>
      </c>
      <c r="AC124" s="23">
        <f t="shared" si="7"/>
        <v>19</v>
      </c>
      <c r="AD124" s="35">
        <f t="shared" si="8"/>
        <v>9</v>
      </c>
      <c r="AE124" s="20">
        <f>SUMIFS('3월 단양 개인별 STAT'!AE:AE, '3월 단양 개인별 STAT'!$D:$D, $D124, '3월 단양 개인별 STAT'!$E:$E, $E124) + SUMIFS('4월 삼척 개인별 STAT'!AE:AE, '4월 삼척 개인별 STAT'!$D:$D, $D124, '4월 삼척 개인별 STAT'!$E:$E, $E124)</f>
        <v>8</v>
      </c>
      <c r="AF124" s="20">
        <f>SUMIFS('3월 단양 개인별 STAT'!AF:AF, '3월 단양 개인별 STAT'!$D:$D, $D124, '3월 단양 개인별 STAT'!$E:$E, $E124) + SUMIFS('4월 삼척 개인별 STAT'!AF:AF, '4월 삼척 개인별 STAT'!$D:$D, $D124, '4월 삼척 개인별 STAT'!$E:$E, $E124)</f>
        <v>1</v>
      </c>
      <c r="AG124" s="36">
        <f t="shared" si="9"/>
        <v>88.88888889</v>
      </c>
      <c r="AH124" s="20">
        <f>SUMIFS('3월 단양 개인별 STAT'!AH:AH, '3월 단양 개인별 STAT'!$D:$D, $D124, '3월 단양 개인별 STAT'!$E:$E, $E124) + SUMIFS('4월 삼척 개인별 STAT'!AH:AH, '4월 삼척 개인별 STAT'!$D:$D, $D124, '4월 삼척 개인별 STAT'!$E:$E, $E124)</f>
        <v>9</v>
      </c>
      <c r="AI124" s="34" t="str">
        <f t="shared" si="10"/>
        <v>1.13</v>
      </c>
      <c r="AJ124" s="25"/>
      <c r="AL124" s="27">
        <f t="shared" si="11"/>
        <v>2.375</v>
      </c>
      <c r="AM124" s="27">
        <f t="shared" si="30"/>
        <v>7</v>
      </c>
      <c r="AN124" s="28">
        <f t="shared" si="13"/>
        <v>0.3392857143</v>
      </c>
      <c r="AO124" s="27">
        <f t="shared" si="14"/>
        <v>0</v>
      </c>
      <c r="AP124" s="27">
        <f t="shared" si="15"/>
        <v>0</v>
      </c>
      <c r="AQ124" s="27">
        <f t="shared" ref="AQ124:AR124" si="138">iferror(AB124/$M124,"-")</f>
        <v>2.375</v>
      </c>
      <c r="AR124" s="27">
        <f t="shared" si="138"/>
        <v>2.375</v>
      </c>
      <c r="AS124" s="29">
        <f t="shared" si="17"/>
        <v>0.125</v>
      </c>
      <c r="AT124" s="29" t="str">
        <f t="shared" si="18"/>
        <v>1.13</v>
      </c>
    </row>
    <row r="125">
      <c r="B125" s="17">
        <v>122.0</v>
      </c>
      <c r="C125" s="18">
        <f t="shared" si="2"/>
        <v>10</v>
      </c>
      <c r="D125" s="19" t="s">
        <v>173</v>
      </c>
      <c r="E125" s="19" t="s">
        <v>183</v>
      </c>
      <c r="F125" s="19">
        <v>1.0</v>
      </c>
      <c r="G125" s="19" t="s">
        <v>54</v>
      </c>
      <c r="H125" s="19" t="s">
        <v>48</v>
      </c>
      <c r="I125" s="19">
        <v>178.0</v>
      </c>
      <c r="J125" s="19">
        <v>64.0</v>
      </c>
      <c r="K125" s="20">
        <v>11.0</v>
      </c>
      <c r="L125" s="20">
        <f>SUMIFS('3월 단양 개인별 STAT'!L:L, '3월 단양 개인별 STAT'!$D:$D, $D125, '3월 단양 개인별 STAT'!$E:$E, $E125) + SUMIFS('4월 삼척 개인별 STAT'!L:L, '4월 삼척 개인별 STAT'!$D:$D, $D125, '4월 삼척 개인별 STAT'!$E:$E, $E125)</f>
        <v>0</v>
      </c>
      <c r="M125" s="20">
        <f>SUMIFS('3월 단양 개인별 STAT'!M:M, '3월 단양 개인별 STAT'!$D:$D, $D125, '3월 단양 개인별 STAT'!$E:$E, $E125) + SUMIFS('4월 삼척 개인별 STAT'!M:M, '4월 삼척 개인별 STAT'!$D:$D, $D125, '4월 삼척 개인별 STAT'!$E:$E, $E125)</f>
        <v>0</v>
      </c>
      <c r="N125" s="20">
        <f>SUMIFS('3월 단양 개인별 STAT'!N:N, '3월 단양 개인별 STAT'!$D:$D, $D125, '3월 단양 개인별 STAT'!$E:$E, $E125) + SUMIFS('4월 삼척 개인별 STAT'!N:N, '4월 삼척 개인별 STAT'!$D:$D, $D125, '4월 삼척 개인별 STAT'!$E:$E, $E125)</f>
        <v>0</v>
      </c>
      <c r="O125" s="20">
        <f>SUMIFS('3월 단양 개인별 STAT'!O:O, '3월 단양 개인별 STAT'!$D:$D, $D125, '3월 단양 개인별 STAT'!$E:$E, $E125) + SUMIFS('4월 삼척 개인별 STAT'!O:O, '4월 삼척 개인별 STAT'!$D:$D, $D125, '4월 삼척 개인별 STAT'!$E:$E, $E125)</f>
        <v>0</v>
      </c>
      <c r="P125" s="20">
        <f>SUMIFS('3월 단양 개인별 STAT'!P:P, '3월 단양 개인별 STAT'!$D:$D, $D125, '3월 단양 개인별 STAT'!$E:$E, $E125) + SUMIFS('4월 삼척 개인별 STAT'!P:P, '4월 삼척 개인별 STAT'!$D:$D, $D125, '4월 삼척 개인별 STAT'!$E:$E, $E125)</f>
        <v>0</v>
      </c>
      <c r="Q125" s="20">
        <f>SUMIFS('3월 단양 개인별 STAT'!Q:Q, '3월 단양 개인별 STAT'!$D:$D, $D125, '3월 단양 개인별 STAT'!$E:$E, $E125) + SUMIFS('4월 삼척 개인별 STAT'!Q:Q, '4월 삼척 개인별 STAT'!$D:$D, $D125, '4월 삼척 개인별 STAT'!$E:$E, $E125)</f>
        <v>0</v>
      </c>
      <c r="R125" s="33" t="str">
        <f t="shared" si="3"/>
        <v>-</v>
      </c>
      <c r="S125" s="34" t="str">
        <f t="shared" si="4"/>
        <v>-</v>
      </c>
      <c r="T125" s="20">
        <f>SUMIFS('3월 단양 개인별 STAT'!T:T, '3월 단양 개인별 STAT'!$D:$D, $D125, '3월 단양 개인별 STAT'!$E:$E, $E125) + SUMIFS('4월 삼척 개인별 STAT'!T:T, '4월 삼척 개인별 STAT'!$D:$D, $D125, '4월 삼척 개인별 STAT'!$E:$E, $E125)</f>
        <v>0</v>
      </c>
      <c r="U125" s="20">
        <f>SUMIFS('3월 단양 개인별 STAT'!U:U, '3월 단양 개인별 STAT'!$D:$D, $D125, '3월 단양 개인별 STAT'!$E:$E, $E125) + SUMIFS('4월 삼척 개인별 STAT'!U:U, '4월 삼척 개인별 STAT'!$D:$D, $D125, '4월 삼척 개인별 STAT'!$E:$E, $E125)</f>
        <v>0</v>
      </c>
      <c r="V125" s="20">
        <f>SUMIFS('3월 단양 개인별 STAT'!V:V, '3월 단양 개인별 STAT'!$D:$D, $D125, '3월 단양 개인별 STAT'!$E:$E, $E125) + SUMIFS('4월 삼척 개인별 STAT'!V:V, '4월 삼척 개인별 STAT'!$D:$D, $D125, '4월 삼척 개인별 STAT'!$E:$E, $E125)</f>
        <v>0</v>
      </c>
      <c r="W125" s="20">
        <f>SUMIFS('3월 단양 개인별 STAT'!W:W, '3월 단양 개인별 STAT'!$D:$D, $D125, '3월 단양 개인별 STAT'!$E:$E, $E125) + SUMIFS('4월 삼척 개인별 STAT'!W:W, '4월 삼척 개인별 STAT'!$D:$D, $D125, '4월 삼척 개인별 STAT'!$E:$E, $E125)</f>
        <v>0</v>
      </c>
      <c r="X125" s="20">
        <f>SUMIFS('3월 단양 개인별 STAT'!X:X, '3월 단양 개인별 STAT'!$D:$D, $D125, '3월 단양 개인별 STAT'!$E:$E, $E125) + SUMIFS('4월 삼척 개인별 STAT'!X:X, '4월 삼척 개인별 STAT'!$D:$D, $D125, '4월 삼척 개인별 STAT'!$E:$E, $E125)</f>
        <v>0</v>
      </c>
      <c r="Y125" s="20">
        <f>SUMIFS('3월 단양 개인별 STAT'!Y:Y, '3월 단양 개인별 STAT'!$D:$D, $D125, '3월 단양 개인별 STAT'!$E:$E, $E125) + SUMIFS('4월 삼척 개인별 STAT'!Y:Y, '4월 삼척 개인별 STAT'!$D:$D, $D125, '4월 삼척 개인별 STAT'!$E:$E, $E125)</f>
        <v>0</v>
      </c>
      <c r="Z125" s="33" t="str">
        <f t="shared" si="5"/>
        <v>-</v>
      </c>
      <c r="AA125" s="20">
        <f>SUMIFS('3월 단양 개인별 STAT'!AA:AA, '3월 단양 개인별 STAT'!$D:$D, $D125, '3월 단양 개인별 STAT'!$E:$E, $E125) + SUMIFS('4월 삼척 개인별 STAT'!AA:AA, '4월 삼척 개인별 STAT'!$D:$D, $D125, '4월 삼척 개인별 STAT'!$E:$E, $E125)</f>
        <v>0</v>
      </c>
      <c r="AB125" s="33" t="str">
        <f t="shared" si="6"/>
        <v>-</v>
      </c>
      <c r="AC125" s="23">
        <f t="shared" si="7"/>
        <v>0</v>
      </c>
      <c r="AD125" s="33" t="str">
        <f t="shared" si="8"/>
        <v>-</v>
      </c>
      <c r="AE125" s="20">
        <f>SUMIFS('3월 단양 개인별 STAT'!AE:AE, '3월 단양 개인별 STAT'!$D:$D, $D125, '3월 단양 개인별 STAT'!$E:$E, $E125) + SUMIFS('4월 삼척 개인별 STAT'!AE:AE, '4월 삼척 개인별 STAT'!$D:$D, $D125, '4월 삼척 개인별 STAT'!$E:$E, $E125)</f>
        <v>0</v>
      </c>
      <c r="AF125" s="20">
        <f>SUMIFS('3월 단양 개인별 STAT'!AF:AF, '3월 단양 개인별 STAT'!$D:$D, $D125, '3월 단양 개인별 STAT'!$E:$E, $E125) + SUMIFS('4월 삼척 개인별 STAT'!AF:AF, '4월 삼척 개인별 STAT'!$D:$D, $D125, '4월 삼척 개인별 STAT'!$E:$E, $E125)</f>
        <v>0</v>
      </c>
      <c r="AG125" s="36" t="str">
        <f t="shared" si="9"/>
        <v>-</v>
      </c>
      <c r="AH125" s="20">
        <f>SUMIFS('3월 단양 개인별 STAT'!AH:AH, '3월 단양 개인별 STAT'!$D:$D, $D125, '3월 단양 개인별 STAT'!$E:$E, $E125) + SUMIFS('4월 삼척 개인별 STAT'!AH:AH, '4월 삼척 개인별 STAT'!$D:$D, $D125, '4월 삼척 개인별 STAT'!$E:$E, $E125)</f>
        <v>0</v>
      </c>
      <c r="AI125" s="34" t="str">
        <f t="shared" si="10"/>
        <v>-</v>
      </c>
      <c r="AJ125" s="25"/>
      <c r="AL125" s="27" t="str">
        <f t="shared" si="11"/>
        <v>-</v>
      </c>
      <c r="AM125" s="27" t="str">
        <f t="shared" si="30"/>
        <v>-</v>
      </c>
      <c r="AN125" s="28" t="str">
        <f t="shared" si="13"/>
        <v>-</v>
      </c>
      <c r="AO125" s="27" t="str">
        <f t="shared" si="14"/>
        <v>-</v>
      </c>
      <c r="AP125" s="27" t="str">
        <f t="shared" si="15"/>
        <v>-</v>
      </c>
      <c r="AQ125" s="27" t="str">
        <f t="shared" ref="AQ125:AR125" si="139">iferror(AB125/$M125,"-")</f>
        <v>-</v>
      </c>
      <c r="AR125" s="27" t="str">
        <f t="shared" si="139"/>
        <v>-</v>
      </c>
      <c r="AS125" s="29" t="str">
        <f t="shared" si="17"/>
        <v>-</v>
      </c>
      <c r="AT125" s="29" t="str">
        <f t="shared" si="18"/>
        <v>-</v>
      </c>
    </row>
    <row r="126">
      <c r="B126" s="17">
        <v>123.0</v>
      </c>
      <c r="C126" s="18">
        <f t="shared" si="2"/>
        <v>11</v>
      </c>
      <c r="D126" s="19" t="s">
        <v>173</v>
      </c>
      <c r="E126" s="18" t="s">
        <v>184</v>
      </c>
      <c r="F126" s="19">
        <v>2.0</v>
      </c>
      <c r="G126" s="19" t="s">
        <v>47</v>
      </c>
      <c r="H126" s="19" t="s">
        <v>48</v>
      </c>
      <c r="I126" s="19">
        <v>187.0</v>
      </c>
      <c r="J126" s="19">
        <v>83.0</v>
      </c>
      <c r="K126" s="20">
        <v>12.0</v>
      </c>
      <c r="L126" s="20">
        <f>SUMIFS('3월 단양 개인별 STAT'!L:L, '3월 단양 개인별 STAT'!$D:$D, $D126, '3월 단양 개인별 STAT'!$E:$E, $E126) + SUMIFS('4월 삼척 개인별 STAT'!L:L, '4월 삼척 개인별 STAT'!$D:$D, $D126, '4월 삼척 개인별 STAT'!$E:$E, $E126)</f>
        <v>4</v>
      </c>
      <c r="M126" s="20">
        <f>SUMIFS('3월 단양 개인별 STAT'!M:M, '3월 단양 개인별 STAT'!$D:$D, $D126, '3월 단양 개인별 STAT'!$E:$E, $E126) + SUMIFS('4월 삼척 개인별 STAT'!M:M, '4월 삼척 개인별 STAT'!$D:$D, $D126, '4월 삼척 개인별 STAT'!$E:$E, $E126)</f>
        <v>13</v>
      </c>
      <c r="N126" s="20">
        <f>SUMIFS('3월 단양 개인별 STAT'!N:N, '3월 단양 개인별 STAT'!$D:$D, $D126, '3월 단양 개인별 STAT'!$E:$E, $E126) + SUMIFS('4월 삼척 개인별 STAT'!N:N, '4월 삼척 개인별 STAT'!$D:$D, $D126, '4월 삼척 개인별 STAT'!$E:$E, $E126)</f>
        <v>0</v>
      </c>
      <c r="O126" s="20">
        <f>SUMIFS('3월 단양 개인별 STAT'!O:O, '3월 단양 개인별 STAT'!$D:$D, $D126, '3월 단양 개인별 STAT'!$E:$E, $E126) + SUMIFS('4월 삼척 개인별 STAT'!O:O, '4월 삼척 개인별 STAT'!$D:$D, $D126, '4월 삼척 개인별 STAT'!$E:$E, $E126)</f>
        <v>11</v>
      </c>
      <c r="P126" s="20">
        <f>SUMIFS('3월 단양 개인별 STAT'!P:P, '3월 단양 개인별 STAT'!$D:$D, $D126, '3월 단양 개인별 STAT'!$E:$E, $E126) + SUMIFS('4월 삼척 개인별 STAT'!P:P, '4월 삼척 개인별 STAT'!$D:$D, $D126, '4월 삼척 개인별 STAT'!$E:$E, $E126)</f>
        <v>0</v>
      </c>
      <c r="Q126" s="20">
        <f>SUMIFS('3월 단양 개인별 STAT'!Q:Q, '3월 단양 개인별 STAT'!$D:$D, $D126, '3월 단양 개인별 STAT'!$E:$E, $E126) + SUMIFS('4월 삼척 개인별 STAT'!Q:Q, '4월 삼척 개인별 STAT'!$D:$D, $D126, '4월 삼척 개인별 STAT'!$E:$E, $E126)</f>
        <v>0</v>
      </c>
      <c r="R126" s="33" t="str">
        <f t="shared" si="3"/>
        <v>-</v>
      </c>
      <c r="S126" s="34" t="str">
        <f t="shared" si="4"/>
        <v>-</v>
      </c>
      <c r="T126" s="20">
        <f>SUMIFS('3월 단양 개인별 STAT'!T:T, '3월 단양 개인별 STAT'!$D:$D, $D126, '3월 단양 개인별 STAT'!$E:$E, $E126) + SUMIFS('4월 삼척 개인별 STAT'!T:T, '4월 삼척 개인별 STAT'!$D:$D, $D126, '4월 삼척 개인별 STAT'!$E:$E, $E126)</f>
        <v>0</v>
      </c>
      <c r="U126" s="20">
        <f>SUMIFS('3월 단양 개인별 STAT'!U:U, '3월 단양 개인별 STAT'!$D:$D, $D126, '3월 단양 개인별 STAT'!$E:$E, $E126) + SUMIFS('4월 삼척 개인별 STAT'!U:U, '4월 삼척 개인별 STAT'!$D:$D, $D126, '4월 삼척 개인별 STAT'!$E:$E, $E126)</f>
        <v>0</v>
      </c>
      <c r="V126" s="20">
        <f>SUMIFS('3월 단양 개인별 STAT'!V:V, '3월 단양 개인별 STAT'!$D:$D, $D126, '3월 단양 개인별 STAT'!$E:$E, $E126) + SUMIFS('4월 삼척 개인별 STAT'!V:V, '4월 삼척 개인별 STAT'!$D:$D, $D126, '4월 삼척 개인별 STAT'!$E:$E, $E126)</f>
        <v>0</v>
      </c>
      <c r="W126" s="20">
        <f>SUMIFS('3월 단양 개인별 STAT'!W:W, '3월 단양 개인별 STAT'!$D:$D, $D126, '3월 단양 개인별 STAT'!$E:$E, $E126) + SUMIFS('4월 삼척 개인별 STAT'!W:W, '4월 삼척 개인별 STAT'!$D:$D, $D126, '4월 삼척 개인별 STAT'!$E:$E, $E126)</f>
        <v>0</v>
      </c>
      <c r="X126" s="20">
        <f>SUMIFS('3월 단양 개인별 STAT'!X:X, '3월 단양 개인별 STAT'!$D:$D, $D126, '3월 단양 개인별 STAT'!$E:$E, $E126) + SUMIFS('4월 삼척 개인별 STAT'!X:X, '4월 삼척 개인별 STAT'!$D:$D, $D126, '4월 삼척 개인별 STAT'!$E:$E, $E126)</f>
        <v>0</v>
      </c>
      <c r="Y126" s="20">
        <f>SUMIFS('3월 단양 개인별 STAT'!Y:Y, '3월 단양 개인별 STAT'!$D:$D, $D126, '3월 단양 개인별 STAT'!$E:$E, $E126) + SUMIFS('4월 삼척 개인별 STAT'!Y:Y, '4월 삼척 개인별 STAT'!$D:$D, $D126, '4월 삼척 개인별 STAT'!$E:$E, $E126)</f>
        <v>0</v>
      </c>
      <c r="Z126" s="33" t="str">
        <f t="shared" si="5"/>
        <v>-</v>
      </c>
      <c r="AA126" s="20">
        <f>SUMIFS('3월 단양 개인별 STAT'!AA:AA, '3월 단양 개인별 STAT'!$D:$D, $D126, '3월 단양 개인별 STAT'!$E:$E, $E126) + SUMIFS('4월 삼척 개인별 STAT'!AA:AA, '4월 삼척 개인별 STAT'!$D:$D, $D126, '4월 삼척 개인별 STAT'!$E:$E, $E126)</f>
        <v>0</v>
      </c>
      <c r="AB126" s="33" t="str">
        <f t="shared" si="6"/>
        <v>-</v>
      </c>
      <c r="AC126" s="23">
        <f t="shared" si="7"/>
        <v>0</v>
      </c>
      <c r="AD126" s="35">
        <f t="shared" si="8"/>
        <v>48</v>
      </c>
      <c r="AE126" s="20">
        <f>SUMIFS('3월 단양 개인별 STAT'!AE:AE, '3월 단양 개인별 STAT'!$D:$D, $D126, '3월 단양 개인별 STAT'!$E:$E, $E126) + SUMIFS('4월 삼척 개인별 STAT'!AE:AE, '4월 삼척 개인별 STAT'!$D:$D, $D126, '4월 삼척 개인별 STAT'!$E:$E, $E126)</f>
        <v>42</v>
      </c>
      <c r="AF126" s="20">
        <f>SUMIFS('3월 단양 개인별 STAT'!AF:AF, '3월 단양 개인별 STAT'!$D:$D, $D126, '3월 단양 개인별 STAT'!$E:$E, $E126) + SUMIFS('4월 삼척 개인별 STAT'!AF:AF, '4월 삼척 개인별 STAT'!$D:$D, $D126, '4월 삼척 개인별 STAT'!$E:$E, $E126)</f>
        <v>6</v>
      </c>
      <c r="AG126" s="36">
        <f t="shared" si="9"/>
        <v>87.5</v>
      </c>
      <c r="AH126" s="20">
        <f>SUMIFS('3월 단양 개인별 STAT'!AH:AH, '3월 단양 개인별 STAT'!$D:$D, $D126, '3월 단양 개인별 STAT'!$E:$E, $E126) + SUMIFS('4월 삼척 개인별 STAT'!AH:AH, '4월 삼척 개인별 STAT'!$D:$D, $D126, '4월 삼척 개인별 STAT'!$E:$E, $E126)</f>
        <v>45</v>
      </c>
      <c r="AI126" s="34" t="str">
        <f t="shared" si="10"/>
        <v>3.46</v>
      </c>
      <c r="AJ126" s="25"/>
      <c r="AL126" s="27">
        <f t="shared" si="11"/>
        <v>0</v>
      </c>
      <c r="AM126" s="27" t="str">
        <f t="shared" si="30"/>
        <v>-</v>
      </c>
      <c r="AN126" s="28" t="str">
        <f t="shared" si="13"/>
        <v>-</v>
      </c>
      <c r="AO126" s="27">
        <f t="shared" si="14"/>
        <v>0</v>
      </c>
      <c r="AP126" s="27">
        <f t="shared" si="15"/>
        <v>0</v>
      </c>
      <c r="AQ126" s="27" t="str">
        <f t="shared" ref="AQ126:AR126" si="140">iferror(AB126/$M126,"-")</f>
        <v>-</v>
      </c>
      <c r="AR126" s="27">
        <f t="shared" si="140"/>
        <v>0</v>
      </c>
      <c r="AS126" s="29">
        <f t="shared" si="17"/>
        <v>0.4615384615</v>
      </c>
      <c r="AT126" s="29" t="str">
        <f t="shared" si="18"/>
        <v>3.46</v>
      </c>
    </row>
    <row r="127">
      <c r="B127" s="17">
        <v>124.0</v>
      </c>
      <c r="C127" s="18">
        <f t="shared" si="2"/>
        <v>12</v>
      </c>
      <c r="D127" s="19" t="s">
        <v>173</v>
      </c>
      <c r="E127" s="19" t="s">
        <v>185</v>
      </c>
      <c r="F127" s="19">
        <v>2.0</v>
      </c>
      <c r="G127" s="19" t="s">
        <v>52</v>
      </c>
      <c r="H127" s="19" t="s">
        <v>57</v>
      </c>
      <c r="I127" s="19">
        <v>170.0</v>
      </c>
      <c r="J127" s="19">
        <v>62.0</v>
      </c>
      <c r="K127" s="20">
        <v>13.0</v>
      </c>
      <c r="L127" s="20">
        <f>SUMIFS('3월 단양 개인별 STAT'!L:L, '3월 단양 개인별 STAT'!$D:$D, $D127, '3월 단양 개인별 STAT'!$E:$E, $E127) + SUMIFS('4월 삼척 개인별 STAT'!L:L, '4월 삼척 개인별 STAT'!$D:$D, $D127, '4월 삼척 개인별 STAT'!$E:$E, $E127)</f>
        <v>2</v>
      </c>
      <c r="M127" s="20">
        <f>SUMIFS('3월 단양 개인별 STAT'!M:M, '3월 단양 개인별 STAT'!$D:$D, $D127, '3월 단양 개인별 STAT'!$E:$E, $E127) + SUMIFS('4월 삼척 개인별 STAT'!M:M, '4월 삼척 개인별 STAT'!$D:$D, $D127, '4월 삼척 개인별 STAT'!$E:$E, $E127)</f>
        <v>7</v>
      </c>
      <c r="N127" s="20">
        <f>SUMIFS('3월 단양 개인별 STAT'!N:N, '3월 단양 개인별 STAT'!$D:$D, $D127, '3월 단양 개인별 STAT'!$E:$E, $E127) + SUMIFS('4월 삼척 개인별 STAT'!N:N, '4월 삼척 개인별 STAT'!$D:$D, $D127, '4월 삼척 개인별 STAT'!$E:$E, $E127)</f>
        <v>0</v>
      </c>
      <c r="O127" s="20">
        <f>SUMIFS('3월 단양 개인별 STAT'!O:O, '3월 단양 개인별 STAT'!$D:$D, $D127, '3월 단양 개인별 STAT'!$E:$E, $E127) + SUMIFS('4월 삼척 개인별 STAT'!O:O, '4월 삼척 개인별 STAT'!$D:$D, $D127, '4월 삼척 개인별 STAT'!$E:$E, $E127)</f>
        <v>2</v>
      </c>
      <c r="P127" s="20">
        <f>SUMIFS('3월 단양 개인별 STAT'!P:P, '3월 단양 개인별 STAT'!$D:$D, $D127, '3월 단양 개인별 STAT'!$E:$E, $E127) + SUMIFS('4월 삼척 개인별 STAT'!P:P, '4월 삼척 개인별 STAT'!$D:$D, $D127, '4월 삼척 개인별 STAT'!$E:$E, $E127)</f>
        <v>3</v>
      </c>
      <c r="Q127" s="20">
        <f>SUMIFS('3월 단양 개인별 STAT'!Q:Q, '3월 단양 개인별 STAT'!$D:$D, $D127, '3월 단양 개인별 STAT'!$E:$E, $E127) + SUMIFS('4월 삼척 개인별 STAT'!Q:Q, '4월 삼척 개인별 STAT'!$D:$D, $D127, '4월 삼척 개인별 STAT'!$E:$E, $E127)</f>
        <v>3</v>
      </c>
      <c r="R127" s="35">
        <f t="shared" si="3"/>
        <v>6</v>
      </c>
      <c r="S127" s="34">
        <f t="shared" si="4"/>
        <v>-0.5</v>
      </c>
      <c r="T127" s="20">
        <f>SUMIFS('3월 단양 개인별 STAT'!T:T, '3월 단양 개인별 STAT'!$D:$D, $D127, '3월 단양 개인별 STAT'!$E:$E, $E127) + SUMIFS('4월 삼척 개인별 STAT'!T:T, '4월 삼척 개인별 STAT'!$D:$D, $D127, '4월 삼척 개인별 STAT'!$E:$E, $E127)</f>
        <v>0</v>
      </c>
      <c r="U127" s="20">
        <f>SUMIFS('3월 단양 개인별 STAT'!U:U, '3월 단양 개인별 STAT'!$D:$D, $D127, '3월 단양 개인별 STAT'!$E:$E, $E127) + SUMIFS('4월 삼척 개인별 STAT'!U:U, '4월 삼척 개인별 STAT'!$D:$D, $D127, '4월 삼척 개인별 STAT'!$E:$E, $E127)</f>
        <v>0</v>
      </c>
      <c r="V127" s="20">
        <f>SUMIFS('3월 단양 개인별 STAT'!V:V, '3월 단양 개인별 STAT'!$D:$D, $D127, '3월 단양 개인별 STAT'!$E:$E, $E127) + SUMIFS('4월 삼척 개인별 STAT'!V:V, '4월 삼척 개인별 STAT'!$D:$D, $D127, '4월 삼척 개인별 STAT'!$E:$E, $E127)</f>
        <v>0</v>
      </c>
      <c r="W127" s="20">
        <f>SUMIFS('3월 단양 개인별 STAT'!W:W, '3월 단양 개인별 STAT'!$D:$D, $D127, '3월 단양 개인별 STAT'!$E:$E, $E127) + SUMIFS('4월 삼척 개인별 STAT'!W:W, '4월 삼척 개인별 STAT'!$D:$D, $D127, '4월 삼척 개인별 STAT'!$E:$E, $E127)</f>
        <v>10</v>
      </c>
      <c r="X127" s="20">
        <f>SUMIFS('3월 단양 개인별 STAT'!X:X, '3월 단양 개인별 STAT'!$D:$D, $D127, '3월 단양 개인별 STAT'!$E:$E, $E127) + SUMIFS('4월 삼척 개인별 STAT'!X:X, '4월 삼척 개인별 STAT'!$D:$D, $D127, '4월 삼척 개인별 STAT'!$E:$E, $E127)</f>
        <v>2</v>
      </c>
      <c r="Y127" s="20">
        <f>SUMIFS('3월 단양 개인별 STAT'!Y:Y, '3월 단양 개인별 STAT'!$D:$D, $D127, '3월 단양 개인별 STAT'!$E:$E, $E127) + SUMIFS('4월 삼척 개인별 STAT'!Y:Y, '4월 삼척 개인별 STAT'!$D:$D, $D127, '4월 삼척 개인별 STAT'!$E:$E, $E127)</f>
        <v>4</v>
      </c>
      <c r="Z127" s="35">
        <f t="shared" si="5"/>
        <v>16</v>
      </c>
      <c r="AA127" s="20">
        <f>SUMIFS('3월 단양 개인별 STAT'!AA:AA, '3월 단양 개인별 STAT'!$D:$D, $D127, '3월 단양 개인별 STAT'!$E:$E, $E127) + SUMIFS('4월 삼척 개인별 STAT'!AA:AA, '4월 삼척 개인별 STAT'!$D:$D, $D127, '4월 삼척 개인별 STAT'!$E:$E, $E127)</f>
        <v>0</v>
      </c>
      <c r="AB127" s="35">
        <f t="shared" si="6"/>
        <v>2</v>
      </c>
      <c r="AC127" s="23">
        <f t="shared" si="7"/>
        <v>2</v>
      </c>
      <c r="AD127" s="35">
        <f t="shared" si="8"/>
        <v>30</v>
      </c>
      <c r="AE127" s="20">
        <f>SUMIFS('3월 단양 개인별 STAT'!AE:AE, '3월 단양 개인별 STAT'!$D:$D, $D127, '3월 단양 개인별 STAT'!$E:$E, $E127) + SUMIFS('4월 삼척 개인별 STAT'!AE:AE, '4월 삼척 개인별 STAT'!$D:$D, $D127, '4월 삼척 개인별 STAT'!$E:$E, $E127)</f>
        <v>27</v>
      </c>
      <c r="AF127" s="20">
        <f>SUMIFS('3월 단양 개인별 STAT'!AF:AF, '3월 단양 개인별 STAT'!$D:$D, $D127, '3월 단양 개인별 STAT'!$E:$E, $E127) + SUMIFS('4월 삼척 개인별 STAT'!AF:AF, '4월 삼척 개인별 STAT'!$D:$D, $D127, '4월 삼척 개인별 STAT'!$E:$E, $E127)</f>
        <v>3</v>
      </c>
      <c r="AG127" s="36">
        <f t="shared" si="9"/>
        <v>90</v>
      </c>
      <c r="AH127" s="20">
        <f>SUMIFS('3월 단양 개인별 STAT'!AH:AH, '3월 단양 개인별 STAT'!$D:$D, $D127, '3월 단양 개인별 STAT'!$E:$E, $E127) + SUMIFS('4월 삼척 개인별 STAT'!AH:AH, '4월 삼척 개인별 STAT'!$D:$D, $D127, '4월 삼척 개인별 STAT'!$E:$E, $E127)</f>
        <v>13</v>
      </c>
      <c r="AI127" s="34" t="str">
        <f t="shared" si="10"/>
        <v>1.86</v>
      </c>
      <c r="AJ127" s="25"/>
      <c r="AL127" s="27">
        <f t="shared" si="11"/>
        <v>0</v>
      </c>
      <c r="AM127" s="27">
        <f t="shared" si="30"/>
        <v>0.8571428571</v>
      </c>
      <c r="AN127" s="28">
        <f t="shared" si="13"/>
        <v>0</v>
      </c>
      <c r="AO127" s="27">
        <f t="shared" si="14"/>
        <v>0</v>
      </c>
      <c r="AP127" s="27">
        <f t="shared" si="15"/>
        <v>0.2857142857</v>
      </c>
      <c r="AQ127" s="27">
        <f t="shared" ref="AQ127:AR127" si="141">iferror(AB127/$M127,"-")</f>
        <v>0.2857142857</v>
      </c>
      <c r="AR127" s="27">
        <f t="shared" si="141"/>
        <v>0.2857142857</v>
      </c>
      <c r="AS127" s="29">
        <f t="shared" si="17"/>
        <v>0.4285714286</v>
      </c>
      <c r="AT127" s="29" t="str">
        <f t="shared" si="18"/>
        <v>1.86</v>
      </c>
    </row>
    <row r="128">
      <c r="B128" s="17">
        <v>125.0</v>
      </c>
      <c r="C128" s="18">
        <f t="shared" si="2"/>
        <v>13</v>
      </c>
      <c r="D128" s="19" t="s">
        <v>173</v>
      </c>
      <c r="E128" s="19" t="s">
        <v>186</v>
      </c>
      <c r="F128" s="19">
        <v>3.0</v>
      </c>
      <c r="G128" s="19" t="s">
        <v>57</v>
      </c>
      <c r="H128" s="19" t="s">
        <v>52</v>
      </c>
      <c r="I128" s="19">
        <v>176.0</v>
      </c>
      <c r="J128" s="19">
        <v>62.0</v>
      </c>
      <c r="K128" s="20">
        <v>14.0</v>
      </c>
      <c r="L128" s="20">
        <f>SUMIFS('3월 단양 개인별 STAT'!L:L, '3월 단양 개인별 STAT'!$D:$D, $D128, '3월 단양 개인별 STAT'!$E:$E, $E128) + SUMIFS('4월 삼척 개인별 STAT'!L:L, '4월 삼척 개인별 STAT'!$D:$D, $D128, '4월 삼척 개인별 STAT'!$E:$E, $E128)</f>
        <v>2</v>
      </c>
      <c r="M128" s="20">
        <f>SUMIFS('3월 단양 개인별 STAT'!M:M, '3월 단양 개인별 STAT'!$D:$D, $D128, '3월 단양 개인별 STAT'!$E:$E, $E128) + SUMIFS('4월 삼척 개인별 STAT'!M:M, '4월 삼척 개인별 STAT'!$D:$D, $D128, '4월 삼척 개인별 STAT'!$E:$E, $E128)</f>
        <v>5</v>
      </c>
      <c r="N128" s="20">
        <f>SUMIFS('3월 단양 개인별 STAT'!N:N, '3월 단양 개인별 STAT'!$D:$D, $D128, '3월 단양 개인별 STAT'!$E:$E, $E128) + SUMIFS('4월 삼척 개인별 STAT'!N:N, '4월 삼척 개인별 STAT'!$D:$D, $D128, '4월 삼척 개인별 STAT'!$E:$E, $E128)</f>
        <v>6</v>
      </c>
      <c r="O128" s="20">
        <f>SUMIFS('3월 단양 개인별 STAT'!O:O, '3월 단양 개인별 STAT'!$D:$D, $D128, '3월 단양 개인별 STAT'!$E:$E, $E128) + SUMIFS('4월 삼척 개인별 STAT'!O:O, '4월 삼척 개인별 STAT'!$D:$D, $D128, '4월 삼척 개인별 STAT'!$E:$E, $E128)</f>
        <v>0</v>
      </c>
      <c r="P128" s="20">
        <f>SUMIFS('3월 단양 개인별 STAT'!P:P, '3월 단양 개인별 STAT'!$D:$D, $D128, '3월 단양 개인별 STAT'!$E:$E, $E128) + SUMIFS('4월 삼척 개인별 STAT'!P:P, '4월 삼척 개인별 STAT'!$D:$D, $D128, '4월 삼척 개인별 STAT'!$E:$E, $E128)</f>
        <v>7</v>
      </c>
      <c r="Q128" s="20">
        <f>SUMIFS('3월 단양 개인별 STAT'!Q:Q, '3월 단양 개인별 STAT'!$D:$D, $D128, '3월 단양 개인별 STAT'!$E:$E, $E128) + SUMIFS('4월 삼척 개인별 STAT'!Q:Q, '4월 삼척 개인별 STAT'!$D:$D, $D128, '4월 삼척 개인별 STAT'!$E:$E, $E128)</f>
        <v>0</v>
      </c>
      <c r="R128" s="35">
        <f t="shared" si="3"/>
        <v>13</v>
      </c>
      <c r="S128" s="34">
        <f t="shared" si="4"/>
        <v>0.46</v>
      </c>
      <c r="T128" s="20">
        <f>SUMIFS('3월 단양 개인별 STAT'!T:T, '3월 단양 개인별 STAT'!$D:$D, $D128, '3월 단양 개인별 STAT'!$E:$E, $E128) + SUMIFS('4월 삼척 개인별 STAT'!T:T, '4월 삼척 개인별 STAT'!$D:$D, $D128, '4월 삼척 개인별 STAT'!$E:$E, $E128)</f>
        <v>2</v>
      </c>
      <c r="U128" s="20">
        <f>SUMIFS('3월 단양 개인별 STAT'!U:U, '3월 단양 개인별 STAT'!$D:$D, $D128, '3월 단양 개인별 STAT'!$E:$E, $E128) + SUMIFS('4월 삼척 개인별 STAT'!U:U, '4월 삼척 개인별 STAT'!$D:$D, $D128, '4월 삼척 개인별 STAT'!$E:$E, $E128)</f>
        <v>0</v>
      </c>
      <c r="V128" s="20">
        <f>SUMIFS('3월 단양 개인별 STAT'!V:V, '3월 단양 개인별 STAT'!$D:$D, $D128, '3월 단양 개인별 STAT'!$E:$E, $E128) + SUMIFS('4월 삼척 개인별 STAT'!V:V, '4월 삼척 개인별 STAT'!$D:$D, $D128, '4월 삼척 개인별 STAT'!$E:$E, $E128)</f>
        <v>1</v>
      </c>
      <c r="W128" s="20">
        <f>SUMIFS('3월 단양 개인별 STAT'!W:W, '3월 단양 개인별 STAT'!$D:$D, $D128, '3월 단양 개인별 STAT'!$E:$E, $E128) + SUMIFS('4월 삼척 개인별 STAT'!W:W, '4월 삼척 개인별 STAT'!$D:$D, $D128, '4월 삼척 개인별 STAT'!$E:$E, $E128)</f>
        <v>9</v>
      </c>
      <c r="X128" s="20">
        <f>SUMIFS('3월 단양 개인별 STAT'!X:X, '3월 단양 개인별 STAT'!$D:$D, $D128, '3월 단양 개인별 STAT'!$E:$E, $E128) + SUMIFS('4월 삼척 개인별 STAT'!X:X, '4월 삼척 개인별 STAT'!$D:$D, $D128, '4월 삼척 개인별 STAT'!$E:$E, $E128)</f>
        <v>0</v>
      </c>
      <c r="Y128" s="20">
        <f>SUMIFS('3월 단양 개인별 STAT'!Y:Y, '3월 단양 개인별 STAT'!$D:$D, $D128, '3월 단양 개인별 STAT'!$E:$E, $E128) + SUMIFS('4월 삼척 개인별 STAT'!Y:Y, '4월 삼척 개인별 STAT'!$D:$D, $D128, '4월 삼척 개인별 STAT'!$E:$E, $E128)</f>
        <v>4</v>
      </c>
      <c r="Z128" s="35">
        <f t="shared" si="5"/>
        <v>13</v>
      </c>
      <c r="AA128" s="20">
        <f>SUMIFS('3월 단양 개인별 STAT'!AA:AA, '3월 단양 개인별 STAT'!$D:$D, $D128, '3월 단양 개인별 STAT'!$E:$E, $E128) + SUMIFS('4월 삼척 개인별 STAT'!AA:AA, '4월 삼척 개인별 STAT'!$D:$D, $D128, '4월 삼척 개인별 STAT'!$E:$E, $E128)</f>
        <v>0</v>
      </c>
      <c r="AB128" s="35">
        <f t="shared" si="6"/>
        <v>8</v>
      </c>
      <c r="AC128" s="23">
        <f t="shared" si="7"/>
        <v>8.75</v>
      </c>
      <c r="AD128" s="35">
        <f t="shared" si="8"/>
        <v>3</v>
      </c>
      <c r="AE128" s="20">
        <f>SUMIFS('3월 단양 개인별 STAT'!AE:AE, '3월 단양 개인별 STAT'!$D:$D, $D128, '3월 단양 개인별 STAT'!$E:$E, $E128) + SUMIFS('4월 삼척 개인별 STAT'!AE:AE, '4월 삼척 개인별 STAT'!$D:$D, $D128, '4월 삼척 개인별 STAT'!$E:$E, $E128)</f>
        <v>1</v>
      </c>
      <c r="AF128" s="20">
        <f>SUMIFS('3월 단양 개인별 STAT'!AF:AF, '3월 단양 개인별 STAT'!$D:$D, $D128, '3월 단양 개인별 STAT'!$E:$E, $E128) + SUMIFS('4월 삼척 개인별 STAT'!AF:AF, '4월 삼척 개인별 STAT'!$D:$D, $D128, '4월 삼척 개인별 STAT'!$E:$E, $E128)</f>
        <v>2</v>
      </c>
      <c r="AG128" s="36">
        <f t="shared" si="9"/>
        <v>33.33333333</v>
      </c>
      <c r="AH128" s="20">
        <f>SUMIFS('3월 단양 개인별 STAT'!AH:AH, '3월 단양 개인별 STAT'!$D:$D, $D128, '3월 단양 개인별 STAT'!$E:$E, $E128) + SUMIFS('4월 삼척 개인별 STAT'!AH:AH, '4월 삼척 개인별 STAT'!$D:$D, $D128, '4월 삼척 개인별 STAT'!$E:$E, $E128)</f>
        <v>3</v>
      </c>
      <c r="AI128" s="34" t="str">
        <f t="shared" si="10"/>
        <v>0.60</v>
      </c>
      <c r="AJ128" s="25"/>
      <c r="AL128" s="27">
        <f t="shared" si="11"/>
        <v>1.2</v>
      </c>
      <c r="AM128" s="27">
        <f t="shared" si="30"/>
        <v>2.6</v>
      </c>
      <c r="AN128" s="28">
        <f t="shared" si="13"/>
        <v>0.4615384615</v>
      </c>
      <c r="AO128" s="27">
        <f t="shared" si="14"/>
        <v>0.4</v>
      </c>
      <c r="AP128" s="27">
        <f t="shared" si="15"/>
        <v>0</v>
      </c>
      <c r="AQ128" s="27">
        <f t="shared" ref="AQ128:AR128" si="142">iferror(AB128/$M128,"-")</f>
        <v>1.6</v>
      </c>
      <c r="AR128" s="27">
        <f t="shared" si="142"/>
        <v>1.75</v>
      </c>
      <c r="AS128" s="29">
        <f t="shared" si="17"/>
        <v>0.4</v>
      </c>
      <c r="AT128" s="29" t="str">
        <f t="shared" si="18"/>
        <v>0.60</v>
      </c>
    </row>
    <row r="129">
      <c r="B129" s="17">
        <v>126.0</v>
      </c>
      <c r="C129" s="18">
        <f t="shared" si="2"/>
        <v>14</v>
      </c>
      <c r="D129" s="19" t="s">
        <v>173</v>
      </c>
      <c r="E129" s="19" t="s">
        <v>187</v>
      </c>
      <c r="F129" s="19">
        <v>2.0</v>
      </c>
      <c r="G129" s="19" t="s">
        <v>50</v>
      </c>
      <c r="H129" s="19" t="s">
        <v>52</v>
      </c>
      <c r="I129" s="19">
        <v>175.0</v>
      </c>
      <c r="J129" s="19">
        <v>68.0</v>
      </c>
      <c r="K129" s="20">
        <v>15.0</v>
      </c>
      <c r="L129" s="20">
        <f>SUMIFS('3월 단양 개인별 STAT'!L:L, '3월 단양 개인별 STAT'!$D:$D, $D129, '3월 단양 개인별 STAT'!$E:$E, $E129) + SUMIFS('4월 삼척 개인별 STAT'!L:L, '4월 삼척 개인별 STAT'!$D:$D, $D129, '4월 삼척 개인별 STAT'!$E:$E, $E129)</f>
        <v>1</v>
      </c>
      <c r="M129" s="20">
        <f>SUMIFS('3월 단양 개인별 STAT'!M:M, '3월 단양 개인별 STAT'!$D:$D, $D129, '3월 단양 개인별 STAT'!$E:$E, $E129) + SUMIFS('4월 삼척 개인별 STAT'!M:M, '4월 삼척 개인별 STAT'!$D:$D, $D129, '4월 삼척 개인별 STAT'!$E:$E, $E129)</f>
        <v>5</v>
      </c>
      <c r="N129" s="20">
        <f>SUMIFS('3월 단양 개인별 STAT'!N:N, '3월 단양 개인별 STAT'!$D:$D, $D129, '3월 단양 개인별 STAT'!$E:$E, $E129) + SUMIFS('4월 삼척 개인별 STAT'!N:N, '4월 삼척 개인별 STAT'!$D:$D, $D129, '4월 삼척 개인별 STAT'!$E:$E, $E129)</f>
        <v>0</v>
      </c>
      <c r="O129" s="20">
        <f>SUMIFS('3월 단양 개인별 STAT'!O:O, '3월 단양 개인별 STAT'!$D:$D, $D129, '3월 단양 개인별 STAT'!$E:$E, $E129) + SUMIFS('4월 삼척 개인별 STAT'!O:O, '4월 삼척 개인별 STAT'!$D:$D, $D129, '4월 삼척 개인별 STAT'!$E:$E, $E129)</f>
        <v>0</v>
      </c>
      <c r="P129" s="20">
        <f>SUMIFS('3월 단양 개인별 STAT'!P:P, '3월 단양 개인별 STAT'!$D:$D, $D129, '3월 단양 개인별 STAT'!$E:$E, $E129) + SUMIFS('4월 삼척 개인별 STAT'!P:P, '4월 삼척 개인별 STAT'!$D:$D, $D129, '4월 삼척 개인별 STAT'!$E:$E, $E129)</f>
        <v>4</v>
      </c>
      <c r="Q129" s="20">
        <f>SUMIFS('3월 단양 개인별 STAT'!Q:Q, '3월 단양 개인별 STAT'!$D:$D, $D129, '3월 단양 개인별 STAT'!$E:$E, $E129) + SUMIFS('4월 삼척 개인별 STAT'!Q:Q, '4월 삼척 개인별 STAT'!$D:$D, $D129, '4월 삼척 개인별 STAT'!$E:$E, $E129)</f>
        <v>0</v>
      </c>
      <c r="R129" s="35">
        <f t="shared" si="3"/>
        <v>4</v>
      </c>
      <c r="S129" s="34" t="str">
        <f t="shared" si="4"/>
        <v>-</v>
      </c>
      <c r="T129" s="20">
        <f>SUMIFS('3월 단양 개인별 STAT'!T:T, '3월 단양 개인별 STAT'!$D:$D, $D129, '3월 단양 개인별 STAT'!$E:$E, $E129) + SUMIFS('4월 삼척 개인별 STAT'!T:T, '4월 삼척 개인별 STAT'!$D:$D, $D129, '4월 삼척 개인별 STAT'!$E:$E, $E129)</f>
        <v>0</v>
      </c>
      <c r="U129" s="20">
        <f>SUMIFS('3월 단양 개인별 STAT'!U:U, '3월 단양 개인별 STAT'!$D:$D, $D129, '3월 단양 개인별 STAT'!$E:$E, $E129) + SUMIFS('4월 삼척 개인별 STAT'!U:U, '4월 삼척 개인별 STAT'!$D:$D, $D129, '4월 삼척 개인별 STAT'!$E:$E, $E129)</f>
        <v>0</v>
      </c>
      <c r="V129" s="20">
        <f>SUMIFS('3월 단양 개인별 STAT'!V:V, '3월 단양 개인별 STAT'!$D:$D, $D129, '3월 단양 개인별 STAT'!$E:$E, $E129) + SUMIFS('4월 삼척 개인별 STAT'!V:V, '4월 삼척 개인별 STAT'!$D:$D, $D129, '4월 삼척 개인별 STAT'!$E:$E, $E129)</f>
        <v>0</v>
      </c>
      <c r="W129" s="20">
        <f>SUMIFS('3월 단양 개인별 STAT'!W:W, '3월 단양 개인별 STAT'!$D:$D, $D129, '3월 단양 개인별 STAT'!$E:$E, $E129) + SUMIFS('4월 삼척 개인별 STAT'!W:W, '4월 삼척 개인별 STAT'!$D:$D, $D129, '4월 삼척 개인별 STAT'!$E:$E, $E129)</f>
        <v>4</v>
      </c>
      <c r="X129" s="20">
        <f>SUMIFS('3월 단양 개인별 STAT'!X:X, '3월 단양 개인별 STAT'!$D:$D, $D129, '3월 단양 개인별 STAT'!$E:$E, $E129) + SUMIFS('4월 삼척 개인별 STAT'!X:X, '4월 삼척 개인별 STAT'!$D:$D, $D129, '4월 삼척 개인별 STAT'!$E:$E, $E129)</f>
        <v>0</v>
      </c>
      <c r="Y129" s="20">
        <f>SUMIFS('3월 단양 개인별 STAT'!Y:Y, '3월 단양 개인별 STAT'!$D:$D, $D129, '3월 단양 개인별 STAT'!$E:$E, $E129) + SUMIFS('4월 삼척 개인별 STAT'!Y:Y, '4월 삼척 개인별 STAT'!$D:$D, $D129, '4월 삼척 개인별 STAT'!$E:$E, $E129)</f>
        <v>1</v>
      </c>
      <c r="Z129" s="35">
        <f t="shared" si="5"/>
        <v>5</v>
      </c>
      <c r="AA129" s="20">
        <f>SUMIFS('3월 단양 개인별 STAT'!AA:AA, '3월 단양 개인별 STAT'!$D:$D, $D129, '3월 단양 개인별 STAT'!$E:$E, $E129) + SUMIFS('4월 삼척 개인별 STAT'!AA:AA, '4월 삼척 개인별 STAT'!$D:$D, $D129, '4월 삼척 개인별 STAT'!$E:$E, $E129)</f>
        <v>0</v>
      </c>
      <c r="AB129" s="33" t="str">
        <f t="shared" si="6"/>
        <v>-</v>
      </c>
      <c r="AC129" s="23">
        <f t="shared" si="7"/>
        <v>0</v>
      </c>
      <c r="AD129" s="35">
        <f t="shared" si="8"/>
        <v>1</v>
      </c>
      <c r="AE129" s="20">
        <f>SUMIFS('3월 단양 개인별 STAT'!AE:AE, '3월 단양 개인별 STAT'!$D:$D, $D129, '3월 단양 개인별 STAT'!$E:$E, $E129) + SUMIFS('4월 삼척 개인별 STAT'!AE:AE, '4월 삼척 개인별 STAT'!$D:$D, $D129, '4월 삼척 개인별 STAT'!$E:$E, $E129)</f>
        <v>1</v>
      </c>
      <c r="AF129" s="20">
        <f>SUMIFS('3월 단양 개인별 STAT'!AF:AF, '3월 단양 개인별 STAT'!$D:$D, $D129, '3월 단양 개인별 STAT'!$E:$E, $E129) + SUMIFS('4월 삼척 개인별 STAT'!AF:AF, '4월 삼척 개인별 STAT'!$D:$D, $D129, '4월 삼척 개인별 STAT'!$E:$E, $E129)</f>
        <v>0</v>
      </c>
      <c r="AG129" s="36">
        <f t="shared" si="9"/>
        <v>100</v>
      </c>
      <c r="AH129" s="20">
        <f>SUMIFS('3월 단양 개인별 STAT'!AH:AH, '3월 단양 개인별 STAT'!$D:$D, $D129, '3월 단양 개인별 STAT'!$E:$E, $E129) + SUMIFS('4월 삼척 개인별 STAT'!AH:AH, '4월 삼척 개인별 STAT'!$D:$D, $D129, '4월 삼척 개인별 STAT'!$E:$E, $E129)</f>
        <v>2</v>
      </c>
      <c r="AI129" s="34" t="str">
        <f t="shared" si="10"/>
        <v>0.40</v>
      </c>
      <c r="AJ129" s="25"/>
      <c r="AL129" s="27">
        <f t="shared" si="11"/>
        <v>0</v>
      </c>
      <c r="AM129" s="27">
        <f t="shared" si="30"/>
        <v>0.8</v>
      </c>
      <c r="AN129" s="28">
        <f t="shared" si="13"/>
        <v>0</v>
      </c>
      <c r="AO129" s="27">
        <f t="shared" si="14"/>
        <v>0</v>
      </c>
      <c r="AP129" s="27">
        <f t="shared" si="15"/>
        <v>0</v>
      </c>
      <c r="AQ129" s="27" t="str">
        <f t="shared" ref="AQ129:AR129" si="143">iferror(AB129/$M129,"-")</f>
        <v>-</v>
      </c>
      <c r="AR129" s="27">
        <f t="shared" si="143"/>
        <v>0</v>
      </c>
      <c r="AS129" s="29">
        <f t="shared" si="17"/>
        <v>0</v>
      </c>
      <c r="AT129" s="29" t="str">
        <f t="shared" si="18"/>
        <v>0.40</v>
      </c>
    </row>
    <row r="130">
      <c r="B130" s="17">
        <v>127.0</v>
      </c>
      <c r="C130" s="18">
        <f t="shared" si="2"/>
        <v>1</v>
      </c>
      <c r="D130" s="19" t="s">
        <v>188</v>
      </c>
      <c r="E130" s="19" t="s">
        <v>189</v>
      </c>
      <c r="F130" s="19">
        <v>3.0</v>
      </c>
      <c r="G130" s="19" t="s">
        <v>50</v>
      </c>
      <c r="H130" s="19" t="s">
        <v>52</v>
      </c>
      <c r="I130" s="19">
        <v>172.0</v>
      </c>
      <c r="J130" s="19">
        <v>61.0</v>
      </c>
      <c r="K130" s="20">
        <v>1.0</v>
      </c>
      <c r="L130" s="20">
        <f>SUMIFS('3월 단양 개인별 STAT'!L:L, '3월 단양 개인별 STAT'!$D:$D, $D130, '3월 단양 개인별 STAT'!$E:$E, $E130) + SUMIFS('4월 삼척 개인별 STAT'!L:L, '4월 삼척 개인별 STAT'!$D:$D, $D130, '4월 삼척 개인별 STAT'!$E:$E, $E130)</f>
        <v>5</v>
      </c>
      <c r="M130" s="20">
        <f>SUMIFS('3월 단양 개인별 STAT'!M:M, '3월 단양 개인별 STAT'!$D:$D, $D130, '3월 단양 개인별 STAT'!$E:$E, $E130) + SUMIFS('4월 삼척 개인별 STAT'!M:M, '4월 삼척 개인별 STAT'!$D:$D, $D130, '4월 삼척 개인별 STAT'!$E:$E, $E130)</f>
        <v>18</v>
      </c>
      <c r="N130" s="20">
        <f>SUMIFS('3월 단양 개인별 STAT'!N:N, '3월 단양 개인별 STAT'!$D:$D, $D130, '3월 단양 개인별 STAT'!$E:$E, $E130) + SUMIFS('4월 삼척 개인별 STAT'!N:N, '4월 삼척 개인별 STAT'!$D:$D, $D130, '4월 삼척 개인별 STAT'!$E:$E, $E130)</f>
        <v>70</v>
      </c>
      <c r="O130" s="20">
        <f>SUMIFS('3월 단양 개인별 STAT'!O:O, '3월 단양 개인별 STAT'!$D:$D, $D130, '3월 단양 개인별 STAT'!$E:$E, $E130) + SUMIFS('4월 삼척 개인별 STAT'!O:O, '4월 삼척 개인별 STAT'!$D:$D, $D130, '4월 삼척 개인별 STAT'!$E:$E, $E130)</f>
        <v>2</v>
      </c>
      <c r="P130" s="20">
        <f>SUMIFS('3월 단양 개인별 STAT'!P:P, '3월 단양 개인별 STAT'!$D:$D, $D130, '3월 단양 개인별 STAT'!$E:$E, $E130) + SUMIFS('4월 삼척 개인별 STAT'!P:P, '4월 삼척 개인별 STAT'!$D:$D, $D130, '4월 삼척 개인별 STAT'!$E:$E, $E130)</f>
        <v>65</v>
      </c>
      <c r="Q130" s="20">
        <f>SUMIFS('3월 단양 개인별 STAT'!Q:Q, '3월 단양 개인별 STAT'!$D:$D, $D130, '3월 단양 개인별 STAT'!$E:$E, $E130) + SUMIFS('4월 삼척 개인별 STAT'!Q:Q, '4월 삼척 개인별 STAT'!$D:$D, $D130, '4월 삼척 개인별 STAT'!$E:$E, $E130)</f>
        <v>17</v>
      </c>
      <c r="R130" s="35">
        <f t="shared" si="3"/>
        <v>152</v>
      </c>
      <c r="S130" s="34">
        <f t="shared" si="4"/>
        <v>0.35</v>
      </c>
      <c r="T130" s="20">
        <f>SUMIFS('3월 단양 개인별 STAT'!T:T, '3월 단양 개인별 STAT'!$D:$D, $D130, '3월 단양 개인별 STAT'!$E:$E, $E130) + SUMIFS('4월 삼척 개인별 STAT'!T:T, '4월 삼척 개인별 STAT'!$D:$D, $D130, '4월 삼척 개인별 STAT'!$E:$E, $E130)</f>
        <v>0</v>
      </c>
      <c r="U130" s="20">
        <f>SUMIFS('3월 단양 개인별 STAT'!U:U, '3월 단양 개인별 STAT'!$D:$D, $D130, '3월 단양 개인별 STAT'!$E:$E, $E130) + SUMIFS('4월 삼척 개인별 STAT'!U:U, '4월 삼척 개인별 STAT'!$D:$D, $D130, '4월 삼척 개인별 STAT'!$E:$E, $E130)</f>
        <v>0</v>
      </c>
      <c r="V130" s="20">
        <f>SUMIFS('3월 단양 개인별 STAT'!V:V, '3월 단양 개인별 STAT'!$D:$D, $D130, '3월 단양 개인별 STAT'!$E:$E, $E130) + SUMIFS('4월 삼척 개인별 STAT'!V:V, '4월 삼척 개인별 STAT'!$D:$D, $D130, '4월 삼척 개인별 STAT'!$E:$E, $E130)</f>
        <v>1</v>
      </c>
      <c r="W130" s="20">
        <f>SUMIFS('3월 단양 개인별 STAT'!W:W, '3월 단양 개인별 STAT'!$D:$D, $D130, '3월 단양 개인별 STAT'!$E:$E, $E130) + SUMIFS('4월 삼척 개인별 STAT'!W:W, '4월 삼척 개인별 STAT'!$D:$D, $D130, '4월 삼척 개인별 STAT'!$E:$E, $E130)</f>
        <v>61</v>
      </c>
      <c r="X130" s="20">
        <f>SUMIFS('3월 단양 개인별 STAT'!X:X, '3월 단양 개인별 STAT'!$D:$D, $D130, '3월 단양 개인별 STAT'!$E:$E, $E130) + SUMIFS('4월 삼척 개인별 STAT'!X:X, '4월 삼척 개인별 STAT'!$D:$D, $D130, '4월 삼척 개인별 STAT'!$E:$E, $E130)</f>
        <v>5</v>
      </c>
      <c r="Y130" s="20">
        <f>SUMIFS('3월 단양 개인별 STAT'!Y:Y, '3월 단양 개인별 STAT'!$D:$D, $D130, '3월 단양 개인별 STAT'!$E:$E, $E130) + SUMIFS('4월 삼척 개인별 STAT'!Y:Y, '4월 삼척 개인별 STAT'!$D:$D, $D130, '4월 삼척 개인별 STAT'!$E:$E, $E130)</f>
        <v>2</v>
      </c>
      <c r="Z130" s="35">
        <f t="shared" si="5"/>
        <v>68</v>
      </c>
      <c r="AA130" s="20">
        <f>SUMIFS('3월 단양 개인별 STAT'!AA:AA, '3월 단양 개인별 STAT'!$D:$D, $D130, '3월 단양 개인별 STAT'!$E:$E, $E130) + SUMIFS('4월 삼척 개인별 STAT'!AA:AA, '4월 삼척 개인별 STAT'!$D:$D, $D130, '4월 삼척 개인별 STAT'!$E:$E, $E130)</f>
        <v>0</v>
      </c>
      <c r="AB130" s="35">
        <f t="shared" si="6"/>
        <v>75</v>
      </c>
      <c r="AC130" s="23">
        <f t="shared" si="7"/>
        <v>75.75</v>
      </c>
      <c r="AD130" s="35">
        <f t="shared" si="8"/>
        <v>98</v>
      </c>
      <c r="AE130" s="20">
        <f>SUMIFS('3월 단양 개인별 STAT'!AE:AE, '3월 단양 개인별 STAT'!$D:$D, $D130, '3월 단양 개인별 STAT'!$E:$E, $E130) + SUMIFS('4월 삼척 개인별 STAT'!AE:AE, '4월 삼척 개인별 STAT'!$D:$D, $D130, '4월 삼척 개인별 STAT'!$E:$E, $E130)</f>
        <v>93</v>
      </c>
      <c r="AF130" s="20">
        <f>SUMIFS('3월 단양 개인별 STAT'!AF:AF, '3월 단양 개인별 STAT'!$D:$D, $D130, '3월 단양 개인별 STAT'!$E:$E, $E130) + SUMIFS('4월 삼척 개인별 STAT'!AF:AF, '4월 삼척 개인별 STAT'!$D:$D, $D130, '4월 삼척 개인별 STAT'!$E:$E, $E130)</f>
        <v>5</v>
      </c>
      <c r="AG130" s="36">
        <f t="shared" si="9"/>
        <v>94.89795918</v>
      </c>
      <c r="AH130" s="20">
        <f>SUMIFS('3월 단양 개인별 STAT'!AH:AH, '3월 단양 개인별 STAT'!$D:$D, $D130, '3월 단양 개인별 STAT'!$E:$E, $E130) + SUMIFS('4월 삼척 개인별 STAT'!AH:AH, '4월 삼척 개인별 STAT'!$D:$D, $D130, '4월 삼척 개인별 STAT'!$E:$E, $E130)</f>
        <v>48</v>
      </c>
      <c r="AI130" s="34" t="str">
        <f t="shared" si="10"/>
        <v>2.67</v>
      </c>
      <c r="AJ130" s="25"/>
      <c r="AL130" s="27">
        <f t="shared" si="11"/>
        <v>3.888888889</v>
      </c>
      <c r="AM130" s="27">
        <f t="shared" si="30"/>
        <v>8.444444444</v>
      </c>
      <c r="AN130" s="28">
        <f t="shared" si="13"/>
        <v>0.4605263158</v>
      </c>
      <c r="AO130" s="27">
        <f t="shared" si="14"/>
        <v>0</v>
      </c>
      <c r="AP130" s="27">
        <f t="shared" si="15"/>
        <v>0.2777777778</v>
      </c>
      <c r="AQ130" s="27">
        <f t="shared" ref="AQ130:AR130" si="144">iferror(AB130/$M130,"-")</f>
        <v>4.166666667</v>
      </c>
      <c r="AR130" s="27">
        <f t="shared" si="144"/>
        <v>4.208333333</v>
      </c>
      <c r="AS130" s="29">
        <f t="shared" si="17"/>
        <v>0.2777777778</v>
      </c>
      <c r="AT130" s="29" t="str">
        <f t="shared" si="18"/>
        <v>2.67</v>
      </c>
    </row>
    <row r="131">
      <c r="B131" s="17">
        <v>128.0</v>
      </c>
      <c r="C131" s="18">
        <f t="shared" si="2"/>
        <v>2</v>
      </c>
      <c r="D131" s="19" t="s">
        <v>188</v>
      </c>
      <c r="E131" s="19" t="s">
        <v>190</v>
      </c>
      <c r="F131" s="19">
        <v>3.0</v>
      </c>
      <c r="G131" s="19" t="s">
        <v>50</v>
      </c>
      <c r="H131" s="19" t="s">
        <v>52</v>
      </c>
      <c r="I131" s="19">
        <v>171.0</v>
      </c>
      <c r="J131" s="19">
        <v>65.0</v>
      </c>
      <c r="K131" s="20">
        <v>2.0</v>
      </c>
      <c r="L131" s="20">
        <f>SUMIFS('3월 단양 개인별 STAT'!L:L, '3월 단양 개인별 STAT'!$D:$D, $D131, '3월 단양 개인별 STAT'!$E:$E, $E131) + SUMIFS('4월 삼척 개인별 STAT'!L:L, '4월 삼척 개인별 STAT'!$D:$D, $D131, '4월 삼척 개인별 STAT'!$E:$E, $E131)</f>
        <v>1</v>
      </c>
      <c r="M131" s="20">
        <f>SUMIFS('3월 단양 개인별 STAT'!M:M, '3월 단양 개인별 STAT'!$D:$D, $D131, '3월 단양 개인별 STAT'!$E:$E, $E131) + SUMIFS('4월 삼척 개인별 STAT'!M:M, '4월 삼척 개인별 STAT'!$D:$D, $D131, '4월 삼척 개인별 STAT'!$E:$E, $E131)</f>
        <v>3</v>
      </c>
      <c r="N131" s="20">
        <f>SUMIFS('3월 단양 개인별 STAT'!N:N, '3월 단양 개인별 STAT'!$D:$D, $D131, '3월 단양 개인별 STAT'!$E:$E, $E131) + SUMIFS('4월 삼척 개인별 STAT'!N:N, '4월 삼척 개인별 STAT'!$D:$D, $D131, '4월 삼척 개인별 STAT'!$E:$E, $E131)</f>
        <v>0</v>
      </c>
      <c r="O131" s="20">
        <f>SUMIFS('3월 단양 개인별 STAT'!O:O, '3월 단양 개인별 STAT'!$D:$D, $D131, '3월 단양 개인별 STAT'!$E:$E, $E131) + SUMIFS('4월 삼척 개인별 STAT'!O:O, '4월 삼척 개인별 STAT'!$D:$D, $D131, '4월 삼척 개인별 STAT'!$E:$E, $E131)</f>
        <v>1</v>
      </c>
      <c r="P131" s="20">
        <f>SUMIFS('3월 단양 개인별 STAT'!P:P, '3월 단양 개인별 STAT'!$D:$D, $D131, '3월 단양 개인별 STAT'!$E:$E, $E131) + SUMIFS('4월 삼척 개인별 STAT'!P:P, '4월 삼척 개인별 STAT'!$D:$D, $D131, '4월 삼척 개인별 STAT'!$E:$E, $E131)</f>
        <v>0</v>
      </c>
      <c r="Q131" s="20">
        <f>SUMIFS('3월 단양 개인별 STAT'!Q:Q, '3월 단양 개인별 STAT'!$D:$D, $D131, '3월 단양 개인별 STAT'!$E:$E, $E131) + SUMIFS('4월 삼척 개인별 STAT'!Q:Q, '4월 삼척 개인별 STAT'!$D:$D, $D131, '4월 삼척 개인별 STAT'!$E:$E, $E131)</f>
        <v>0</v>
      </c>
      <c r="R131" s="33" t="str">
        <f t="shared" si="3"/>
        <v>-</v>
      </c>
      <c r="S131" s="34" t="str">
        <f t="shared" si="4"/>
        <v>-</v>
      </c>
      <c r="T131" s="20">
        <f>SUMIFS('3월 단양 개인별 STAT'!T:T, '3월 단양 개인별 STAT'!$D:$D, $D131, '3월 단양 개인별 STAT'!$E:$E, $E131) + SUMIFS('4월 삼척 개인별 STAT'!T:T, '4월 삼척 개인별 STAT'!$D:$D, $D131, '4월 삼척 개인별 STAT'!$E:$E, $E131)</f>
        <v>0</v>
      </c>
      <c r="U131" s="20">
        <f>SUMIFS('3월 단양 개인별 STAT'!U:U, '3월 단양 개인별 STAT'!$D:$D, $D131, '3월 단양 개인별 STAT'!$E:$E, $E131) + SUMIFS('4월 삼척 개인별 STAT'!U:U, '4월 삼척 개인별 STAT'!$D:$D, $D131, '4월 삼척 개인별 STAT'!$E:$E, $E131)</f>
        <v>0</v>
      </c>
      <c r="V131" s="20">
        <f>SUMIFS('3월 단양 개인별 STAT'!V:V, '3월 단양 개인별 STAT'!$D:$D, $D131, '3월 단양 개인별 STAT'!$E:$E, $E131) + SUMIFS('4월 삼척 개인별 STAT'!V:V, '4월 삼척 개인별 STAT'!$D:$D, $D131, '4월 삼척 개인별 STAT'!$E:$E, $E131)</f>
        <v>0</v>
      </c>
      <c r="W131" s="20">
        <f>SUMIFS('3월 단양 개인별 STAT'!W:W, '3월 단양 개인별 STAT'!$D:$D, $D131, '3월 단양 개인별 STAT'!$E:$E, $E131) + SUMIFS('4월 삼척 개인별 STAT'!W:W, '4월 삼척 개인별 STAT'!$D:$D, $D131, '4월 삼척 개인별 STAT'!$E:$E, $E131)</f>
        <v>0</v>
      </c>
      <c r="X131" s="20">
        <f>SUMIFS('3월 단양 개인별 STAT'!X:X, '3월 단양 개인별 STAT'!$D:$D, $D131, '3월 단양 개인별 STAT'!$E:$E, $E131) + SUMIFS('4월 삼척 개인별 STAT'!X:X, '4월 삼척 개인별 STAT'!$D:$D, $D131, '4월 삼척 개인별 STAT'!$E:$E, $E131)</f>
        <v>0</v>
      </c>
      <c r="Y131" s="20">
        <f>SUMIFS('3월 단양 개인별 STAT'!Y:Y, '3월 단양 개인별 STAT'!$D:$D, $D131, '3월 단양 개인별 STAT'!$E:$E, $E131) + SUMIFS('4월 삼척 개인별 STAT'!Y:Y, '4월 삼척 개인별 STAT'!$D:$D, $D131, '4월 삼척 개인별 STAT'!$E:$E, $E131)</f>
        <v>0</v>
      </c>
      <c r="Z131" s="33" t="str">
        <f t="shared" si="5"/>
        <v>-</v>
      </c>
      <c r="AA131" s="20">
        <f>SUMIFS('3월 단양 개인별 STAT'!AA:AA, '3월 단양 개인별 STAT'!$D:$D, $D131, '3월 단양 개인별 STAT'!$E:$E, $E131) + SUMIFS('4월 삼척 개인별 STAT'!AA:AA, '4월 삼척 개인별 STAT'!$D:$D, $D131, '4월 삼척 개인별 STAT'!$E:$E, $E131)</f>
        <v>0</v>
      </c>
      <c r="AB131" s="33" t="str">
        <f t="shared" si="6"/>
        <v>-</v>
      </c>
      <c r="AC131" s="23">
        <f t="shared" si="7"/>
        <v>0</v>
      </c>
      <c r="AD131" s="33" t="str">
        <f t="shared" si="8"/>
        <v>-</v>
      </c>
      <c r="AE131" s="20">
        <f>SUMIFS('3월 단양 개인별 STAT'!AE:AE, '3월 단양 개인별 STAT'!$D:$D, $D131, '3월 단양 개인별 STAT'!$E:$E, $E131) + SUMIFS('4월 삼척 개인별 STAT'!AE:AE, '4월 삼척 개인별 STAT'!$D:$D, $D131, '4월 삼척 개인별 STAT'!$E:$E, $E131)</f>
        <v>0</v>
      </c>
      <c r="AF131" s="20">
        <f>SUMIFS('3월 단양 개인별 STAT'!AF:AF, '3월 단양 개인별 STAT'!$D:$D, $D131, '3월 단양 개인별 STAT'!$E:$E, $E131) + SUMIFS('4월 삼척 개인별 STAT'!AF:AF, '4월 삼척 개인별 STAT'!$D:$D, $D131, '4월 삼척 개인별 STAT'!$E:$E, $E131)</f>
        <v>0</v>
      </c>
      <c r="AG131" s="36" t="str">
        <f t="shared" si="9"/>
        <v>-</v>
      </c>
      <c r="AH131" s="20">
        <f>SUMIFS('3월 단양 개인별 STAT'!AH:AH, '3월 단양 개인별 STAT'!$D:$D, $D131, '3월 단양 개인별 STAT'!$E:$E, $E131) + SUMIFS('4월 삼척 개인별 STAT'!AH:AH, '4월 삼척 개인별 STAT'!$D:$D, $D131, '4월 삼척 개인별 STAT'!$E:$E, $E131)</f>
        <v>5</v>
      </c>
      <c r="AI131" s="34" t="str">
        <f t="shared" si="10"/>
        <v>1.67</v>
      </c>
      <c r="AJ131" s="25"/>
      <c r="AL131" s="27">
        <f t="shared" si="11"/>
        <v>0</v>
      </c>
      <c r="AM131" s="27" t="str">
        <f t="shared" si="30"/>
        <v>-</v>
      </c>
      <c r="AN131" s="28" t="str">
        <f t="shared" si="13"/>
        <v>-</v>
      </c>
      <c r="AO131" s="27">
        <f t="shared" si="14"/>
        <v>0</v>
      </c>
      <c r="AP131" s="27">
        <f t="shared" si="15"/>
        <v>0</v>
      </c>
      <c r="AQ131" s="27" t="str">
        <f t="shared" ref="AQ131:AR131" si="145">iferror(AB131/$M131,"-")</f>
        <v>-</v>
      </c>
      <c r="AR131" s="27">
        <f t="shared" si="145"/>
        <v>0</v>
      </c>
      <c r="AS131" s="29">
        <f t="shared" si="17"/>
        <v>0</v>
      </c>
      <c r="AT131" s="29" t="str">
        <f t="shared" si="18"/>
        <v>1.67</v>
      </c>
    </row>
    <row r="132">
      <c r="B132" s="17">
        <v>129.0</v>
      </c>
      <c r="C132" s="18">
        <f t="shared" si="2"/>
        <v>3</v>
      </c>
      <c r="D132" s="19" t="s">
        <v>188</v>
      </c>
      <c r="E132" s="19" t="s">
        <v>191</v>
      </c>
      <c r="F132" s="19">
        <v>2.0</v>
      </c>
      <c r="G132" s="19" t="s">
        <v>54</v>
      </c>
      <c r="H132" s="19" t="s">
        <v>48</v>
      </c>
      <c r="I132" s="19">
        <v>164.0</v>
      </c>
      <c r="J132" s="19">
        <v>57.0</v>
      </c>
      <c r="K132" s="20">
        <v>3.0</v>
      </c>
      <c r="L132" s="20">
        <f>SUMIFS('3월 단양 개인별 STAT'!L:L, '3월 단양 개인별 STAT'!$D:$D, $D132, '3월 단양 개인별 STAT'!$E:$E, $E132) + SUMIFS('4월 삼척 개인별 STAT'!L:L, '4월 삼척 개인별 STAT'!$D:$D, $D132, '4월 삼척 개인별 STAT'!$E:$E, $E132)</f>
        <v>1</v>
      </c>
      <c r="M132" s="20">
        <f>SUMIFS('3월 단양 개인별 STAT'!M:M, '3월 단양 개인별 STAT'!$D:$D, $D132, '3월 단양 개인별 STAT'!$E:$E, $E132) + SUMIFS('4월 삼척 개인별 STAT'!M:M, '4월 삼척 개인별 STAT'!$D:$D, $D132, '4월 삼척 개인별 STAT'!$E:$E, $E132)</f>
        <v>2</v>
      </c>
      <c r="N132" s="20">
        <f>SUMIFS('3월 단양 개인별 STAT'!N:N, '3월 단양 개인별 STAT'!$D:$D, $D132, '3월 단양 개인별 STAT'!$E:$E, $E132) + SUMIFS('4월 삼척 개인별 STAT'!N:N, '4월 삼척 개인별 STAT'!$D:$D, $D132, '4월 삼척 개인별 STAT'!$E:$E, $E132)</f>
        <v>0</v>
      </c>
      <c r="O132" s="20">
        <f>SUMIFS('3월 단양 개인별 STAT'!O:O, '3월 단양 개인별 STAT'!$D:$D, $D132, '3월 단양 개인별 STAT'!$E:$E, $E132) + SUMIFS('4월 삼척 개인별 STAT'!O:O, '4월 삼척 개인별 STAT'!$D:$D, $D132, '4월 삼척 개인별 STAT'!$E:$E, $E132)</f>
        <v>3</v>
      </c>
      <c r="P132" s="20">
        <f>SUMIFS('3월 단양 개인별 STAT'!P:P, '3월 단양 개인별 STAT'!$D:$D, $D132, '3월 단양 개인별 STAT'!$E:$E, $E132) + SUMIFS('4월 삼척 개인별 STAT'!P:P, '4월 삼척 개인별 STAT'!$D:$D, $D132, '4월 삼척 개인별 STAT'!$E:$E, $E132)</f>
        <v>0</v>
      </c>
      <c r="Q132" s="20">
        <f>SUMIFS('3월 단양 개인별 STAT'!Q:Q, '3월 단양 개인별 STAT'!$D:$D, $D132, '3월 단양 개인별 STAT'!$E:$E, $E132) + SUMIFS('4월 삼척 개인별 STAT'!Q:Q, '4월 삼척 개인별 STAT'!$D:$D, $D132, '4월 삼척 개인별 STAT'!$E:$E, $E132)</f>
        <v>0</v>
      </c>
      <c r="R132" s="33" t="str">
        <f t="shared" si="3"/>
        <v>-</v>
      </c>
      <c r="S132" s="34" t="str">
        <f t="shared" si="4"/>
        <v>-</v>
      </c>
      <c r="T132" s="20">
        <f>SUMIFS('3월 단양 개인별 STAT'!T:T, '3월 단양 개인별 STAT'!$D:$D, $D132, '3월 단양 개인별 STAT'!$E:$E, $E132) + SUMIFS('4월 삼척 개인별 STAT'!T:T, '4월 삼척 개인별 STAT'!$D:$D, $D132, '4월 삼척 개인별 STAT'!$E:$E, $E132)</f>
        <v>0</v>
      </c>
      <c r="U132" s="20">
        <f>SUMIFS('3월 단양 개인별 STAT'!U:U, '3월 단양 개인별 STAT'!$D:$D, $D132, '3월 단양 개인별 STAT'!$E:$E, $E132) + SUMIFS('4월 삼척 개인별 STAT'!U:U, '4월 삼척 개인별 STAT'!$D:$D, $D132, '4월 삼척 개인별 STAT'!$E:$E, $E132)</f>
        <v>0</v>
      </c>
      <c r="V132" s="20">
        <f>SUMIFS('3월 단양 개인별 STAT'!V:V, '3월 단양 개인별 STAT'!$D:$D, $D132, '3월 단양 개인별 STAT'!$E:$E, $E132) + SUMIFS('4월 삼척 개인별 STAT'!V:V, '4월 삼척 개인별 STAT'!$D:$D, $D132, '4월 삼척 개인별 STAT'!$E:$E, $E132)</f>
        <v>0</v>
      </c>
      <c r="W132" s="20">
        <f>SUMIFS('3월 단양 개인별 STAT'!W:W, '3월 단양 개인별 STAT'!$D:$D, $D132, '3월 단양 개인별 STAT'!$E:$E, $E132) + SUMIFS('4월 삼척 개인별 STAT'!W:W, '4월 삼척 개인별 STAT'!$D:$D, $D132, '4월 삼척 개인별 STAT'!$E:$E, $E132)</f>
        <v>1</v>
      </c>
      <c r="X132" s="20">
        <f>SUMIFS('3월 단양 개인별 STAT'!X:X, '3월 단양 개인별 STAT'!$D:$D, $D132, '3월 단양 개인별 STAT'!$E:$E, $E132) + SUMIFS('4월 삼척 개인별 STAT'!X:X, '4월 삼척 개인별 STAT'!$D:$D, $D132, '4월 삼척 개인별 STAT'!$E:$E, $E132)</f>
        <v>0</v>
      </c>
      <c r="Y132" s="20">
        <f>SUMIFS('3월 단양 개인별 STAT'!Y:Y, '3월 단양 개인별 STAT'!$D:$D, $D132, '3월 단양 개인별 STAT'!$E:$E, $E132) + SUMIFS('4월 삼척 개인별 STAT'!Y:Y, '4월 삼척 개인별 STAT'!$D:$D, $D132, '4월 삼척 개인별 STAT'!$E:$E, $E132)</f>
        <v>0</v>
      </c>
      <c r="Z132" s="35">
        <f t="shared" si="5"/>
        <v>1</v>
      </c>
      <c r="AA132" s="20">
        <f>SUMIFS('3월 단양 개인별 STAT'!AA:AA, '3월 단양 개인별 STAT'!$D:$D, $D132, '3월 단양 개인별 STAT'!$E:$E, $E132) + SUMIFS('4월 삼척 개인별 STAT'!AA:AA, '4월 삼척 개인별 STAT'!$D:$D, $D132, '4월 삼척 개인별 STAT'!$E:$E, $E132)</f>
        <v>0</v>
      </c>
      <c r="AB132" s="33" t="str">
        <f t="shared" si="6"/>
        <v>-</v>
      </c>
      <c r="AC132" s="23">
        <f t="shared" si="7"/>
        <v>0</v>
      </c>
      <c r="AD132" s="35">
        <f t="shared" si="8"/>
        <v>1</v>
      </c>
      <c r="AE132" s="20">
        <f>SUMIFS('3월 단양 개인별 STAT'!AE:AE, '3월 단양 개인별 STAT'!$D:$D, $D132, '3월 단양 개인별 STAT'!$E:$E, $E132) + SUMIFS('4월 삼척 개인별 STAT'!AE:AE, '4월 삼척 개인별 STAT'!$D:$D, $D132, '4월 삼척 개인별 STAT'!$E:$E, $E132)</f>
        <v>1</v>
      </c>
      <c r="AF132" s="20">
        <f>SUMIFS('3월 단양 개인별 STAT'!AF:AF, '3월 단양 개인별 STAT'!$D:$D, $D132, '3월 단양 개인별 STAT'!$E:$E, $E132) + SUMIFS('4월 삼척 개인별 STAT'!AF:AF, '4월 삼척 개인별 STAT'!$D:$D, $D132, '4월 삼척 개인별 STAT'!$E:$E, $E132)</f>
        <v>0</v>
      </c>
      <c r="AG132" s="36">
        <f t="shared" si="9"/>
        <v>100</v>
      </c>
      <c r="AH132" s="20">
        <f>SUMIFS('3월 단양 개인별 STAT'!AH:AH, '3월 단양 개인별 STAT'!$D:$D, $D132, '3월 단양 개인별 STAT'!$E:$E, $E132) + SUMIFS('4월 삼척 개인별 STAT'!AH:AH, '4월 삼척 개인별 STAT'!$D:$D, $D132, '4월 삼척 개인별 STAT'!$E:$E, $E132)</f>
        <v>2</v>
      </c>
      <c r="AI132" s="34" t="str">
        <f t="shared" si="10"/>
        <v>1</v>
      </c>
      <c r="AJ132" s="25"/>
      <c r="AL132" s="27">
        <f t="shared" si="11"/>
        <v>0</v>
      </c>
      <c r="AM132" s="27" t="str">
        <f t="shared" si="30"/>
        <v>-</v>
      </c>
      <c r="AN132" s="28" t="str">
        <f t="shared" si="13"/>
        <v>-</v>
      </c>
      <c r="AO132" s="27">
        <f t="shared" si="14"/>
        <v>0</v>
      </c>
      <c r="AP132" s="27">
        <f t="shared" si="15"/>
        <v>0</v>
      </c>
      <c r="AQ132" s="27" t="str">
        <f t="shared" ref="AQ132:AR132" si="146">iferror(AB132/$M132,"-")</f>
        <v>-</v>
      </c>
      <c r="AR132" s="27">
        <f t="shared" si="146"/>
        <v>0</v>
      </c>
      <c r="AS132" s="29">
        <f t="shared" si="17"/>
        <v>0</v>
      </c>
      <c r="AT132" s="29" t="str">
        <f t="shared" si="18"/>
        <v>1</v>
      </c>
    </row>
    <row r="133">
      <c r="B133" s="17">
        <v>130.0</v>
      </c>
      <c r="C133" s="18">
        <f t="shared" si="2"/>
        <v>4</v>
      </c>
      <c r="D133" s="19" t="s">
        <v>188</v>
      </c>
      <c r="E133" s="19" t="s">
        <v>192</v>
      </c>
      <c r="F133" s="19">
        <v>3.0</v>
      </c>
      <c r="G133" s="19" t="s">
        <v>47</v>
      </c>
      <c r="H133" s="19" t="s">
        <v>48</v>
      </c>
      <c r="I133" s="19">
        <v>178.0</v>
      </c>
      <c r="J133" s="19">
        <v>70.0</v>
      </c>
      <c r="K133" s="20">
        <v>7.0</v>
      </c>
      <c r="L133" s="20">
        <f>SUMIFS('3월 단양 개인별 STAT'!L:L, '3월 단양 개인별 STAT'!$D:$D, $D133, '3월 단양 개인별 STAT'!$E:$E, $E133) + SUMIFS('4월 삼척 개인별 STAT'!L:L, '4월 삼척 개인별 STAT'!$D:$D, $D133, '4월 삼척 개인별 STAT'!$E:$E, $E133)</f>
        <v>5</v>
      </c>
      <c r="M133" s="20">
        <f>SUMIFS('3월 단양 개인별 STAT'!M:M, '3월 단양 개인별 STAT'!$D:$D, $D133, '3월 단양 개인별 STAT'!$E:$E, $E133) + SUMIFS('4월 삼척 개인별 STAT'!M:M, '4월 삼척 개인별 STAT'!$D:$D, $D133, '4월 삼척 개인별 STAT'!$E:$E, $E133)</f>
        <v>18</v>
      </c>
      <c r="N133" s="20">
        <f>SUMIFS('3월 단양 개인별 STAT'!N:N, '3월 단양 개인별 STAT'!$D:$D, $D133, '3월 단양 개인별 STAT'!$E:$E, $E133) + SUMIFS('4월 삼척 개인별 STAT'!N:N, '4월 삼척 개인별 STAT'!$D:$D, $D133, '4월 삼척 개인별 STAT'!$E:$E, $E133)</f>
        <v>25</v>
      </c>
      <c r="O133" s="20">
        <f>SUMIFS('3월 단양 개인별 STAT'!O:O, '3월 단양 개인별 STAT'!$D:$D, $D133, '3월 단양 개인별 STAT'!$E:$E, $E133) + SUMIFS('4월 삼척 개인별 STAT'!O:O, '4월 삼척 개인별 STAT'!$D:$D, $D133, '4월 삼척 개인별 STAT'!$E:$E, $E133)</f>
        <v>3</v>
      </c>
      <c r="P133" s="20">
        <f>SUMIFS('3월 단양 개인별 STAT'!P:P, '3월 단양 개인별 STAT'!$D:$D, $D133, '3월 단양 개인별 STAT'!$E:$E, $E133) + SUMIFS('4월 삼척 개인별 STAT'!P:P, '4월 삼척 개인별 STAT'!$D:$D, $D133, '4월 삼척 개인별 STAT'!$E:$E, $E133)</f>
        <v>13</v>
      </c>
      <c r="Q133" s="20">
        <f>SUMIFS('3월 단양 개인별 STAT'!Q:Q, '3월 단양 개인별 STAT'!$D:$D, $D133, '3월 단양 개인별 STAT'!$E:$E, $E133) + SUMIFS('4월 삼척 개인별 STAT'!Q:Q, '4월 삼척 개인별 STAT'!$D:$D, $D133, '4월 삼척 개인별 STAT'!$E:$E, $E133)</f>
        <v>4</v>
      </c>
      <c r="R133" s="35">
        <f t="shared" si="3"/>
        <v>42</v>
      </c>
      <c r="S133" s="34">
        <f t="shared" si="4"/>
        <v>0.5</v>
      </c>
      <c r="T133" s="20">
        <f>SUMIFS('3월 단양 개인별 STAT'!T:T, '3월 단양 개인별 STAT'!$D:$D, $D133, '3월 단양 개인별 STAT'!$E:$E, $E133) + SUMIFS('4월 삼척 개인별 STAT'!T:T, '4월 삼척 개인별 STAT'!$D:$D, $D133, '4월 삼척 개인별 STAT'!$E:$E, $E133)</f>
        <v>5</v>
      </c>
      <c r="U133" s="20">
        <f>SUMIFS('3월 단양 개인별 STAT'!U:U, '3월 단양 개인별 STAT'!$D:$D, $D133, '3월 단양 개인별 STAT'!$E:$E, $E133) + SUMIFS('4월 삼척 개인별 STAT'!U:U, '4월 삼척 개인별 STAT'!$D:$D, $D133, '4월 삼척 개인별 STAT'!$E:$E, $E133)</f>
        <v>0</v>
      </c>
      <c r="V133" s="20">
        <f>SUMIFS('3월 단양 개인별 STAT'!V:V, '3월 단양 개인별 STAT'!$D:$D, $D133, '3월 단양 개인별 STAT'!$E:$E, $E133) + SUMIFS('4월 삼척 개인별 STAT'!V:V, '4월 삼척 개인별 STAT'!$D:$D, $D133, '4월 삼척 개인별 STAT'!$E:$E, $E133)</f>
        <v>2</v>
      </c>
      <c r="W133" s="20">
        <f>SUMIFS('3월 단양 개인별 STAT'!W:W, '3월 단양 개인별 STAT'!$D:$D, $D133, '3월 단양 개인별 STAT'!$E:$E, $E133) + SUMIFS('4월 삼척 개인별 STAT'!W:W, '4월 삼척 개인별 STAT'!$D:$D, $D133, '4월 삼척 개인별 STAT'!$E:$E, $E133)</f>
        <v>57</v>
      </c>
      <c r="X133" s="20">
        <f>SUMIFS('3월 단양 개인별 STAT'!X:X, '3월 단양 개인별 STAT'!$D:$D, $D133, '3월 단양 개인별 STAT'!$E:$E, $E133) + SUMIFS('4월 삼척 개인별 STAT'!X:X, '4월 삼척 개인별 STAT'!$D:$D, $D133, '4월 삼척 개인별 STAT'!$E:$E, $E133)</f>
        <v>9</v>
      </c>
      <c r="Y133" s="20">
        <f>SUMIFS('3월 단양 개인별 STAT'!Y:Y, '3월 단양 개인별 STAT'!$D:$D, $D133, '3월 단양 개인별 STAT'!$E:$E, $E133) + SUMIFS('4월 삼척 개인별 STAT'!Y:Y, '4월 삼척 개인별 STAT'!$D:$D, $D133, '4월 삼척 개인별 STAT'!$E:$E, $E133)</f>
        <v>2</v>
      </c>
      <c r="Z133" s="35">
        <f t="shared" si="5"/>
        <v>68</v>
      </c>
      <c r="AA133" s="20">
        <f>SUMIFS('3월 단양 개인별 STAT'!AA:AA, '3월 단양 개인별 STAT'!$D:$D, $D133, '3월 단양 개인별 STAT'!$E:$E, $E133) + SUMIFS('4월 삼척 개인별 STAT'!AA:AA, '4월 삼척 개인별 STAT'!$D:$D, $D133, '4월 삼척 개인별 STAT'!$E:$E, $E133)</f>
        <v>0</v>
      </c>
      <c r="AB133" s="35">
        <f t="shared" si="6"/>
        <v>39</v>
      </c>
      <c r="AC133" s="23">
        <f t="shared" si="7"/>
        <v>40.5</v>
      </c>
      <c r="AD133" s="35">
        <f t="shared" si="8"/>
        <v>5</v>
      </c>
      <c r="AE133" s="20">
        <f>SUMIFS('3월 단양 개인별 STAT'!AE:AE, '3월 단양 개인별 STAT'!$D:$D, $D133, '3월 단양 개인별 STAT'!$E:$E, $E133) + SUMIFS('4월 삼척 개인별 STAT'!AE:AE, '4월 삼척 개인별 STAT'!$D:$D, $D133, '4월 삼척 개인별 STAT'!$E:$E, $E133)</f>
        <v>5</v>
      </c>
      <c r="AF133" s="20">
        <f>SUMIFS('3월 단양 개인별 STAT'!AF:AF, '3월 단양 개인별 STAT'!$D:$D, $D133, '3월 단양 개인별 STAT'!$E:$E, $E133) + SUMIFS('4월 삼척 개인별 STAT'!AF:AF, '4월 삼척 개인별 STAT'!$D:$D, $D133, '4월 삼척 개인별 STAT'!$E:$E, $E133)</f>
        <v>0</v>
      </c>
      <c r="AG133" s="36">
        <f t="shared" si="9"/>
        <v>100</v>
      </c>
      <c r="AH133" s="20">
        <f>SUMIFS('3월 단양 개인별 STAT'!AH:AH, '3월 단양 개인별 STAT'!$D:$D, $D133, '3월 단양 개인별 STAT'!$E:$E, $E133) + SUMIFS('4월 삼척 개인별 STAT'!AH:AH, '4월 삼척 개인별 STAT'!$D:$D, $D133, '4월 삼척 개인별 STAT'!$E:$E, $E133)</f>
        <v>11</v>
      </c>
      <c r="AI133" s="34" t="str">
        <f t="shared" si="10"/>
        <v>0.61</v>
      </c>
      <c r="AJ133" s="25"/>
      <c r="AL133" s="27">
        <f t="shared" si="11"/>
        <v>1.388888889</v>
      </c>
      <c r="AM133" s="27">
        <f t="shared" si="30"/>
        <v>2.333333333</v>
      </c>
      <c r="AN133" s="28">
        <f t="shared" si="13"/>
        <v>0.5952380952</v>
      </c>
      <c r="AO133" s="27">
        <f t="shared" si="14"/>
        <v>0.2777777778</v>
      </c>
      <c r="AP133" s="27">
        <f t="shared" si="15"/>
        <v>0.5</v>
      </c>
      <c r="AQ133" s="27">
        <f t="shared" ref="AQ133:AR133" si="147">iferror(AB133/$M133,"-")</f>
        <v>2.166666667</v>
      </c>
      <c r="AR133" s="27">
        <f t="shared" si="147"/>
        <v>2.25</v>
      </c>
      <c r="AS133" s="29">
        <f t="shared" si="17"/>
        <v>0</v>
      </c>
      <c r="AT133" s="29" t="str">
        <f t="shared" si="18"/>
        <v>0.61</v>
      </c>
    </row>
    <row r="134">
      <c r="B134" s="17">
        <v>131.0</v>
      </c>
      <c r="C134" s="18">
        <f t="shared" si="2"/>
        <v>5</v>
      </c>
      <c r="D134" s="19" t="s">
        <v>188</v>
      </c>
      <c r="E134" s="19" t="s">
        <v>193</v>
      </c>
      <c r="F134" s="19">
        <v>1.0</v>
      </c>
      <c r="G134" s="19" t="s">
        <v>52</v>
      </c>
      <c r="H134" s="19" t="s">
        <v>57</v>
      </c>
      <c r="I134" s="19">
        <v>175.0</v>
      </c>
      <c r="J134" s="19">
        <v>60.0</v>
      </c>
      <c r="K134" s="20">
        <v>8.0</v>
      </c>
      <c r="L134" s="20">
        <f>SUMIFS('3월 단양 개인별 STAT'!L:L, '3월 단양 개인별 STAT'!$D:$D, $D134, '3월 단양 개인별 STAT'!$E:$E, $E134) + SUMIFS('4월 삼척 개인별 STAT'!L:L, '4월 삼척 개인별 STAT'!$D:$D, $D134, '4월 삼척 개인별 STAT'!$E:$E, $E134)</f>
        <v>0</v>
      </c>
      <c r="M134" s="20">
        <f>SUMIFS('3월 단양 개인별 STAT'!M:M, '3월 단양 개인별 STAT'!$D:$D, $D134, '3월 단양 개인별 STAT'!$E:$E, $E134) + SUMIFS('4월 삼척 개인별 STAT'!M:M, '4월 삼척 개인별 STAT'!$D:$D, $D134, '4월 삼척 개인별 STAT'!$E:$E, $E134)</f>
        <v>0</v>
      </c>
      <c r="N134" s="20">
        <f>SUMIFS('3월 단양 개인별 STAT'!N:N, '3월 단양 개인별 STAT'!$D:$D, $D134, '3월 단양 개인별 STAT'!$E:$E, $E134) + SUMIFS('4월 삼척 개인별 STAT'!N:N, '4월 삼척 개인별 STAT'!$D:$D, $D134, '4월 삼척 개인별 STAT'!$E:$E, $E134)</f>
        <v>0</v>
      </c>
      <c r="O134" s="20">
        <f>SUMIFS('3월 단양 개인별 STAT'!O:O, '3월 단양 개인별 STAT'!$D:$D, $D134, '3월 단양 개인별 STAT'!$E:$E, $E134) + SUMIFS('4월 삼척 개인별 STAT'!O:O, '4월 삼척 개인별 STAT'!$D:$D, $D134, '4월 삼척 개인별 STAT'!$E:$E, $E134)</f>
        <v>0</v>
      </c>
      <c r="P134" s="20">
        <f>SUMIFS('3월 단양 개인별 STAT'!P:P, '3월 단양 개인별 STAT'!$D:$D, $D134, '3월 단양 개인별 STAT'!$E:$E, $E134) + SUMIFS('4월 삼척 개인별 STAT'!P:P, '4월 삼척 개인별 STAT'!$D:$D, $D134, '4월 삼척 개인별 STAT'!$E:$E, $E134)</f>
        <v>0</v>
      </c>
      <c r="Q134" s="20">
        <f>SUMIFS('3월 단양 개인별 STAT'!Q:Q, '3월 단양 개인별 STAT'!$D:$D, $D134, '3월 단양 개인별 STAT'!$E:$E, $E134) + SUMIFS('4월 삼척 개인별 STAT'!Q:Q, '4월 삼척 개인별 STAT'!$D:$D, $D134, '4월 삼척 개인별 STAT'!$E:$E, $E134)</f>
        <v>0</v>
      </c>
      <c r="R134" s="33" t="str">
        <f t="shared" si="3"/>
        <v>-</v>
      </c>
      <c r="S134" s="34" t="str">
        <f t="shared" si="4"/>
        <v>-</v>
      </c>
      <c r="T134" s="20">
        <f>SUMIFS('3월 단양 개인별 STAT'!T:T, '3월 단양 개인별 STAT'!$D:$D, $D134, '3월 단양 개인별 STAT'!$E:$E, $E134) + SUMIFS('4월 삼척 개인별 STAT'!T:T, '4월 삼척 개인별 STAT'!$D:$D, $D134, '4월 삼척 개인별 STAT'!$E:$E, $E134)</f>
        <v>0</v>
      </c>
      <c r="U134" s="20">
        <f>SUMIFS('3월 단양 개인별 STAT'!U:U, '3월 단양 개인별 STAT'!$D:$D, $D134, '3월 단양 개인별 STAT'!$E:$E, $E134) + SUMIFS('4월 삼척 개인별 STAT'!U:U, '4월 삼척 개인별 STAT'!$D:$D, $D134, '4월 삼척 개인별 STAT'!$E:$E, $E134)</f>
        <v>0</v>
      </c>
      <c r="V134" s="20">
        <f>SUMIFS('3월 단양 개인별 STAT'!V:V, '3월 단양 개인별 STAT'!$D:$D, $D134, '3월 단양 개인별 STAT'!$E:$E, $E134) + SUMIFS('4월 삼척 개인별 STAT'!V:V, '4월 삼척 개인별 STAT'!$D:$D, $D134, '4월 삼척 개인별 STAT'!$E:$E, $E134)</f>
        <v>0</v>
      </c>
      <c r="W134" s="20">
        <f>SUMIFS('3월 단양 개인별 STAT'!W:W, '3월 단양 개인별 STAT'!$D:$D, $D134, '3월 단양 개인별 STAT'!$E:$E, $E134) + SUMIFS('4월 삼척 개인별 STAT'!W:W, '4월 삼척 개인별 STAT'!$D:$D, $D134, '4월 삼척 개인별 STAT'!$E:$E, $E134)</f>
        <v>0</v>
      </c>
      <c r="X134" s="20">
        <f>SUMIFS('3월 단양 개인별 STAT'!X:X, '3월 단양 개인별 STAT'!$D:$D, $D134, '3월 단양 개인별 STAT'!$E:$E, $E134) + SUMIFS('4월 삼척 개인별 STAT'!X:X, '4월 삼척 개인별 STAT'!$D:$D, $D134, '4월 삼척 개인별 STAT'!$E:$E, $E134)</f>
        <v>0</v>
      </c>
      <c r="Y134" s="20">
        <f>SUMIFS('3월 단양 개인별 STAT'!Y:Y, '3월 단양 개인별 STAT'!$D:$D, $D134, '3월 단양 개인별 STAT'!$E:$E, $E134) + SUMIFS('4월 삼척 개인별 STAT'!Y:Y, '4월 삼척 개인별 STAT'!$D:$D, $D134, '4월 삼척 개인별 STAT'!$E:$E, $E134)</f>
        <v>0</v>
      </c>
      <c r="Z134" s="33" t="str">
        <f t="shared" si="5"/>
        <v>-</v>
      </c>
      <c r="AA134" s="20">
        <f>SUMIFS('3월 단양 개인별 STAT'!AA:AA, '3월 단양 개인별 STAT'!$D:$D, $D134, '3월 단양 개인별 STAT'!$E:$E, $E134) + SUMIFS('4월 삼척 개인별 STAT'!AA:AA, '4월 삼척 개인별 STAT'!$D:$D, $D134, '4월 삼척 개인별 STAT'!$E:$E, $E134)</f>
        <v>0</v>
      </c>
      <c r="AB134" s="33" t="str">
        <f t="shared" si="6"/>
        <v>-</v>
      </c>
      <c r="AC134" s="23">
        <f t="shared" si="7"/>
        <v>0</v>
      </c>
      <c r="AD134" s="33" t="str">
        <f t="shared" si="8"/>
        <v>-</v>
      </c>
      <c r="AE134" s="20">
        <f>SUMIFS('3월 단양 개인별 STAT'!AE:AE, '3월 단양 개인별 STAT'!$D:$D, $D134, '3월 단양 개인별 STAT'!$E:$E, $E134) + SUMIFS('4월 삼척 개인별 STAT'!AE:AE, '4월 삼척 개인별 STAT'!$D:$D, $D134, '4월 삼척 개인별 STAT'!$E:$E, $E134)</f>
        <v>0</v>
      </c>
      <c r="AF134" s="20">
        <f>SUMIFS('3월 단양 개인별 STAT'!AF:AF, '3월 단양 개인별 STAT'!$D:$D, $D134, '3월 단양 개인별 STAT'!$E:$E, $E134) + SUMIFS('4월 삼척 개인별 STAT'!AF:AF, '4월 삼척 개인별 STAT'!$D:$D, $D134, '4월 삼척 개인별 STAT'!$E:$E, $E134)</f>
        <v>0</v>
      </c>
      <c r="AG134" s="36" t="str">
        <f t="shared" si="9"/>
        <v>-</v>
      </c>
      <c r="AH134" s="20">
        <f>SUMIFS('3월 단양 개인별 STAT'!AH:AH, '3월 단양 개인별 STAT'!$D:$D, $D134, '3월 단양 개인별 STAT'!$E:$E, $E134) + SUMIFS('4월 삼척 개인별 STAT'!AH:AH, '4월 삼척 개인별 STAT'!$D:$D, $D134, '4월 삼척 개인별 STAT'!$E:$E, $E134)</f>
        <v>0</v>
      </c>
      <c r="AI134" s="34" t="str">
        <f t="shared" si="10"/>
        <v>-</v>
      </c>
      <c r="AJ134" s="25"/>
      <c r="AL134" s="27" t="str">
        <f t="shared" si="11"/>
        <v>-</v>
      </c>
      <c r="AM134" s="27" t="str">
        <f t="shared" si="30"/>
        <v>-</v>
      </c>
      <c r="AN134" s="28" t="str">
        <f t="shared" si="13"/>
        <v>-</v>
      </c>
      <c r="AO134" s="27" t="str">
        <f t="shared" si="14"/>
        <v>-</v>
      </c>
      <c r="AP134" s="27" t="str">
        <f t="shared" si="15"/>
        <v>-</v>
      </c>
      <c r="AQ134" s="27" t="str">
        <f t="shared" ref="AQ134:AR134" si="148">iferror(AB134/$M134,"-")</f>
        <v>-</v>
      </c>
      <c r="AR134" s="27" t="str">
        <f t="shared" si="148"/>
        <v>-</v>
      </c>
      <c r="AS134" s="29" t="str">
        <f t="shared" si="17"/>
        <v>-</v>
      </c>
      <c r="AT134" s="29" t="str">
        <f t="shared" si="18"/>
        <v>-</v>
      </c>
    </row>
    <row r="135">
      <c r="B135" s="17">
        <v>132.0</v>
      </c>
      <c r="C135" s="18">
        <f t="shared" si="2"/>
        <v>6</v>
      </c>
      <c r="D135" s="19" t="s">
        <v>188</v>
      </c>
      <c r="E135" s="19" t="s">
        <v>194</v>
      </c>
      <c r="F135" s="19">
        <v>2.0</v>
      </c>
      <c r="G135" s="19" t="s">
        <v>54</v>
      </c>
      <c r="H135" s="19" t="s">
        <v>48</v>
      </c>
      <c r="I135" s="19">
        <v>167.0</v>
      </c>
      <c r="J135" s="19">
        <v>60.0</v>
      </c>
      <c r="K135" s="20">
        <v>9.0</v>
      </c>
      <c r="L135" s="20">
        <f>SUMIFS('3월 단양 개인별 STAT'!L:L, '3월 단양 개인별 STAT'!$D:$D, $D135, '3월 단양 개인별 STAT'!$E:$E, $E135) + SUMIFS('4월 삼척 개인별 STAT'!L:L, '4월 삼척 개인별 STAT'!$D:$D, $D135, '4월 삼척 개인별 STAT'!$E:$E, $E135)</f>
        <v>5</v>
      </c>
      <c r="M135" s="20">
        <f>SUMIFS('3월 단양 개인별 STAT'!M:M, '3월 단양 개인별 STAT'!$D:$D, $D135, '3월 단양 개인별 STAT'!$E:$E, $E135) + SUMIFS('4월 삼척 개인별 STAT'!M:M, '4월 삼척 개인별 STAT'!$D:$D, $D135, '4월 삼척 개인별 STAT'!$E:$E, $E135)</f>
        <v>18</v>
      </c>
      <c r="N135" s="20">
        <f>SUMIFS('3월 단양 개인별 STAT'!N:N, '3월 단양 개인별 STAT'!$D:$D, $D135, '3월 단양 개인별 STAT'!$E:$E, $E135) + SUMIFS('4월 삼척 개인별 STAT'!N:N, '4월 삼척 개인별 STAT'!$D:$D, $D135, '4월 삼척 개인별 STAT'!$E:$E, $E135)</f>
        <v>4</v>
      </c>
      <c r="O135" s="20">
        <f>SUMIFS('3월 단양 개인별 STAT'!O:O, '3월 단양 개인별 STAT'!$D:$D, $D135, '3월 단양 개인별 STAT'!$E:$E, $E135) + SUMIFS('4월 삼척 개인별 STAT'!O:O, '4월 삼척 개인별 STAT'!$D:$D, $D135, '4월 삼척 개인별 STAT'!$E:$E, $E135)</f>
        <v>230</v>
      </c>
      <c r="P135" s="20">
        <f>SUMIFS('3월 단양 개인별 STAT'!P:P, '3월 단양 개인별 STAT'!$D:$D, $D135, '3월 단양 개인별 STAT'!$E:$E, $E135) + SUMIFS('4월 삼척 개인별 STAT'!P:P, '4월 삼척 개인별 STAT'!$D:$D, $D135, '4월 삼척 개인별 STAT'!$E:$E, $E135)</f>
        <v>11</v>
      </c>
      <c r="Q135" s="20">
        <f>SUMIFS('3월 단양 개인별 STAT'!Q:Q, '3월 단양 개인별 STAT'!$D:$D, $D135, '3월 단양 개인별 STAT'!$E:$E, $E135) + SUMIFS('4월 삼척 개인별 STAT'!Q:Q, '4월 삼척 개인별 STAT'!$D:$D, $D135, '4월 삼척 개인별 STAT'!$E:$E, $E135)</f>
        <v>1</v>
      </c>
      <c r="R135" s="35">
        <f t="shared" si="3"/>
        <v>16</v>
      </c>
      <c r="S135" s="34">
        <f t="shared" si="4"/>
        <v>0.19</v>
      </c>
      <c r="T135" s="20">
        <f>SUMIFS('3월 단양 개인별 STAT'!T:T, '3월 단양 개인별 STAT'!$D:$D, $D135, '3월 단양 개인별 STAT'!$E:$E, $E135) + SUMIFS('4월 삼척 개인별 STAT'!T:T, '4월 삼척 개인별 STAT'!$D:$D, $D135, '4월 삼척 개인별 STAT'!$E:$E, $E135)</f>
        <v>2</v>
      </c>
      <c r="U135" s="20">
        <f>SUMIFS('3월 단양 개인별 STAT'!U:U, '3월 단양 개인별 STAT'!$D:$D, $D135, '3월 단양 개인별 STAT'!$E:$E, $E135) + SUMIFS('4월 삼척 개인별 STAT'!U:U, '4월 삼척 개인별 STAT'!$D:$D, $D135, '4월 삼척 개인별 STAT'!$E:$E, $E135)</f>
        <v>1</v>
      </c>
      <c r="V135" s="20">
        <f>SUMIFS('3월 단양 개인별 STAT'!V:V, '3월 단양 개인별 STAT'!$D:$D, $D135, '3월 단양 개인별 STAT'!$E:$E, $E135) + SUMIFS('4월 삼척 개인별 STAT'!V:V, '4월 삼척 개인별 STAT'!$D:$D, $D135, '4월 삼척 개인별 STAT'!$E:$E, $E135)</f>
        <v>2</v>
      </c>
      <c r="W135" s="20">
        <f>SUMIFS('3월 단양 개인별 STAT'!W:W, '3월 단양 개인별 STAT'!$D:$D, $D135, '3월 단양 개인별 STAT'!$E:$E, $E135) + SUMIFS('4월 삼척 개인별 STAT'!W:W, '4월 삼척 개인별 STAT'!$D:$D, $D135, '4월 삼척 개인별 STAT'!$E:$E, $E135)</f>
        <v>54</v>
      </c>
      <c r="X135" s="20">
        <f>SUMIFS('3월 단양 개인별 STAT'!X:X, '3월 단양 개인별 STAT'!$D:$D, $D135, '3월 단양 개인별 STAT'!$E:$E, $E135) + SUMIFS('4월 삼척 개인별 STAT'!X:X, '4월 삼척 개인별 STAT'!$D:$D, $D135, '4월 삼척 개인별 STAT'!$E:$E, $E135)</f>
        <v>8</v>
      </c>
      <c r="Y135" s="20">
        <f>SUMIFS('3월 단양 개인별 STAT'!Y:Y, '3월 단양 개인별 STAT'!$D:$D, $D135, '3월 단양 개인별 STAT'!$E:$E, $E135) + SUMIFS('4월 삼척 개인별 STAT'!Y:Y, '4월 삼척 개인별 STAT'!$D:$D, $D135, '4월 삼척 개인별 STAT'!$E:$E, $E135)</f>
        <v>4</v>
      </c>
      <c r="Z135" s="35">
        <f t="shared" si="5"/>
        <v>66</v>
      </c>
      <c r="AA135" s="20">
        <f>SUMIFS('3월 단양 개인별 STAT'!AA:AA, '3월 단양 개인별 STAT'!$D:$D, $D135, '3월 단양 개인별 STAT'!$E:$E, $E135) + SUMIFS('4월 삼척 개인별 STAT'!AA:AA, '4월 삼척 개인별 STAT'!$D:$D, $D135, '4월 삼척 개인별 STAT'!$E:$E, $E135)</f>
        <v>3</v>
      </c>
      <c r="AB135" s="35">
        <f t="shared" si="6"/>
        <v>14</v>
      </c>
      <c r="AC135" s="23">
        <f t="shared" si="7"/>
        <v>15.5</v>
      </c>
      <c r="AD135" s="35">
        <f t="shared" si="8"/>
        <v>3</v>
      </c>
      <c r="AE135" s="20">
        <f>SUMIFS('3월 단양 개인별 STAT'!AE:AE, '3월 단양 개인별 STAT'!$D:$D, $D135, '3월 단양 개인별 STAT'!$E:$E, $E135) + SUMIFS('4월 삼척 개인별 STAT'!AE:AE, '4월 삼척 개인별 STAT'!$D:$D, $D135, '4월 삼척 개인별 STAT'!$E:$E, $E135)</f>
        <v>0</v>
      </c>
      <c r="AF135" s="20">
        <f>SUMIFS('3월 단양 개인별 STAT'!AF:AF, '3월 단양 개인별 STAT'!$D:$D, $D135, '3월 단양 개인별 STAT'!$E:$E, $E135) + SUMIFS('4월 삼척 개인별 STAT'!AF:AF, '4월 삼척 개인별 STAT'!$D:$D, $D135, '4월 삼척 개인별 STAT'!$E:$E, $E135)</f>
        <v>3</v>
      </c>
      <c r="AG135" s="36">
        <f t="shared" si="9"/>
        <v>0</v>
      </c>
      <c r="AH135" s="20">
        <f>SUMIFS('3월 단양 개인별 STAT'!AH:AH, '3월 단양 개인별 STAT'!$D:$D, $D135, '3월 단양 개인별 STAT'!$E:$E, $E135) + SUMIFS('4월 삼척 개인별 STAT'!AH:AH, '4월 삼척 개인별 STAT'!$D:$D, $D135, '4월 삼척 개인별 STAT'!$E:$E, $E135)</f>
        <v>34</v>
      </c>
      <c r="AI135" s="34" t="str">
        <f t="shared" si="10"/>
        <v>1.89</v>
      </c>
      <c r="AJ135" s="25"/>
      <c r="AL135" s="27">
        <f t="shared" si="11"/>
        <v>0.2222222222</v>
      </c>
      <c r="AM135" s="27">
        <f t="shared" si="30"/>
        <v>0.8888888889</v>
      </c>
      <c r="AN135" s="28">
        <f t="shared" si="13"/>
        <v>0.25</v>
      </c>
      <c r="AO135" s="27">
        <f t="shared" si="14"/>
        <v>0.1111111111</v>
      </c>
      <c r="AP135" s="27">
        <f t="shared" si="15"/>
        <v>0.4444444444</v>
      </c>
      <c r="AQ135" s="27">
        <f t="shared" ref="AQ135:AR135" si="149">iferror(AB135/$M135,"-")</f>
        <v>0.7777777778</v>
      </c>
      <c r="AR135" s="27">
        <f t="shared" si="149"/>
        <v>0.8611111111</v>
      </c>
      <c r="AS135" s="29">
        <f t="shared" si="17"/>
        <v>0.1666666667</v>
      </c>
      <c r="AT135" s="29" t="str">
        <f t="shared" si="18"/>
        <v>1.89</v>
      </c>
    </row>
    <row r="136">
      <c r="B136" s="17">
        <v>133.0</v>
      </c>
      <c r="C136" s="18">
        <f t="shared" si="2"/>
        <v>7</v>
      </c>
      <c r="D136" s="19" t="s">
        <v>188</v>
      </c>
      <c r="E136" s="19" t="s">
        <v>195</v>
      </c>
      <c r="F136" s="19">
        <v>1.0</v>
      </c>
      <c r="G136" s="19" t="s">
        <v>52</v>
      </c>
      <c r="H136" s="19" t="s">
        <v>50</v>
      </c>
      <c r="I136" s="19">
        <v>160.0</v>
      </c>
      <c r="J136" s="19">
        <v>50.0</v>
      </c>
      <c r="K136" s="20">
        <v>10.0</v>
      </c>
      <c r="L136" s="20">
        <f>SUMIFS('3월 단양 개인별 STAT'!L:L, '3월 단양 개인별 STAT'!$D:$D, $D136, '3월 단양 개인별 STAT'!$E:$E, $E136) + SUMIFS('4월 삼척 개인별 STAT'!L:L, '4월 삼척 개인별 STAT'!$D:$D, $D136, '4월 삼척 개인별 STAT'!$E:$E, $E136)</f>
        <v>5</v>
      </c>
      <c r="M136" s="20">
        <f>SUMIFS('3월 단양 개인별 STAT'!M:M, '3월 단양 개인별 STAT'!$D:$D, $D136, '3월 단양 개인별 STAT'!$E:$E, $E136) + SUMIFS('4월 삼척 개인별 STAT'!M:M, '4월 삼척 개인별 STAT'!$D:$D, $D136, '4월 삼척 개인별 STAT'!$E:$E, $E136)</f>
        <v>18</v>
      </c>
      <c r="N136" s="20">
        <f>SUMIFS('3월 단양 개인별 STAT'!N:N, '3월 단양 개인별 STAT'!$D:$D, $D136, '3월 단양 개인별 STAT'!$E:$E, $E136) + SUMIFS('4월 삼척 개인별 STAT'!N:N, '4월 삼척 개인별 STAT'!$D:$D, $D136, '4월 삼척 개인별 STAT'!$E:$E, $E136)</f>
        <v>0</v>
      </c>
      <c r="O136" s="20">
        <f>SUMIFS('3월 단양 개인별 STAT'!O:O, '3월 단양 개인별 STAT'!$D:$D, $D136, '3월 단양 개인별 STAT'!$E:$E, $E136) + SUMIFS('4월 삼척 개인별 STAT'!O:O, '4월 삼척 개인별 STAT'!$D:$D, $D136, '4월 삼척 개인별 STAT'!$E:$E, $E136)</f>
        <v>6</v>
      </c>
      <c r="P136" s="20">
        <f>SUMIFS('3월 단양 개인별 STAT'!P:P, '3월 단양 개인별 STAT'!$D:$D, $D136, '3월 단양 개인별 STAT'!$E:$E, $E136) + SUMIFS('4월 삼척 개인별 STAT'!P:P, '4월 삼척 개인별 STAT'!$D:$D, $D136, '4월 삼척 개인별 STAT'!$E:$E, $E136)</f>
        <v>0</v>
      </c>
      <c r="Q136" s="20">
        <f>SUMIFS('3월 단양 개인별 STAT'!Q:Q, '3월 단양 개인별 STAT'!$D:$D, $D136, '3월 단양 개인별 STAT'!$E:$E, $E136) + SUMIFS('4월 삼척 개인별 STAT'!Q:Q, '4월 삼척 개인별 STAT'!$D:$D, $D136, '4월 삼척 개인별 STAT'!$E:$E, $E136)</f>
        <v>0</v>
      </c>
      <c r="R136" s="33" t="str">
        <f t="shared" si="3"/>
        <v>-</v>
      </c>
      <c r="S136" s="34" t="str">
        <f t="shared" si="4"/>
        <v>-</v>
      </c>
      <c r="T136" s="20">
        <f>SUMIFS('3월 단양 개인별 STAT'!T:T, '3월 단양 개인별 STAT'!$D:$D, $D136, '3월 단양 개인별 STAT'!$E:$E, $E136) + SUMIFS('4월 삼척 개인별 STAT'!T:T, '4월 삼척 개인별 STAT'!$D:$D, $D136, '4월 삼척 개인별 STAT'!$E:$E, $E136)</f>
        <v>0</v>
      </c>
      <c r="U136" s="20">
        <f>SUMIFS('3월 단양 개인별 STAT'!U:U, '3월 단양 개인별 STAT'!$D:$D, $D136, '3월 단양 개인별 STAT'!$E:$E, $E136) + SUMIFS('4월 삼척 개인별 STAT'!U:U, '4월 삼척 개인별 STAT'!$D:$D, $D136, '4월 삼척 개인별 STAT'!$E:$E, $E136)</f>
        <v>0</v>
      </c>
      <c r="V136" s="20">
        <f>SUMIFS('3월 단양 개인별 STAT'!V:V, '3월 단양 개인별 STAT'!$D:$D, $D136, '3월 단양 개인별 STAT'!$E:$E, $E136) + SUMIFS('4월 삼척 개인별 STAT'!V:V, '4월 삼척 개인별 STAT'!$D:$D, $D136, '4월 삼척 개인별 STAT'!$E:$E, $E136)</f>
        <v>0</v>
      </c>
      <c r="W136" s="20">
        <f>SUMIFS('3월 단양 개인별 STAT'!W:W, '3월 단양 개인별 STAT'!$D:$D, $D136, '3월 단양 개인별 STAT'!$E:$E, $E136) + SUMIFS('4월 삼척 개인별 STAT'!W:W, '4월 삼척 개인별 STAT'!$D:$D, $D136, '4월 삼척 개인별 STAT'!$E:$E, $E136)</f>
        <v>0</v>
      </c>
      <c r="X136" s="20">
        <f>SUMIFS('3월 단양 개인별 STAT'!X:X, '3월 단양 개인별 STAT'!$D:$D, $D136, '3월 단양 개인별 STAT'!$E:$E, $E136) + SUMIFS('4월 삼척 개인별 STAT'!X:X, '4월 삼척 개인별 STAT'!$D:$D, $D136, '4월 삼척 개인별 STAT'!$E:$E, $E136)</f>
        <v>0</v>
      </c>
      <c r="Y136" s="20">
        <f>SUMIFS('3월 단양 개인별 STAT'!Y:Y, '3월 단양 개인별 STAT'!$D:$D, $D136, '3월 단양 개인별 STAT'!$E:$E, $E136) + SUMIFS('4월 삼척 개인별 STAT'!Y:Y, '4월 삼척 개인별 STAT'!$D:$D, $D136, '4월 삼척 개인별 STAT'!$E:$E, $E136)</f>
        <v>0</v>
      </c>
      <c r="Z136" s="33" t="str">
        <f t="shared" si="5"/>
        <v>-</v>
      </c>
      <c r="AA136" s="20">
        <f>SUMIFS('3월 단양 개인별 STAT'!AA:AA, '3월 단양 개인별 STAT'!$D:$D, $D136, '3월 단양 개인별 STAT'!$E:$E, $E136) + SUMIFS('4월 삼척 개인별 STAT'!AA:AA, '4월 삼척 개인별 STAT'!$D:$D, $D136, '4월 삼척 개인별 STAT'!$E:$E, $E136)</f>
        <v>0</v>
      </c>
      <c r="AB136" s="33" t="str">
        <f t="shared" si="6"/>
        <v>-</v>
      </c>
      <c r="AC136" s="23">
        <f t="shared" si="7"/>
        <v>0</v>
      </c>
      <c r="AD136" s="35">
        <f t="shared" si="8"/>
        <v>104</v>
      </c>
      <c r="AE136" s="20">
        <f>SUMIFS('3월 단양 개인별 STAT'!AE:AE, '3월 단양 개인별 STAT'!$D:$D, $D136, '3월 단양 개인별 STAT'!$E:$E, $E136) + SUMIFS('4월 삼척 개인별 STAT'!AE:AE, '4월 삼척 개인별 STAT'!$D:$D, $D136, '4월 삼척 개인별 STAT'!$E:$E, $E136)</f>
        <v>96</v>
      </c>
      <c r="AF136" s="20">
        <f>SUMIFS('3월 단양 개인별 STAT'!AF:AF, '3월 단양 개인별 STAT'!$D:$D, $D136, '3월 단양 개인별 STAT'!$E:$E, $E136) + SUMIFS('4월 삼척 개인별 STAT'!AF:AF, '4월 삼척 개인별 STAT'!$D:$D, $D136, '4월 삼척 개인별 STAT'!$E:$E, $E136)</f>
        <v>8</v>
      </c>
      <c r="AG136" s="36">
        <f t="shared" si="9"/>
        <v>92.30769231</v>
      </c>
      <c r="AH136" s="20">
        <f>SUMIFS('3월 단양 개인별 STAT'!AH:AH, '3월 단양 개인별 STAT'!$D:$D, $D136, '3월 단양 개인별 STAT'!$E:$E, $E136) + SUMIFS('4월 삼척 개인별 STAT'!AH:AH, '4월 삼척 개인별 STAT'!$D:$D, $D136, '4월 삼척 개인별 STAT'!$E:$E, $E136)</f>
        <v>60</v>
      </c>
      <c r="AI136" s="34" t="str">
        <f t="shared" si="10"/>
        <v>3.33</v>
      </c>
      <c r="AJ136" s="25"/>
      <c r="AL136" s="27">
        <f t="shared" si="11"/>
        <v>0</v>
      </c>
      <c r="AM136" s="27" t="str">
        <f t="shared" si="30"/>
        <v>-</v>
      </c>
      <c r="AN136" s="28" t="str">
        <f t="shared" si="13"/>
        <v>-</v>
      </c>
      <c r="AO136" s="27">
        <f t="shared" si="14"/>
        <v>0</v>
      </c>
      <c r="AP136" s="27">
        <f t="shared" si="15"/>
        <v>0</v>
      </c>
      <c r="AQ136" s="27" t="str">
        <f t="shared" ref="AQ136:AR136" si="150">iferror(AB136/$M136,"-")</f>
        <v>-</v>
      </c>
      <c r="AR136" s="27">
        <f t="shared" si="150"/>
        <v>0</v>
      </c>
      <c r="AS136" s="29">
        <f t="shared" si="17"/>
        <v>0.4444444444</v>
      </c>
      <c r="AT136" s="29" t="str">
        <f t="shared" si="18"/>
        <v>3.33</v>
      </c>
    </row>
    <row r="137">
      <c r="B137" s="17">
        <v>134.0</v>
      </c>
      <c r="C137" s="18">
        <f t="shared" si="2"/>
        <v>8</v>
      </c>
      <c r="D137" s="19" t="s">
        <v>188</v>
      </c>
      <c r="E137" s="19" t="s">
        <v>196</v>
      </c>
      <c r="F137" s="19">
        <v>1.0</v>
      </c>
      <c r="G137" s="19" t="s">
        <v>54</v>
      </c>
      <c r="H137" s="19" t="s">
        <v>57</v>
      </c>
      <c r="I137" s="19">
        <v>170.0</v>
      </c>
      <c r="J137" s="19">
        <v>60.0</v>
      </c>
      <c r="K137" s="20">
        <v>12.0</v>
      </c>
      <c r="L137" s="20">
        <f>SUMIFS('3월 단양 개인별 STAT'!L:L, '3월 단양 개인별 STAT'!$D:$D, $D137, '3월 단양 개인별 STAT'!$E:$E, $E137) + SUMIFS('4월 삼척 개인별 STAT'!L:L, '4월 삼척 개인별 STAT'!$D:$D, $D137, '4월 삼척 개인별 STAT'!$E:$E, $E137)</f>
        <v>4</v>
      </c>
      <c r="M137" s="20">
        <f>SUMIFS('3월 단양 개인별 STAT'!M:M, '3월 단양 개인별 STAT'!$D:$D, $D137, '3월 단양 개인별 STAT'!$E:$E, $E137) + SUMIFS('4월 삼척 개인별 STAT'!M:M, '4월 삼척 개인별 STAT'!$D:$D, $D137, '4월 삼척 개인별 STAT'!$E:$E, $E137)</f>
        <v>5</v>
      </c>
      <c r="N137" s="20">
        <f>SUMIFS('3월 단양 개인별 STAT'!N:N, '3월 단양 개인별 STAT'!$D:$D, $D137, '3월 단양 개인별 STAT'!$E:$E, $E137) + SUMIFS('4월 삼척 개인별 STAT'!N:N, '4월 삼척 개인별 STAT'!$D:$D, $D137, '4월 삼척 개인별 STAT'!$E:$E, $E137)</f>
        <v>3</v>
      </c>
      <c r="O137" s="20">
        <f>SUMIFS('3월 단양 개인별 STAT'!O:O, '3월 단양 개인별 STAT'!$D:$D, $D137, '3월 단양 개인별 STAT'!$E:$E, $E137) + SUMIFS('4월 삼척 개인별 STAT'!O:O, '4월 삼척 개인별 STAT'!$D:$D, $D137, '4월 삼척 개인별 STAT'!$E:$E, $E137)</f>
        <v>2</v>
      </c>
      <c r="P137" s="20">
        <f>SUMIFS('3월 단양 개인별 STAT'!P:P, '3월 단양 개인별 STAT'!$D:$D, $D137, '3월 단양 개인별 STAT'!$E:$E, $E137) + SUMIFS('4월 삼척 개인별 STAT'!P:P, '4월 삼척 개인별 STAT'!$D:$D, $D137, '4월 삼척 개인별 STAT'!$E:$E, $E137)</f>
        <v>8</v>
      </c>
      <c r="Q137" s="20">
        <f>SUMIFS('3월 단양 개인별 STAT'!Q:Q, '3월 단양 개인별 STAT'!$D:$D, $D137, '3월 단양 개인별 STAT'!$E:$E, $E137) + SUMIFS('4월 삼척 개인별 STAT'!Q:Q, '4월 삼척 개인별 STAT'!$D:$D, $D137, '4월 삼척 개인별 STAT'!$E:$E, $E137)</f>
        <v>1</v>
      </c>
      <c r="R137" s="35">
        <f t="shared" si="3"/>
        <v>12</v>
      </c>
      <c r="S137" s="34">
        <f t="shared" si="4"/>
        <v>0.17</v>
      </c>
      <c r="T137" s="20">
        <f>SUMIFS('3월 단양 개인별 STAT'!T:T, '3월 단양 개인별 STAT'!$D:$D, $D137, '3월 단양 개인별 STAT'!$E:$E, $E137) + SUMIFS('4월 삼척 개인별 STAT'!T:T, '4월 삼척 개인별 STAT'!$D:$D, $D137, '4월 삼척 개인별 STAT'!$E:$E, $E137)</f>
        <v>0</v>
      </c>
      <c r="U137" s="20">
        <f>SUMIFS('3월 단양 개인별 STAT'!U:U, '3월 단양 개인별 STAT'!$D:$D, $D137, '3월 단양 개인별 STAT'!$E:$E, $E137) + SUMIFS('4월 삼척 개인별 STAT'!U:U, '4월 삼척 개인별 STAT'!$D:$D, $D137, '4월 삼척 개인별 STAT'!$E:$E, $E137)</f>
        <v>1</v>
      </c>
      <c r="V137" s="20">
        <f>SUMIFS('3월 단양 개인별 STAT'!V:V, '3월 단양 개인별 STAT'!$D:$D, $D137, '3월 단양 개인별 STAT'!$E:$E, $E137) + SUMIFS('4월 삼척 개인별 STAT'!V:V, '4월 삼척 개인별 STAT'!$D:$D, $D137, '4월 삼척 개인별 STAT'!$E:$E, $E137)</f>
        <v>5</v>
      </c>
      <c r="W137" s="20">
        <f>SUMIFS('3월 단양 개인별 STAT'!W:W, '3월 단양 개인별 STAT'!$D:$D, $D137, '3월 단양 개인별 STAT'!$E:$E, $E137) + SUMIFS('4월 삼척 개인별 STAT'!W:W, '4월 삼척 개인별 STAT'!$D:$D, $D137, '4월 삼척 개인별 STAT'!$E:$E, $E137)</f>
        <v>11</v>
      </c>
      <c r="X137" s="20">
        <f>SUMIFS('3월 단양 개인별 STAT'!X:X, '3월 단양 개인별 STAT'!$D:$D, $D137, '3월 단양 개인별 STAT'!$E:$E, $E137) + SUMIFS('4월 삼척 개인별 STAT'!X:X, '4월 삼척 개인별 STAT'!$D:$D, $D137, '4월 삼척 개인별 STAT'!$E:$E, $E137)</f>
        <v>2</v>
      </c>
      <c r="Y137" s="20">
        <f>SUMIFS('3월 단양 개인별 STAT'!Y:Y, '3월 단양 개인별 STAT'!$D:$D, $D137, '3월 단양 개인별 STAT'!$E:$E, $E137) + SUMIFS('4월 삼척 개인별 STAT'!Y:Y, '4월 삼척 개인별 STAT'!$D:$D, $D137, '4월 삼척 개인별 STAT'!$E:$E, $E137)</f>
        <v>2</v>
      </c>
      <c r="Z137" s="35">
        <f t="shared" si="5"/>
        <v>15</v>
      </c>
      <c r="AA137" s="20">
        <f>SUMIFS('3월 단양 개인별 STAT'!AA:AA, '3월 단양 개인별 STAT'!$D:$D, $D137, '3월 단양 개인별 STAT'!$E:$E, $E137) + SUMIFS('4월 삼척 개인별 STAT'!AA:AA, '4월 삼척 개인별 STAT'!$D:$D, $D137, '4월 삼척 개인별 STAT'!$E:$E, $E137)</f>
        <v>0</v>
      </c>
      <c r="AB137" s="35">
        <f t="shared" si="6"/>
        <v>5</v>
      </c>
      <c r="AC137" s="23">
        <f t="shared" si="7"/>
        <v>8.75</v>
      </c>
      <c r="AD137" s="33" t="str">
        <f t="shared" si="8"/>
        <v>-</v>
      </c>
      <c r="AE137" s="20">
        <f>SUMIFS('3월 단양 개인별 STAT'!AE:AE, '3월 단양 개인별 STAT'!$D:$D, $D137, '3월 단양 개인별 STAT'!$E:$E, $E137) + SUMIFS('4월 삼척 개인별 STAT'!AE:AE, '4월 삼척 개인별 STAT'!$D:$D, $D137, '4월 삼척 개인별 STAT'!$E:$E, $E137)</f>
        <v>0</v>
      </c>
      <c r="AF137" s="20">
        <f>SUMIFS('3월 단양 개인별 STAT'!AF:AF, '3월 단양 개인별 STAT'!$D:$D, $D137, '3월 단양 개인별 STAT'!$E:$E, $E137) + SUMIFS('4월 삼척 개인별 STAT'!AF:AF, '4월 삼척 개인별 STAT'!$D:$D, $D137, '4월 삼척 개인별 STAT'!$E:$E, $E137)</f>
        <v>0</v>
      </c>
      <c r="AG137" s="36" t="str">
        <f t="shared" si="9"/>
        <v>-</v>
      </c>
      <c r="AH137" s="20">
        <f>SUMIFS('3월 단양 개인별 STAT'!AH:AH, '3월 단양 개인별 STAT'!$D:$D, $D137, '3월 단양 개인별 STAT'!$E:$E, $E137) + SUMIFS('4월 삼척 개인별 STAT'!AH:AH, '4월 삼척 개인별 STAT'!$D:$D, $D137, '4월 삼척 개인별 STAT'!$E:$E, $E137)</f>
        <v>7</v>
      </c>
      <c r="AI137" s="34" t="str">
        <f t="shared" si="10"/>
        <v>1.40</v>
      </c>
      <c r="AJ137" s="25"/>
      <c r="AL137" s="27">
        <f t="shared" si="11"/>
        <v>0.6</v>
      </c>
      <c r="AM137" s="27">
        <f t="shared" si="30"/>
        <v>2.4</v>
      </c>
      <c r="AN137" s="28">
        <f t="shared" si="13"/>
        <v>0.25</v>
      </c>
      <c r="AO137" s="27">
        <f t="shared" si="14"/>
        <v>0</v>
      </c>
      <c r="AP137" s="27">
        <f t="shared" si="15"/>
        <v>0.4</v>
      </c>
      <c r="AQ137" s="27">
        <f t="shared" ref="AQ137:AR137" si="151">iferror(AB137/$M137,"-")</f>
        <v>1</v>
      </c>
      <c r="AR137" s="27">
        <f t="shared" si="151"/>
        <v>1.75</v>
      </c>
      <c r="AS137" s="29">
        <f t="shared" si="17"/>
        <v>0</v>
      </c>
      <c r="AT137" s="29" t="str">
        <f t="shared" si="18"/>
        <v>1.40</v>
      </c>
    </row>
    <row r="138">
      <c r="B138" s="17">
        <v>135.0</v>
      </c>
      <c r="C138" s="18">
        <f t="shared" si="2"/>
        <v>9</v>
      </c>
      <c r="D138" s="19" t="s">
        <v>188</v>
      </c>
      <c r="E138" s="19" t="s">
        <v>197</v>
      </c>
      <c r="F138" s="19">
        <v>3.0</v>
      </c>
      <c r="G138" s="19" t="s">
        <v>52</v>
      </c>
      <c r="H138" s="19" t="s">
        <v>48</v>
      </c>
      <c r="I138" s="19">
        <v>169.0</v>
      </c>
      <c r="J138" s="19">
        <v>58.0</v>
      </c>
      <c r="K138" s="20">
        <v>13.0</v>
      </c>
      <c r="L138" s="20">
        <f>SUMIFS('3월 단양 개인별 STAT'!L:L, '3월 단양 개인별 STAT'!$D:$D, $D138, '3월 단양 개인별 STAT'!$E:$E, $E138) + SUMIFS('4월 삼척 개인별 STAT'!L:L, '4월 삼척 개인별 STAT'!$D:$D, $D138, '4월 삼척 개인별 STAT'!$E:$E, $E138)</f>
        <v>2</v>
      </c>
      <c r="M138" s="20">
        <f>SUMIFS('3월 단양 개인별 STAT'!M:M, '3월 단양 개인별 STAT'!$D:$D, $D138, '3월 단양 개인별 STAT'!$E:$E, $E138) + SUMIFS('4월 삼척 개인별 STAT'!M:M, '4월 삼척 개인별 STAT'!$D:$D, $D138, '4월 삼척 개인별 STAT'!$E:$E, $E138)</f>
        <v>5</v>
      </c>
      <c r="N138" s="20">
        <f>SUMIFS('3월 단양 개인별 STAT'!N:N, '3월 단양 개인별 STAT'!$D:$D, $D138, '3월 단양 개인별 STAT'!$E:$E, $E138) + SUMIFS('4월 삼척 개인별 STAT'!N:N, '4월 삼척 개인별 STAT'!$D:$D, $D138, '4월 삼척 개인별 STAT'!$E:$E, $E138)</f>
        <v>0</v>
      </c>
      <c r="O138" s="20">
        <f>SUMIFS('3월 단양 개인별 STAT'!O:O, '3월 단양 개인별 STAT'!$D:$D, $D138, '3월 단양 개인별 STAT'!$E:$E, $E138) + SUMIFS('4월 삼척 개인별 STAT'!O:O, '4월 삼척 개인별 STAT'!$D:$D, $D138, '4월 삼척 개인별 STAT'!$E:$E, $E138)</f>
        <v>0</v>
      </c>
      <c r="P138" s="20">
        <f>SUMIFS('3월 단양 개인별 STAT'!P:P, '3월 단양 개인별 STAT'!$D:$D, $D138, '3월 단양 개인별 STAT'!$E:$E, $E138) + SUMIFS('4월 삼척 개인별 STAT'!P:P, '4월 삼척 개인별 STAT'!$D:$D, $D138, '4월 삼척 개인별 STAT'!$E:$E, $E138)</f>
        <v>1</v>
      </c>
      <c r="Q138" s="20">
        <f>SUMIFS('3월 단양 개인별 STAT'!Q:Q, '3월 단양 개인별 STAT'!$D:$D, $D138, '3월 단양 개인별 STAT'!$E:$E, $E138) + SUMIFS('4월 삼척 개인별 STAT'!Q:Q, '4월 삼척 개인별 STAT'!$D:$D, $D138, '4월 삼척 개인별 STAT'!$E:$E, $E138)</f>
        <v>0</v>
      </c>
      <c r="R138" s="35">
        <f t="shared" si="3"/>
        <v>1</v>
      </c>
      <c r="S138" s="34" t="str">
        <f t="shared" si="4"/>
        <v>-</v>
      </c>
      <c r="T138" s="20">
        <f>SUMIFS('3월 단양 개인별 STAT'!T:T, '3월 단양 개인별 STAT'!$D:$D, $D138, '3월 단양 개인별 STAT'!$E:$E, $E138) + SUMIFS('4월 삼척 개인별 STAT'!T:T, '4월 삼척 개인별 STAT'!$D:$D, $D138, '4월 삼척 개인별 STAT'!$E:$E, $E138)</f>
        <v>0</v>
      </c>
      <c r="U138" s="20">
        <f>SUMIFS('3월 단양 개인별 STAT'!U:U, '3월 단양 개인별 STAT'!$D:$D, $D138, '3월 단양 개인별 STAT'!$E:$E, $E138) + SUMIFS('4월 삼척 개인별 STAT'!U:U, '4월 삼척 개인별 STAT'!$D:$D, $D138, '4월 삼척 개인별 STAT'!$E:$E, $E138)</f>
        <v>0</v>
      </c>
      <c r="V138" s="20">
        <f>SUMIFS('3월 단양 개인별 STAT'!V:V, '3월 단양 개인별 STAT'!$D:$D, $D138, '3월 단양 개인별 STAT'!$E:$E, $E138) + SUMIFS('4월 삼척 개인별 STAT'!V:V, '4월 삼척 개인별 STAT'!$D:$D, $D138, '4월 삼척 개인별 STAT'!$E:$E, $E138)</f>
        <v>0</v>
      </c>
      <c r="W138" s="20">
        <f>SUMIFS('3월 단양 개인별 STAT'!W:W, '3월 단양 개인별 STAT'!$D:$D, $D138, '3월 단양 개인별 STAT'!$E:$E, $E138) + SUMIFS('4월 삼척 개인별 STAT'!W:W, '4월 삼척 개인별 STAT'!$D:$D, $D138, '4월 삼척 개인별 STAT'!$E:$E, $E138)</f>
        <v>9</v>
      </c>
      <c r="X138" s="20">
        <f>SUMIFS('3월 단양 개인별 STAT'!X:X, '3월 단양 개인별 STAT'!$D:$D, $D138, '3월 단양 개인별 STAT'!$E:$E, $E138) + SUMIFS('4월 삼척 개인별 STAT'!X:X, '4월 삼척 개인별 STAT'!$D:$D, $D138, '4월 삼척 개인별 STAT'!$E:$E, $E138)</f>
        <v>0</v>
      </c>
      <c r="Y138" s="20">
        <f>SUMIFS('3월 단양 개인별 STAT'!Y:Y, '3월 단양 개인별 STAT'!$D:$D, $D138, '3월 단양 개인별 STAT'!$E:$E, $E138) + SUMIFS('4월 삼척 개인별 STAT'!Y:Y, '4월 삼척 개인별 STAT'!$D:$D, $D138, '4월 삼척 개인별 STAT'!$E:$E, $E138)</f>
        <v>1</v>
      </c>
      <c r="Z138" s="35">
        <f t="shared" si="5"/>
        <v>10</v>
      </c>
      <c r="AA138" s="20">
        <f>SUMIFS('3월 단양 개인별 STAT'!AA:AA, '3월 단양 개인별 STAT'!$D:$D, $D138, '3월 단양 개인별 STAT'!$E:$E, $E138) + SUMIFS('4월 삼척 개인별 STAT'!AA:AA, '4월 삼척 개인별 STAT'!$D:$D, $D138, '4월 삼척 개인별 STAT'!$E:$E, $E138)</f>
        <v>0</v>
      </c>
      <c r="AB138" s="33" t="str">
        <f t="shared" si="6"/>
        <v>-</v>
      </c>
      <c r="AC138" s="23">
        <f t="shared" si="7"/>
        <v>0</v>
      </c>
      <c r="AD138" s="33" t="str">
        <f t="shared" si="8"/>
        <v>-</v>
      </c>
      <c r="AE138" s="20">
        <f>SUMIFS('3월 단양 개인별 STAT'!AE:AE, '3월 단양 개인별 STAT'!$D:$D, $D138, '3월 단양 개인별 STAT'!$E:$E, $E138) + SUMIFS('4월 삼척 개인별 STAT'!AE:AE, '4월 삼척 개인별 STAT'!$D:$D, $D138, '4월 삼척 개인별 STAT'!$E:$E, $E138)</f>
        <v>0</v>
      </c>
      <c r="AF138" s="20">
        <f>SUMIFS('3월 단양 개인별 STAT'!AF:AF, '3월 단양 개인별 STAT'!$D:$D, $D138, '3월 단양 개인별 STAT'!$E:$E, $E138) + SUMIFS('4월 삼척 개인별 STAT'!AF:AF, '4월 삼척 개인별 STAT'!$D:$D, $D138, '4월 삼척 개인별 STAT'!$E:$E, $E138)</f>
        <v>0</v>
      </c>
      <c r="AG138" s="36" t="str">
        <f t="shared" si="9"/>
        <v>-</v>
      </c>
      <c r="AH138" s="20">
        <f>SUMIFS('3월 단양 개인별 STAT'!AH:AH, '3월 단양 개인별 STAT'!$D:$D, $D138, '3월 단양 개인별 STAT'!$E:$E, $E138) + SUMIFS('4월 삼척 개인별 STAT'!AH:AH, '4월 삼척 개인별 STAT'!$D:$D, $D138, '4월 삼척 개인별 STAT'!$E:$E, $E138)</f>
        <v>0</v>
      </c>
      <c r="AI138" s="34" t="str">
        <f t="shared" si="10"/>
        <v>0</v>
      </c>
      <c r="AJ138" s="25"/>
      <c r="AL138" s="27">
        <f t="shared" si="11"/>
        <v>0</v>
      </c>
      <c r="AM138" s="27">
        <f t="shared" si="30"/>
        <v>0.2</v>
      </c>
      <c r="AN138" s="28">
        <f t="shared" si="13"/>
        <v>0</v>
      </c>
      <c r="AO138" s="27">
        <f t="shared" si="14"/>
        <v>0</v>
      </c>
      <c r="AP138" s="27">
        <f t="shared" si="15"/>
        <v>0</v>
      </c>
      <c r="AQ138" s="27" t="str">
        <f t="shared" ref="AQ138:AR138" si="152">iferror(AB138/$M138,"-")</f>
        <v>-</v>
      </c>
      <c r="AR138" s="27">
        <f t="shared" si="152"/>
        <v>0</v>
      </c>
      <c r="AS138" s="29">
        <f t="shared" si="17"/>
        <v>0</v>
      </c>
      <c r="AT138" s="29" t="str">
        <f t="shared" si="18"/>
        <v>0</v>
      </c>
    </row>
    <row r="139">
      <c r="B139" s="17">
        <v>136.0</v>
      </c>
      <c r="C139" s="18">
        <f t="shared" si="2"/>
        <v>10</v>
      </c>
      <c r="D139" s="19" t="s">
        <v>188</v>
      </c>
      <c r="E139" s="19" t="s">
        <v>198</v>
      </c>
      <c r="F139" s="19">
        <v>1.0</v>
      </c>
      <c r="G139" s="19" t="s">
        <v>57</v>
      </c>
      <c r="H139" s="19" t="s">
        <v>47</v>
      </c>
      <c r="I139" s="19">
        <v>181.0</v>
      </c>
      <c r="J139" s="19">
        <v>70.0</v>
      </c>
      <c r="K139" s="20">
        <v>16.0</v>
      </c>
      <c r="L139" s="20">
        <f>SUMIFS('3월 단양 개인별 STAT'!L:L, '3월 단양 개인별 STAT'!$D:$D, $D139, '3월 단양 개인별 STAT'!$E:$E, $E139) + SUMIFS('4월 삼척 개인별 STAT'!L:L, '4월 삼척 개인별 STAT'!$D:$D, $D139, '4월 삼척 개인별 STAT'!$E:$E, $E139)</f>
        <v>5</v>
      </c>
      <c r="M139" s="20">
        <f>SUMIFS('3월 단양 개인별 STAT'!M:M, '3월 단양 개인별 STAT'!$D:$D, $D139, '3월 단양 개인별 STAT'!$E:$E, $E139) + SUMIFS('4월 삼척 개인별 STAT'!M:M, '4월 삼척 개인별 STAT'!$D:$D, $D139, '4월 삼척 개인별 STAT'!$E:$E, $E139)</f>
        <v>17</v>
      </c>
      <c r="N139" s="20">
        <f>SUMIFS('3월 단양 개인별 STAT'!N:N, '3월 단양 개인별 STAT'!$D:$D, $D139, '3월 단양 개인별 STAT'!$E:$E, $E139) + SUMIFS('4월 삼척 개인별 STAT'!N:N, '4월 삼척 개인별 STAT'!$D:$D, $D139, '4월 삼척 개인별 STAT'!$E:$E, $E139)</f>
        <v>41</v>
      </c>
      <c r="O139" s="20">
        <f>SUMIFS('3월 단양 개인별 STAT'!O:O, '3월 단양 개인별 STAT'!$D:$D, $D139, '3월 단양 개인별 STAT'!$E:$E, $E139) + SUMIFS('4월 삼척 개인별 STAT'!O:O, '4월 삼척 개인별 STAT'!$D:$D, $D139, '4월 삼척 개인별 STAT'!$E:$E, $E139)</f>
        <v>0</v>
      </c>
      <c r="P139" s="20">
        <f>SUMIFS('3월 단양 개인별 STAT'!P:P, '3월 단양 개인별 STAT'!$D:$D, $D139, '3월 단양 개인별 STAT'!$E:$E, $E139) + SUMIFS('4월 삼척 개인별 STAT'!P:P, '4월 삼척 개인별 STAT'!$D:$D, $D139, '4월 삼척 개인별 STAT'!$E:$E, $E139)</f>
        <v>42</v>
      </c>
      <c r="Q139" s="20">
        <f>SUMIFS('3월 단양 개인별 STAT'!Q:Q, '3월 단양 개인별 STAT'!$D:$D, $D139, '3월 단양 개인별 STAT'!$E:$E, $E139) + SUMIFS('4월 삼척 개인별 STAT'!Q:Q, '4월 삼척 개인별 STAT'!$D:$D, $D139, '4월 삼척 개인별 STAT'!$E:$E, $E139)</f>
        <v>23</v>
      </c>
      <c r="R139" s="35">
        <f t="shared" si="3"/>
        <v>106</v>
      </c>
      <c r="S139" s="34">
        <f t="shared" si="4"/>
        <v>0.17</v>
      </c>
      <c r="T139" s="20">
        <f>SUMIFS('3월 단양 개인별 STAT'!T:T, '3월 단양 개인별 STAT'!$D:$D, $D139, '3월 단양 개인별 STAT'!$E:$E, $E139) + SUMIFS('4월 삼척 개인별 STAT'!T:T, '4월 삼척 개인별 STAT'!$D:$D, $D139, '4월 삼척 개인별 STAT'!$E:$E, $E139)</f>
        <v>5</v>
      </c>
      <c r="U139" s="20">
        <f>SUMIFS('3월 단양 개인별 STAT'!U:U, '3월 단양 개인별 STAT'!$D:$D, $D139, '3월 단양 개인별 STAT'!$E:$E, $E139) + SUMIFS('4월 삼척 개인별 STAT'!U:U, '4월 삼척 개인별 STAT'!$D:$D, $D139, '4월 삼척 개인별 STAT'!$E:$E, $E139)</f>
        <v>1</v>
      </c>
      <c r="V139" s="20">
        <f>SUMIFS('3월 단양 개인별 STAT'!V:V, '3월 단양 개인별 STAT'!$D:$D, $D139, '3월 단양 개인별 STAT'!$E:$E, $E139) + SUMIFS('4월 삼척 개인별 STAT'!V:V, '4월 삼척 개인별 STAT'!$D:$D, $D139, '4월 삼척 개인별 STAT'!$E:$E, $E139)</f>
        <v>3</v>
      </c>
      <c r="W139" s="20">
        <f>SUMIFS('3월 단양 개인별 STAT'!W:W, '3월 단양 개인별 STAT'!$D:$D, $D139, '3월 단양 개인별 STAT'!$E:$E, $E139) + SUMIFS('4월 삼척 개인별 STAT'!W:W, '4월 삼척 개인별 STAT'!$D:$D, $D139, '4월 삼척 개인별 STAT'!$E:$E, $E139)</f>
        <v>44</v>
      </c>
      <c r="X139" s="20">
        <f>SUMIFS('3월 단양 개인별 STAT'!X:X, '3월 단양 개인별 STAT'!$D:$D, $D139, '3월 단양 개인별 STAT'!$E:$E, $E139) + SUMIFS('4월 삼척 개인별 STAT'!X:X, '4월 삼척 개인별 STAT'!$D:$D, $D139, '4월 삼척 개인별 STAT'!$E:$E, $E139)</f>
        <v>2</v>
      </c>
      <c r="Y139" s="20">
        <f>SUMIFS('3월 단양 개인별 STAT'!Y:Y, '3월 단양 개인별 STAT'!$D:$D, $D139, '3월 단양 개인별 STAT'!$E:$E, $E139) + SUMIFS('4월 삼척 개인별 STAT'!Y:Y, '4월 삼척 개인별 STAT'!$D:$D, $D139, '4월 삼척 개인별 STAT'!$E:$E, $E139)</f>
        <v>4</v>
      </c>
      <c r="Z139" s="35">
        <f t="shared" si="5"/>
        <v>50</v>
      </c>
      <c r="AA139" s="20">
        <f>SUMIFS('3월 단양 개인별 STAT'!AA:AA, '3월 단양 개인별 STAT'!$D:$D, $D139, '3월 단양 개인별 STAT'!$E:$E, $E139) + SUMIFS('4월 삼척 개인별 STAT'!AA:AA, '4월 삼척 개인별 STAT'!$D:$D, $D139, '4월 삼척 개인별 STAT'!$E:$E, $E139)</f>
        <v>1</v>
      </c>
      <c r="AB139" s="35">
        <f t="shared" si="6"/>
        <v>48</v>
      </c>
      <c r="AC139" s="23">
        <f t="shared" si="7"/>
        <v>50.25</v>
      </c>
      <c r="AD139" s="35">
        <f t="shared" si="8"/>
        <v>3</v>
      </c>
      <c r="AE139" s="20">
        <f>SUMIFS('3월 단양 개인별 STAT'!AE:AE, '3월 단양 개인별 STAT'!$D:$D, $D139, '3월 단양 개인별 STAT'!$E:$E, $E139) + SUMIFS('4월 삼척 개인별 STAT'!AE:AE, '4월 삼척 개인별 STAT'!$D:$D, $D139, '4월 삼척 개인별 STAT'!$E:$E, $E139)</f>
        <v>2</v>
      </c>
      <c r="AF139" s="20">
        <f>SUMIFS('3월 단양 개인별 STAT'!AF:AF, '3월 단양 개인별 STAT'!$D:$D, $D139, '3월 단양 개인별 STAT'!$E:$E, $E139) + SUMIFS('4월 삼척 개인별 STAT'!AF:AF, '4월 삼척 개인별 STAT'!$D:$D, $D139, '4월 삼척 개인별 STAT'!$E:$E, $E139)</f>
        <v>1</v>
      </c>
      <c r="AG139" s="36">
        <f t="shared" si="9"/>
        <v>66.66666667</v>
      </c>
      <c r="AH139" s="20">
        <f>SUMIFS('3월 단양 개인별 STAT'!AH:AH, '3월 단양 개인별 STAT'!$D:$D, $D139, '3월 단양 개인별 STAT'!$E:$E, $E139) + SUMIFS('4월 삼척 개인별 STAT'!AH:AH, '4월 삼척 개인별 STAT'!$D:$D, $D139, '4월 삼척 개인별 STAT'!$E:$E, $E139)</f>
        <v>28</v>
      </c>
      <c r="AI139" s="34" t="str">
        <f t="shared" si="10"/>
        <v>1.65</v>
      </c>
      <c r="AJ139" s="25"/>
      <c r="AL139" s="27">
        <f t="shared" si="11"/>
        <v>2.411764706</v>
      </c>
      <c r="AM139" s="27">
        <f t="shared" si="30"/>
        <v>6.235294118</v>
      </c>
      <c r="AN139" s="28">
        <f t="shared" si="13"/>
        <v>0.3867924528</v>
      </c>
      <c r="AO139" s="27">
        <f t="shared" si="14"/>
        <v>0.2941176471</v>
      </c>
      <c r="AP139" s="27">
        <f t="shared" si="15"/>
        <v>0.1176470588</v>
      </c>
      <c r="AQ139" s="27">
        <f t="shared" ref="AQ139:AR139" si="153">iferror(AB139/$M139,"-")</f>
        <v>2.823529412</v>
      </c>
      <c r="AR139" s="27">
        <f t="shared" si="153"/>
        <v>2.955882353</v>
      </c>
      <c r="AS139" s="29">
        <f t="shared" si="17"/>
        <v>0.05882352941</v>
      </c>
      <c r="AT139" s="29" t="str">
        <f t="shared" si="18"/>
        <v>1.65</v>
      </c>
    </row>
    <row r="140">
      <c r="B140" s="17">
        <v>137.0</v>
      </c>
      <c r="C140" s="18">
        <f t="shared" si="2"/>
        <v>11</v>
      </c>
      <c r="D140" s="19" t="s">
        <v>188</v>
      </c>
      <c r="E140" s="19" t="s">
        <v>199</v>
      </c>
      <c r="F140" s="19">
        <v>2.0</v>
      </c>
      <c r="G140" s="19" t="s">
        <v>52</v>
      </c>
      <c r="H140" s="19" t="s">
        <v>57</v>
      </c>
      <c r="I140" s="19">
        <v>174.0</v>
      </c>
      <c r="J140" s="19">
        <v>67.0</v>
      </c>
      <c r="K140" s="20">
        <v>17.0</v>
      </c>
      <c r="L140" s="20">
        <f>SUMIFS('3월 단양 개인별 STAT'!L:L, '3월 단양 개인별 STAT'!$D:$D, $D140, '3월 단양 개인별 STAT'!$E:$E, $E140) + SUMIFS('4월 삼척 개인별 STAT'!L:L, '4월 삼척 개인별 STAT'!$D:$D, $D140, '4월 삼척 개인별 STAT'!$E:$E, $E140)</f>
        <v>5</v>
      </c>
      <c r="M140" s="20">
        <f>SUMIFS('3월 단양 개인별 STAT'!M:M, '3월 단양 개인별 STAT'!$D:$D, $D140, '3월 단양 개인별 STAT'!$E:$E, $E140) + SUMIFS('4월 삼척 개인별 STAT'!M:M, '4월 삼척 개인별 STAT'!$D:$D, $D140, '4월 삼척 개인별 STAT'!$E:$E, $E140)</f>
        <v>18</v>
      </c>
      <c r="N140" s="20">
        <f>SUMIFS('3월 단양 개인별 STAT'!N:N, '3월 단양 개인별 STAT'!$D:$D, $D140, '3월 단양 개인별 STAT'!$E:$E, $E140) + SUMIFS('4월 삼척 개인별 STAT'!N:N, '4월 삼척 개인별 STAT'!$D:$D, $D140, '4월 삼척 개인별 STAT'!$E:$E, $E140)</f>
        <v>81</v>
      </c>
      <c r="O140" s="20">
        <f>SUMIFS('3월 단양 개인별 STAT'!O:O, '3월 단양 개인별 STAT'!$D:$D, $D140, '3월 단양 개인별 STAT'!$E:$E, $E140) + SUMIFS('4월 삼척 개인별 STAT'!O:O, '4월 삼척 개인별 STAT'!$D:$D, $D140, '4월 삼척 개인별 STAT'!$E:$E, $E140)</f>
        <v>3</v>
      </c>
      <c r="P140" s="20">
        <f>SUMIFS('3월 단양 개인별 STAT'!P:P, '3월 단양 개인별 STAT'!$D:$D, $D140, '3월 단양 개인별 STAT'!$E:$E, $E140) + SUMIFS('4월 삼척 개인별 STAT'!P:P, '4월 삼척 개인별 STAT'!$D:$D, $D140, '4월 삼척 개인별 STAT'!$E:$E, $E140)</f>
        <v>72</v>
      </c>
      <c r="Q140" s="20">
        <f>SUMIFS('3월 단양 개인별 STAT'!Q:Q, '3월 단양 개인별 STAT'!$D:$D, $D140, '3월 단양 개인별 STAT'!$E:$E, $E140) + SUMIFS('4월 삼척 개인별 STAT'!Q:Q, '4월 삼척 개인별 STAT'!$D:$D, $D140, '4월 삼척 개인별 STAT'!$E:$E, $E140)</f>
        <v>26</v>
      </c>
      <c r="R140" s="35">
        <f t="shared" si="3"/>
        <v>179</v>
      </c>
      <c r="S140" s="34">
        <f t="shared" si="4"/>
        <v>0.31</v>
      </c>
      <c r="T140" s="20">
        <f>SUMIFS('3월 단양 개인별 STAT'!T:T, '3월 단양 개인별 STAT'!$D:$D, $D140, '3월 단양 개인별 STAT'!$E:$E, $E140) + SUMIFS('4월 삼척 개인별 STAT'!T:T, '4월 삼척 개인별 STAT'!$D:$D, $D140, '4월 삼척 개인별 STAT'!$E:$E, $E140)</f>
        <v>1</v>
      </c>
      <c r="U140" s="20">
        <f>SUMIFS('3월 단양 개인별 STAT'!U:U, '3월 단양 개인별 STAT'!$D:$D, $D140, '3월 단양 개인별 STAT'!$E:$E, $E140) + SUMIFS('4월 삼척 개인별 STAT'!U:U, '4월 삼척 개인별 STAT'!$D:$D, $D140, '4월 삼척 개인별 STAT'!$E:$E, $E140)</f>
        <v>0</v>
      </c>
      <c r="V140" s="20">
        <f>SUMIFS('3월 단양 개인별 STAT'!V:V, '3월 단양 개인별 STAT'!$D:$D, $D140, '3월 단양 개인별 STAT'!$E:$E, $E140) + SUMIFS('4월 삼척 개인별 STAT'!V:V, '4월 삼척 개인별 STAT'!$D:$D, $D140, '4월 삼척 개인별 STAT'!$E:$E, $E140)</f>
        <v>0</v>
      </c>
      <c r="W140" s="20">
        <f>SUMIFS('3월 단양 개인별 STAT'!W:W, '3월 단양 개인별 STAT'!$D:$D, $D140, '3월 단양 개인별 STAT'!$E:$E, $E140) + SUMIFS('4월 삼척 개인별 STAT'!W:W, '4월 삼척 개인별 STAT'!$D:$D, $D140, '4월 삼척 개인별 STAT'!$E:$E, $E140)</f>
        <v>53</v>
      </c>
      <c r="X140" s="20">
        <f>SUMIFS('3월 단양 개인별 STAT'!X:X, '3월 단양 개인별 STAT'!$D:$D, $D140, '3월 단양 개인별 STAT'!$E:$E, $E140) + SUMIFS('4월 삼척 개인별 STAT'!X:X, '4월 삼척 개인별 STAT'!$D:$D, $D140, '4월 삼척 개인별 STAT'!$E:$E, $E140)</f>
        <v>9</v>
      </c>
      <c r="Y140" s="20">
        <f>SUMIFS('3월 단양 개인별 STAT'!Y:Y, '3월 단양 개인별 STAT'!$D:$D, $D140, '3월 단양 개인별 STAT'!$E:$E, $E140) + SUMIFS('4월 삼척 개인별 STAT'!Y:Y, '4월 삼척 개인별 STAT'!$D:$D, $D140, '4월 삼척 개인별 STAT'!$E:$E, $E140)</f>
        <v>16</v>
      </c>
      <c r="Z140" s="35">
        <f t="shared" si="5"/>
        <v>78</v>
      </c>
      <c r="AA140" s="20">
        <f>SUMIFS('3월 단양 개인별 STAT'!AA:AA, '3월 단양 개인별 STAT'!$D:$D, $D140, '3월 단양 개인별 STAT'!$E:$E, $E140) + SUMIFS('4월 삼척 개인별 STAT'!AA:AA, '4월 삼척 개인별 STAT'!$D:$D, $D140, '4월 삼척 개인별 STAT'!$E:$E, $E140)</f>
        <v>1</v>
      </c>
      <c r="AB140" s="35">
        <f t="shared" si="6"/>
        <v>91</v>
      </c>
      <c r="AC140" s="23">
        <f t="shared" si="7"/>
        <v>91</v>
      </c>
      <c r="AD140" s="35">
        <f t="shared" si="8"/>
        <v>109</v>
      </c>
      <c r="AE140" s="20">
        <f>SUMIFS('3월 단양 개인별 STAT'!AE:AE, '3월 단양 개인별 STAT'!$D:$D, $D140, '3월 단양 개인별 STAT'!$E:$E, $E140) + SUMIFS('4월 삼척 개인별 STAT'!AE:AE, '4월 삼척 개인별 STAT'!$D:$D, $D140, '4월 삼척 개인별 STAT'!$E:$E, $E140)</f>
        <v>102</v>
      </c>
      <c r="AF140" s="20">
        <f>SUMIFS('3월 단양 개인별 STAT'!AF:AF, '3월 단양 개인별 STAT'!$D:$D, $D140, '3월 단양 개인별 STAT'!$E:$E, $E140) + SUMIFS('4월 삼척 개인별 STAT'!AF:AF, '4월 삼척 개인별 STAT'!$D:$D, $D140, '4월 삼척 개인별 STAT'!$E:$E, $E140)</f>
        <v>7</v>
      </c>
      <c r="AG140" s="36">
        <f t="shared" si="9"/>
        <v>93.57798165</v>
      </c>
      <c r="AH140" s="20">
        <f>SUMIFS('3월 단양 개인별 STAT'!AH:AH, '3월 단양 개인별 STAT'!$D:$D, $D140, '3월 단양 개인별 STAT'!$E:$E, $E140) + SUMIFS('4월 삼척 개인별 STAT'!AH:AH, '4월 삼척 개인별 STAT'!$D:$D, $D140, '4월 삼척 개인별 STAT'!$E:$E, $E140)</f>
        <v>42</v>
      </c>
      <c r="AI140" s="34" t="str">
        <f t="shared" si="10"/>
        <v>2.33</v>
      </c>
      <c r="AJ140" s="25"/>
      <c r="AL140" s="27">
        <f t="shared" si="11"/>
        <v>4.5</v>
      </c>
      <c r="AM140" s="27">
        <f t="shared" si="30"/>
        <v>9.944444444</v>
      </c>
      <c r="AN140" s="28">
        <f t="shared" si="13"/>
        <v>0.4525139665</v>
      </c>
      <c r="AO140" s="27">
        <f t="shared" si="14"/>
        <v>0.05555555556</v>
      </c>
      <c r="AP140" s="27">
        <f t="shared" si="15"/>
        <v>0.5</v>
      </c>
      <c r="AQ140" s="27">
        <f t="shared" ref="AQ140:AR140" si="154">iferror(AB140/$M140,"-")</f>
        <v>5.055555556</v>
      </c>
      <c r="AR140" s="27">
        <f t="shared" si="154"/>
        <v>5.055555556</v>
      </c>
      <c r="AS140" s="29">
        <f t="shared" si="17"/>
        <v>0.3888888889</v>
      </c>
      <c r="AT140" s="29" t="str">
        <f t="shared" si="18"/>
        <v>2.33</v>
      </c>
    </row>
    <row r="141">
      <c r="B141" s="17">
        <v>138.0</v>
      </c>
      <c r="C141" s="18">
        <f t="shared" si="2"/>
        <v>12</v>
      </c>
      <c r="D141" s="19" t="s">
        <v>188</v>
      </c>
      <c r="E141" s="19" t="s">
        <v>200</v>
      </c>
      <c r="F141" s="19">
        <v>2.0</v>
      </c>
      <c r="G141" s="19" t="s">
        <v>47</v>
      </c>
      <c r="H141" s="19" t="s">
        <v>52</v>
      </c>
      <c r="I141" s="19">
        <v>178.0</v>
      </c>
      <c r="J141" s="19">
        <v>70.0</v>
      </c>
      <c r="K141" s="20">
        <v>19.0</v>
      </c>
      <c r="L141" s="20">
        <f>SUMIFS('3월 단양 개인별 STAT'!L:L, '3월 단양 개인별 STAT'!$D:$D, $D141, '3월 단양 개인별 STAT'!$E:$E, $E141) + SUMIFS('4월 삼척 개인별 STAT'!L:L, '4월 삼척 개인별 STAT'!$D:$D, $D141, '4월 삼척 개인별 STAT'!$E:$E, $E141)</f>
        <v>5</v>
      </c>
      <c r="M141" s="20">
        <f>SUMIFS('3월 단양 개인별 STAT'!M:M, '3월 단양 개인별 STAT'!$D:$D, $D141, '3월 단양 개인별 STAT'!$E:$E, $E141) + SUMIFS('4월 삼척 개인별 STAT'!M:M, '4월 삼척 개인별 STAT'!$D:$D, $D141, '4월 삼척 개인별 STAT'!$E:$E, $E141)</f>
        <v>18</v>
      </c>
      <c r="N141" s="20">
        <f>SUMIFS('3월 단양 개인별 STAT'!N:N, '3월 단양 개인별 STAT'!$D:$D, $D141, '3월 단양 개인별 STAT'!$E:$E, $E141) + SUMIFS('4월 삼척 개인별 STAT'!N:N, '4월 삼척 개인별 STAT'!$D:$D, $D141, '4월 삼척 개인별 STAT'!$E:$E, $E141)</f>
        <v>42</v>
      </c>
      <c r="O141" s="20">
        <f>SUMIFS('3월 단양 개인별 STAT'!O:O, '3월 단양 개인별 STAT'!$D:$D, $D141, '3월 단양 개인별 STAT'!$E:$E, $E141) + SUMIFS('4월 삼척 개인별 STAT'!O:O, '4월 삼척 개인별 STAT'!$D:$D, $D141, '4월 삼척 개인별 STAT'!$E:$E, $E141)</f>
        <v>2</v>
      </c>
      <c r="P141" s="20">
        <f>SUMIFS('3월 단양 개인별 STAT'!P:P, '3월 단양 개인별 STAT'!$D:$D, $D141, '3월 단양 개인별 STAT'!$E:$E, $E141) + SUMIFS('4월 삼척 개인별 STAT'!P:P, '4월 삼척 개인별 STAT'!$D:$D, $D141, '4월 삼척 개인별 STAT'!$E:$E, $E141)</f>
        <v>51</v>
      </c>
      <c r="Q141" s="20">
        <f>SUMIFS('3월 단양 개인별 STAT'!Q:Q, '3월 단양 개인별 STAT'!$D:$D, $D141, '3월 단양 개인별 STAT'!$E:$E, $E141) + SUMIFS('4월 삼척 개인별 STAT'!Q:Q, '4월 삼척 개인별 STAT'!$D:$D, $D141, '4월 삼척 개인별 STAT'!$E:$E, $E141)</f>
        <v>13</v>
      </c>
      <c r="R141" s="35">
        <f t="shared" si="3"/>
        <v>106</v>
      </c>
      <c r="S141" s="34">
        <f t="shared" si="4"/>
        <v>0.27</v>
      </c>
      <c r="T141" s="20">
        <f>SUMIFS('3월 단양 개인별 STAT'!T:T, '3월 단양 개인별 STAT'!$D:$D, $D141, '3월 단양 개인별 STAT'!$E:$E, $E141) + SUMIFS('4월 삼척 개인별 STAT'!T:T, '4월 삼척 개인별 STAT'!$D:$D, $D141, '4월 삼척 개인별 STAT'!$E:$E, $E141)</f>
        <v>5</v>
      </c>
      <c r="U141" s="20">
        <f>SUMIFS('3월 단양 개인별 STAT'!U:U, '3월 단양 개인별 STAT'!$D:$D, $D141, '3월 단양 개인별 STAT'!$E:$E, $E141) + SUMIFS('4월 삼척 개인별 STAT'!U:U, '4월 삼척 개인별 STAT'!$D:$D, $D141, '4월 삼척 개인별 STAT'!$E:$E, $E141)</f>
        <v>1</v>
      </c>
      <c r="V141" s="20">
        <f>SUMIFS('3월 단양 개인별 STAT'!V:V, '3월 단양 개인별 STAT'!$D:$D, $D141, '3월 단양 개인별 STAT'!$E:$E, $E141) + SUMIFS('4월 삼척 개인별 STAT'!V:V, '4월 삼척 개인별 STAT'!$D:$D, $D141, '4월 삼척 개인별 STAT'!$E:$E, $E141)</f>
        <v>1</v>
      </c>
      <c r="W141" s="20">
        <f>SUMIFS('3월 단양 개인별 STAT'!W:W, '3월 단양 개인별 STAT'!$D:$D, $D141, '3월 단양 개인별 STAT'!$E:$E, $E141) + SUMIFS('4월 삼척 개인별 STAT'!W:W, '4월 삼척 개인별 STAT'!$D:$D, $D141, '4월 삼척 개인별 STAT'!$E:$E, $E141)</f>
        <v>47</v>
      </c>
      <c r="X141" s="20">
        <f>SUMIFS('3월 단양 개인별 STAT'!X:X, '3월 단양 개인별 STAT'!$D:$D, $D141, '3월 단양 개인별 STAT'!$E:$E, $E141) + SUMIFS('4월 삼척 개인별 STAT'!X:X, '4월 삼척 개인별 STAT'!$D:$D, $D141, '4월 삼척 개인별 STAT'!$E:$E, $E141)</f>
        <v>6</v>
      </c>
      <c r="Y141" s="20">
        <f>SUMIFS('3월 단양 개인별 STAT'!Y:Y, '3월 단양 개인별 STAT'!$D:$D, $D141, '3월 단양 개인별 STAT'!$E:$E, $E141) + SUMIFS('4월 삼척 개인별 STAT'!Y:Y, '4월 삼척 개인별 STAT'!$D:$D, $D141, '4월 삼척 개인별 STAT'!$E:$E, $E141)</f>
        <v>5</v>
      </c>
      <c r="Z141" s="35">
        <f t="shared" si="5"/>
        <v>58</v>
      </c>
      <c r="AA141" s="20">
        <f>SUMIFS('3월 단양 개인별 STAT'!AA:AA, '3월 단양 개인별 STAT'!$D:$D, $D141, '3월 단양 개인별 STAT'!$E:$E, $E141) + SUMIFS('4월 삼척 개인별 STAT'!AA:AA, '4월 삼척 개인별 STAT'!$D:$D, $D141, '4월 삼척 개인별 STAT'!$E:$E, $E141)</f>
        <v>0</v>
      </c>
      <c r="AB141" s="35">
        <f t="shared" si="6"/>
        <v>53</v>
      </c>
      <c r="AC141" s="23">
        <f t="shared" si="7"/>
        <v>53.75</v>
      </c>
      <c r="AD141" s="35">
        <f t="shared" si="8"/>
        <v>6</v>
      </c>
      <c r="AE141" s="20">
        <f>SUMIFS('3월 단양 개인별 STAT'!AE:AE, '3월 단양 개인별 STAT'!$D:$D, $D141, '3월 단양 개인별 STAT'!$E:$E, $E141) + SUMIFS('4월 삼척 개인별 STAT'!AE:AE, '4월 삼척 개인별 STAT'!$D:$D, $D141, '4월 삼척 개인별 STAT'!$E:$E, $E141)</f>
        <v>5</v>
      </c>
      <c r="AF141" s="20">
        <f>SUMIFS('3월 단양 개인별 STAT'!AF:AF, '3월 단양 개인별 STAT'!$D:$D, $D141, '3월 단양 개인별 STAT'!$E:$E, $E141) + SUMIFS('4월 삼척 개인별 STAT'!AF:AF, '4월 삼척 개인별 STAT'!$D:$D, $D141, '4월 삼척 개인별 STAT'!$E:$E, $E141)</f>
        <v>1</v>
      </c>
      <c r="AG141" s="36">
        <f t="shared" si="9"/>
        <v>83.33333333</v>
      </c>
      <c r="AH141" s="20">
        <f>SUMIFS('3월 단양 개인별 STAT'!AH:AH, '3월 단양 개인별 STAT'!$D:$D, $D141, '3월 단양 개인별 STAT'!$E:$E, $E141) + SUMIFS('4월 삼척 개인별 STAT'!AH:AH, '4월 삼척 개인별 STAT'!$D:$D, $D141, '4월 삼척 개인별 STAT'!$E:$E, $E141)</f>
        <v>9</v>
      </c>
      <c r="AI141" s="34" t="str">
        <f t="shared" si="10"/>
        <v>0.50</v>
      </c>
      <c r="AJ141" s="25"/>
      <c r="AL141" s="27">
        <f t="shared" si="11"/>
        <v>2.333333333</v>
      </c>
      <c r="AM141" s="27">
        <f t="shared" si="30"/>
        <v>5.888888889</v>
      </c>
      <c r="AN141" s="28">
        <f t="shared" si="13"/>
        <v>0.3962264151</v>
      </c>
      <c r="AO141" s="27">
        <f t="shared" si="14"/>
        <v>0.2777777778</v>
      </c>
      <c r="AP141" s="27">
        <f t="shared" si="15"/>
        <v>0.3333333333</v>
      </c>
      <c r="AQ141" s="27">
        <f t="shared" ref="AQ141:AR141" si="155">iferror(AB141/$M141,"-")</f>
        <v>2.944444444</v>
      </c>
      <c r="AR141" s="27">
        <f t="shared" si="155"/>
        <v>2.986111111</v>
      </c>
      <c r="AS141" s="29">
        <f t="shared" si="17"/>
        <v>0.05555555556</v>
      </c>
      <c r="AT141" s="29" t="str">
        <f t="shared" si="18"/>
        <v>0.50</v>
      </c>
    </row>
    <row r="142">
      <c r="B142" s="17">
        <v>139.0</v>
      </c>
      <c r="C142" s="18">
        <f t="shared" si="2"/>
        <v>1</v>
      </c>
      <c r="D142" s="19" t="s">
        <v>201</v>
      </c>
      <c r="E142" s="19" t="s">
        <v>202</v>
      </c>
      <c r="F142" s="19">
        <v>1.0</v>
      </c>
      <c r="G142" s="19" t="s">
        <v>57</v>
      </c>
      <c r="H142" s="19" t="s">
        <v>48</v>
      </c>
      <c r="I142" s="19">
        <v>173.0</v>
      </c>
      <c r="J142" s="19">
        <v>64.0</v>
      </c>
      <c r="K142" s="20">
        <v>1.0</v>
      </c>
      <c r="L142" s="20">
        <f>SUMIFS('3월 단양 개인별 STAT'!L:L, '3월 단양 개인별 STAT'!$D:$D, $D142, '3월 단양 개인별 STAT'!$E:$E, $E142) + SUMIFS('4월 삼척 개인별 STAT'!L:L, '4월 삼척 개인별 STAT'!$D:$D, $D142, '4월 삼척 개인별 STAT'!$E:$E, $E142)</f>
        <v>3</v>
      </c>
      <c r="M142" s="20">
        <f>SUMIFS('3월 단양 개인별 STAT'!M:M, '3월 단양 개인별 STAT'!$D:$D, $D142, '3월 단양 개인별 STAT'!$E:$E, $E142) + SUMIFS('4월 삼척 개인별 STAT'!M:M, '4월 삼척 개인별 STAT'!$D:$D, $D142, '4월 삼척 개인별 STAT'!$E:$E, $E142)</f>
        <v>9</v>
      </c>
      <c r="N142" s="20">
        <f>SUMIFS('3월 단양 개인별 STAT'!N:N, '3월 단양 개인별 STAT'!$D:$D, $D142, '3월 단양 개인별 STAT'!$E:$E, $E142) + SUMIFS('4월 삼척 개인별 STAT'!N:N, '4월 삼척 개인별 STAT'!$D:$D, $D142, '4월 삼척 개인별 STAT'!$E:$E, $E142)</f>
        <v>25</v>
      </c>
      <c r="O142" s="20">
        <f>SUMIFS('3월 단양 개인별 STAT'!O:O, '3월 단양 개인별 STAT'!$D:$D, $D142, '3월 단양 개인별 STAT'!$E:$E, $E142) + SUMIFS('4월 삼척 개인별 STAT'!O:O, '4월 삼척 개인별 STAT'!$D:$D, $D142, '4월 삼척 개인별 STAT'!$E:$E, $E142)</f>
        <v>1</v>
      </c>
      <c r="P142" s="20">
        <f>SUMIFS('3월 단양 개인별 STAT'!P:P, '3월 단양 개인별 STAT'!$D:$D, $D142, '3월 단양 개인별 STAT'!$E:$E, $E142) + SUMIFS('4월 삼척 개인별 STAT'!P:P, '4월 삼척 개인별 STAT'!$D:$D, $D142, '4월 삼척 개인별 STAT'!$E:$E, $E142)</f>
        <v>32</v>
      </c>
      <c r="Q142" s="20">
        <f>SUMIFS('3월 단양 개인별 STAT'!Q:Q, '3월 단양 개인별 STAT'!$D:$D, $D142, '3월 단양 개인별 STAT'!$E:$E, $E142) + SUMIFS('4월 삼척 개인별 STAT'!Q:Q, '4월 삼척 개인별 STAT'!$D:$D, $D142, '4월 삼척 개인별 STAT'!$E:$E, $E142)</f>
        <v>8</v>
      </c>
      <c r="R142" s="35">
        <f t="shared" si="3"/>
        <v>65</v>
      </c>
      <c r="S142" s="34">
        <f t="shared" si="4"/>
        <v>0.26</v>
      </c>
      <c r="T142" s="20">
        <f>SUMIFS('3월 단양 개인별 STAT'!T:T, '3월 단양 개인별 STAT'!$D:$D, $D142, '3월 단양 개인별 STAT'!$E:$E, $E142) + SUMIFS('4월 삼척 개인별 STAT'!T:T, '4월 삼척 개인별 STAT'!$D:$D, $D142, '4월 삼척 개인별 STAT'!$E:$E, $E142)</f>
        <v>4</v>
      </c>
      <c r="U142" s="20">
        <f>SUMIFS('3월 단양 개인별 STAT'!U:U, '3월 단양 개인별 STAT'!$D:$D, $D142, '3월 단양 개인별 STAT'!$E:$E, $E142) + SUMIFS('4월 삼척 개인별 STAT'!U:U, '4월 삼척 개인별 STAT'!$D:$D, $D142, '4월 삼척 개인별 STAT'!$E:$E, $E142)</f>
        <v>0</v>
      </c>
      <c r="V142" s="20">
        <f>SUMIFS('3월 단양 개인별 STAT'!V:V, '3월 단양 개인별 STAT'!$D:$D, $D142, '3월 단양 개인별 STAT'!$E:$E, $E142) + SUMIFS('4월 삼척 개인별 STAT'!V:V, '4월 삼척 개인별 STAT'!$D:$D, $D142, '4월 삼척 개인별 STAT'!$E:$E, $E142)</f>
        <v>2</v>
      </c>
      <c r="W142" s="20">
        <f>SUMIFS('3월 단양 개인별 STAT'!W:W, '3월 단양 개인별 STAT'!$D:$D, $D142, '3월 단양 개인별 STAT'!$E:$E, $E142) + SUMIFS('4월 삼척 개인별 STAT'!W:W, '4월 삼척 개인별 STAT'!$D:$D, $D142, '4월 삼척 개인별 STAT'!$E:$E, $E142)</f>
        <v>24</v>
      </c>
      <c r="X142" s="20">
        <f>SUMIFS('3월 단양 개인별 STAT'!X:X, '3월 단양 개인별 STAT'!$D:$D, $D142, '3월 단양 개인별 STAT'!$E:$E, $E142) + SUMIFS('4월 삼척 개인별 STAT'!X:X, '4월 삼척 개인별 STAT'!$D:$D, $D142, '4월 삼척 개인별 STAT'!$E:$E, $E142)</f>
        <v>0</v>
      </c>
      <c r="Y142" s="20">
        <f>SUMIFS('3월 단양 개인별 STAT'!Y:Y, '3월 단양 개인별 STAT'!$D:$D, $D142, '3월 단양 개인별 STAT'!$E:$E, $E142) + SUMIFS('4월 삼척 개인별 STAT'!Y:Y, '4월 삼척 개인별 STAT'!$D:$D, $D142, '4월 삼척 개인별 STAT'!$E:$E, $E142)</f>
        <v>0</v>
      </c>
      <c r="Z142" s="35">
        <f t="shared" si="5"/>
        <v>24</v>
      </c>
      <c r="AA142" s="20">
        <f>SUMIFS('3월 단양 개인별 STAT'!AA:AA, '3월 단양 개인별 STAT'!$D:$D, $D142, '3월 단양 개인별 STAT'!$E:$E, $E142) + SUMIFS('4월 삼척 개인별 STAT'!AA:AA, '4월 삼척 개인별 STAT'!$D:$D, $D142, '4월 삼척 개인별 STAT'!$E:$E, $E142)</f>
        <v>2</v>
      </c>
      <c r="AB142" s="35">
        <f t="shared" si="6"/>
        <v>29</v>
      </c>
      <c r="AC142" s="23">
        <f t="shared" si="7"/>
        <v>30.5</v>
      </c>
      <c r="AD142" s="35">
        <f t="shared" si="8"/>
        <v>39</v>
      </c>
      <c r="AE142" s="20">
        <f>SUMIFS('3월 단양 개인별 STAT'!AE:AE, '3월 단양 개인별 STAT'!$D:$D, $D142, '3월 단양 개인별 STAT'!$E:$E, $E142) + SUMIFS('4월 삼척 개인별 STAT'!AE:AE, '4월 삼척 개인별 STAT'!$D:$D, $D142, '4월 삼척 개인별 STAT'!$E:$E, $E142)</f>
        <v>33</v>
      </c>
      <c r="AF142" s="20">
        <f>SUMIFS('3월 단양 개인별 STAT'!AF:AF, '3월 단양 개인별 STAT'!$D:$D, $D142, '3월 단양 개인별 STAT'!$E:$E, $E142) + SUMIFS('4월 삼척 개인별 STAT'!AF:AF, '4월 삼척 개인별 STAT'!$D:$D, $D142, '4월 삼척 개인별 STAT'!$E:$E, $E142)</f>
        <v>6</v>
      </c>
      <c r="AG142" s="36">
        <f t="shared" si="9"/>
        <v>84.61538462</v>
      </c>
      <c r="AH142" s="20">
        <f>SUMIFS('3월 단양 개인별 STAT'!AH:AH, '3월 단양 개인별 STAT'!$D:$D, $D142, '3월 단양 개인별 STAT'!$E:$E, $E142) + SUMIFS('4월 삼척 개인별 STAT'!AH:AH, '4월 삼척 개인별 STAT'!$D:$D, $D142, '4월 삼척 개인별 STAT'!$E:$E, $E142)</f>
        <v>18</v>
      </c>
      <c r="AI142" s="34" t="str">
        <f t="shared" si="10"/>
        <v>2</v>
      </c>
      <c r="AJ142" s="25"/>
      <c r="AL142" s="27">
        <f t="shared" si="11"/>
        <v>2.777777778</v>
      </c>
      <c r="AM142" s="27">
        <f t="shared" si="30"/>
        <v>7.222222222</v>
      </c>
      <c r="AN142" s="28">
        <f t="shared" si="13"/>
        <v>0.3846153846</v>
      </c>
      <c r="AO142" s="27">
        <f t="shared" si="14"/>
        <v>0.4444444444</v>
      </c>
      <c r="AP142" s="27">
        <f t="shared" si="15"/>
        <v>0</v>
      </c>
      <c r="AQ142" s="27">
        <f t="shared" ref="AQ142:AR142" si="156">iferror(AB142/$M142,"-")</f>
        <v>3.222222222</v>
      </c>
      <c r="AR142" s="27">
        <f t="shared" si="156"/>
        <v>3.388888889</v>
      </c>
      <c r="AS142" s="29">
        <f t="shared" si="17"/>
        <v>0.6666666667</v>
      </c>
      <c r="AT142" s="29" t="str">
        <f t="shared" si="18"/>
        <v>2</v>
      </c>
    </row>
    <row r="143">
      <c r="B143" s="17">
        <v>140.0</v>
      </c>
      <c r="C143" s="18">
        <f t="shared" si="2"/>
        <v>2</v>
      </c>
      <c r="D143" s="19" t="s">
        <v>201</v>
      </c>
      <c r="E143" s="19" t="s">
        <v>203</v>
      </c>
      <c r="F143" s="19">
        <v>1.0</v>
      </c>
      <c r="G143" s="19" t="s">
        <v>54</v>
      </c>
      <c r="H143" s="19" t="s">
        <v>48</v>
      </c>
      <c r="I143" s="19">
        <v>170.0</v>
      </c>
      <c r="J143" s="19">
        <v>58.0</v>
      </c>
      <c r="K143" s="20">
        <v>3.0</v>
      </c>
      <c r="L143" s="20">
        <f>SUMIFS('3월 단양 개인별 STAT'!L:L, '3월 단양 개인별 STAT'!$D:$D, $D143, '3월 단양 개인별 STAT'!$E:$E, $E143) + SUMIFS('4월 삼척 개인별 STAT'!L:L, '4월 삼척 개인별 STAT'!$D:$D, $D143, '4월 삼척 개인별 STAT'!$E:$E, $E143)</f>
        <v>3</v>
      </c>
      <c r="M143" s="20">
        <f>SUMIFS('3월 단양 개인별 STAT'!M:M, '3월 단양 개인별 STAT'!$D:$D, $D143, '3월 단양 개인별 STAT'!$E:$E, $E143) + SUMIFS('4월 삼척 개인별 STAT'!M:M, '4월 삼척 개인별 STAT'!$D:$D, $D143, '4월 삼척 개인별 STAT'!$E:$E, $E143)</f>
        <v>9</v>
      </c>
      <c r="N143" s="20">
        <f>SUMIFS('3월 단양 개인별 STAT'!N:N, '3월 단양 개인별 STAT'!$D:$D, $D143, '3월 단양 개인별 STAT'!$E:$E, $E143) + SUMIFS('4월 삼척 개인별 STAT'!N:N, '4월 삼척 개인별 STAT'!$D:$D, $D143, '4월 삼척 개인별 STAT'!$E:$E, $E143)</f>
        <v>4</v>
      </c>
      <c r="O143" s="20">
        <f>SUMIFS('3월 단양 개인별 STAT'!O:O, '3월 단양 개인별 STAT'!$D:$D, $D143, '3월 단양 개인별 STAT'!$E:$E, $E143) + SUMIFS('4월 삼척 개인별 STAT'!O:O, '4월 삼척 개인별 STAT'!$D:$D, $D143, '4월 삼척 개인별 STAT'!$E:$E, $E143)</f>
        <v>93</v>
      </c>
      <c r="P143" s="20">
        <f>SUMIFS('3월 단양 개인별 STAT'!P:P, '3월 단양 개인별 STAT'!$D:$D, $D143, '3월 단양 개인별 STAT'!$E:$E, $E143) + SUMIFS('4월 삼척 개인별 STAT'!P:P, '4월 삼척 개인별 STAT'!$D:$D, $D143, '4월 삼척 개인별 STAT'!$E:$E, $E143)</f>
        <v>2</v>
      </c>
      <c r="Q143" s="20">
        <f>SUMIFS('3월 단양 개인별 STAT'!Q:Q, '3월 단양 개인별 STAT'!$D:$D, $D143, '3월 단양 개인별 STAT'!$E:$E, $E143) + SUMIFS('4월 삼척 개인별 STAT'!Q:Q, '4월 삼척 개인별 STAT'!$D:$D, $D143, '4월 삼척 개인별 STAT'!$E:$E, $E143)</f>
        <v>1</v>
      </c>
      <c r="R143" s="35">
        <f t="shared" si="3"/>
        <v>7</v>
      </c>
      <c r="S143" s="34">
        <f t="shared" si="4"/>
        <v>0.43</v>
      </c>
      <c r="T143" s="20">
        <f>SUMIFS('3월 단양 개인별 STAT'!T:T, '3월 단양 개인별 STAT'!$D:$D, $D143, '3월 단양 개인별 STAT'!$E:$E, $E143) + SUMIFS('4월 삼척 개인별 STAT'!T:T, '4월 삼척 개인별 STAT'!$D:$D, $D143, '4월 삼척 개인별 STAT'!$E:$E, $E143)</f>
        <v>0</v>
      </c>
      <c r="U143" s="20">
        <f>SUMIFS('3월 단양 개인별 STAT'!U:U, '3월 단양 개인별 STAT'!$D:$D, $D143, '3월 단양 개인별 STAT'!$E:$E, $E143) + SUMIFS('4월 삼척 개인별 STAT'!U:U, '4월 삼척 개인별 STAT'!$D:$D, $D143, '4월 삼척 개인별 STAT'!$E:$E, $E143)</f>
        <v>0</v>
      </c>
      <c r="V143" s="20">
        <f>SUMIFS('3월 단양 개인별 STAT'!V:V, '3월 단양 개인별 STAT'!$D:$D, $D143, '3월 단양 개인별 STAT'!$E:$E, $E143) + SUMIFS('4월 삼척 개인별 STAT'!V:V, '4월 삼척 개인별 STAT'!$D:$D, $D143, '4월 삼척 개인별 STAT'!$E:$E, $E143)</f>
        <v>1</v>
      </c>
      <c r="W143" s="20">
        <f>SUMIFS('3월 단양 개인별 STAT'!W:W, '3월 단양 개인별 STAT'!$D:$D, $D143, '3월 단양 개인별 STAT'!$E:$E, $E143) + SUMIFS('4월 삼척 개인별 STAT'!W:W, '4월 삼척 개인별 STAT'!$D:$D, $D143, '4월 삼척 개인별 STAT'!$E:$E, $E143)</f>
        <v>29</v>
      </c>
      <c r="X143" s="20">
        <f>SUMIFS('3월 단양 개인별 STAT'!X:X, '3월 단양 개인별 STAT'!$D:$D, $D143, '3월 단양 개인별 STAT'!$E:$E, $E143) + SUMIFS('4월 삼척 개인별 STAT'!X:X, '4월 삼척 개인별 STAT'!$D:$D, $D143, '4월 삼척 개인별 STAT'!$E:$E, $E143)</f>
        <v>3</v>
      </c>
      <c r="Y143" s="20">
        <f>SUMIFS('3월 단양 개인별 STAT'!Y:Y, '3월 단양 개인별 STAT'!$D:$D, $D143, '3월 단양 개인별 STAT'!$E:$E, $E143) + SUMIFS('4월 삼척 개인별 STAT'!Y:Y, '4월 삼척 개인별 STAT'!$D:$D, $D143, '4월 삼척 개인별 STAT'!$E:$E, $E143)</f>
        <v>1</v>
      </c>
      <c r="Z143" s="35">
        <f t="shared" si="5"/>
        <v>33</v>
      </c>
      <c r="AA143" s="20">
        <f>SUMIFS('3월 단양 개인별 STAT'!AA:AA, '3월 단양 개인별 STAT'!$D:$D, $D143, '3월 단양 개인별 STAT'!$E:$E, $E143) + SUMIFS('4월 삼척 개인별 STAT'!AA:AA, '4월 삼척 개인별 STAT'!$D:$D, $D143, '4월 삼척 개인별 STAT'!$E:$E, $E143)</f>
        <v>1</v>
      </c>
      <c r="AB143" s="35">
        <f t="shared" si="6"/>
        <v>7</v>
      </c>
      <c r="AC143" s="23">
        <f t="shared" si="7"/>
        <v>7.75</v>
      </c>
      <c r="AD143" s="35">
        <f t="shared" si="8"/>
        <v>2</v>
      </c>
      <c r="AE143" s="20">
        <f>SUMIFS('3월 단양 개인별 STAT'!AE:AE, '3월 단양 개인별 STAT'!$D:$D, $D143, '3월 단양 개인별 STAT'!$E:$E, $E143) + SUMIFS('4월 삼척 개인별 STAT'!AE:AE, '4월 삼척 개인별 STAT'!$D:$D, $D143, '4월 삼척 개인별 STAT'!$E:$E, $E143)</f>
        <v>1</v>
      </c>
      <c r="AF143" s="20">
        <f>SUMIFS('3월 단양 개인별 STAT'!AF:AF, '3월 단양 개인별 STAT'!$D:$D, $D143, '3월 단양 개인별 STAT'!$E:$E, $E143) + SUMIFS('4월 삼척 개인별 STAT'!AF:AF, '4월 삼척 개인별 STAT'!$D:$D, $D143, '4월 삼척 개인별 STAT'!$E:$E, $E143)</f>
        <v>1</v>
      </c>
      <c r="AG143" s="36">
        <f t="shared" si="9"/>
        <v>50</v>
      </c>
      <c r="AH143" s="20">
        <f>SUMIFS('3월 단양 개인별 STAT'!AH:AH, '3월 단양 개인별 STAT'!$D:$D, $D143, '3월 단양 개인별 STAT'!$E:$E, $E143) + SUMIFS('4월 삼척 개인별 STAT'!AH:AH, '4월 삼척 개인별 STAT'!$D:$D, $D143, '4월 삼척 개인별 STAT'!$E:$E, $E143)</f>
        <v>12</v>
      </c>
      <c r="AI143" s="34" t="str">
        <f t="shared" si="10"/>
        <v>1.33</v>
      </c>
      <c r="AJ143" s="25"/>
      <c r="AL143" s="27">
        <f t="shared" si="11"/>
        <v>0.4444444444</v>
      </c>
      <c r="AM143" s="27">
        <f t="shared" si="30"/>
        <v>0.7777777778</v>
      </c>
      <c r="AN143" s="28">
        <f t="shared" si="13"/>
        <v>0.5714285714</v>
      </c>
      <c r="AO143" s="27">
        <f t="shared" si="14"/>
        <v>0</v>
      </c>
      <c r="AP143" s="27">
        <f t="shared" si="15"/>
        <v>0.3333333333</v>
      </c>
      <c r="AQ143" s="27">
        <f t="shared" ref="AQ143:AR143" si="157">iferror(AB143/$M143,"-")</f>
        <v>0.7777777778</v>
      </c>
      <c r="AR143" s="27">
        <f t="shared" si="157"/>
        <v>0.8611111111</v>
      </c>
      <c r="AS143" s="29">
        <f t="shared" si="17"/>
        <v>0.1111111111</v>
      </c>
      <c r="AT143" s="29" t="str">
        <f t="shared" si="18"/>
        <v>1.33</v>
      </c>
    </row>
    <row r="144">
      <c r="B144" s="17">
        <v>141.0</v>
      </c>
      <c r="C144" s="18">
        <f t="shared" si="2"/>
        <v>3</v>
      </c>
      <c r="D144" s="19" t="s">
        <v>201</v>
      </c>
      <c r="E144" s="19" t="s">
        <v>204</v>
      </c>
      <c r="F144" s="19">
        <v>1.0</v>
      </c>
      <c r="G144" s="19" t="s">
        <v>52</v>
      </c>
      <c r="H144" s="19" t="s">
        <v>47</v>
      </c>
      <c r="I144" s="19">
        <v>176.0</v>
      </c>
      <c r="J144" s="19">
        <v>65.0</v>
      </c>
      <c r="K144" s="20">
        <v>4.0</v>
      </c>
      <c r="L144" s="20">
        <f>SUMIFS('3월 단양 개인별 STAT'!L:L, '3월 단양 개인별 STAT'!$D:$D, $D144, '3월 단양 개인별 STAT'!$E:$E, $E144) + SUMIFS('4월 삼척 개인별 STAT'!L:L, '4월 삼척 개인별 STAT'!$D:$D, $D144, '4월 삼척 개인별 STAT'!$E:$E, $E144)</f>
        <v>3</v>
      </c>
      <c r="M144" s="20">
        <f>SUMIFS('3월 단양 개인별 STAT'!M:M, '3월 단양 개인별 STAT'!$D:$D, $D144, '3월 단양 개인별 STAT'!$E:$E, $E144) + SUMIFS('4월 삼척 개인별 STAT'!M:M, '4월 삼척 개인별 STAT'!$D:$D, $D144, '4월 삼척 개인별 STAT'!$E:$E, $E144)</f>
        <v>9</v>
      </c>
      <c r="N144" s="20">
        <f>SUMIFS('3월 단양 개인별 STAT'!N:N, '3월 단양 개인별 STAT'!$D:$D, $D144, '3월 단양 개인별 STAT'!$E:$E, $E144) + SUMIFS('4월 삼척 개인별 STAT'!N:N, '4월 삼척 개인별 STAT'!$D:$D, $D144, '4월 삼척 개인별 STAT'!$E:$E, $E144)</f>
        <v>16</v>
      </c>
      <c r="O144" s="20">
        <f>SUMIFS('3월 단양 개인별 STAT'!O:O, '3월 단양 개인별 STAT'!$D:$D, $D144, '3월 단양 개인별 STAT'!$E:$E, $E144) + SUMIFS('4월 삼척 개인별 STAT'!O:O, '4월 삼척 개인별 STAT'!$D:$D, $D144, '4월 삼척 개인별 STAT'!$E:$E, $E144)</f>
        <v>0</v>
      </c>
      <c r="P144" s="20">
        <f>SUMIFS('3월 단양 개인별 STAT'!P:P, '3월 단양 개인별 STAT'!$D:$D, $D144, '3월 단양 개인별 STAT'!$E:$E, $E144) + SUMIFS('4월 삼척 개인별 STAT'!P:P, '4월 삼척 개인별 STAT'!$D:$D, $D144, '4월 삼척 개인별 STAT'!$E:$E, $E144)</f>
        <v>24</v>
      </c>
      <c r="Q144" s="20">
        <f>SUMIFS('3월 단양 개인별 STAT'!Q:Q, '3월 단양 개인별 STAT'!$D:$D, $D144, '3월 단양 개인별 STAT'!$E:$E, $E144) + SUMIFS('4월 삼척 개인별 STAT'!Q:Q, '4월 삼척 개인별 STAT'!$D:$D, $D144, '4월 삼척 개인별 STAT'!$E:$E, $E144)</f>
        <v>10</v>
      </c>
      <c r="R144" s="35">
        <f t="shared" si="3"/>
        <v>50</v>
      </c>
      <c r="S144" s="34">
        <f t="shared" si="4"/>
        <v>0.12</v>
      </c>
      <c r="T144" s="20">
        <f>SUMIFS('3월 단양 개인별 STAT'!T:T, '3월 단양 개인별 STAT'!$D:$D, $D144, '3월 단양 개인별 STAT'!$E:$E, $E144) + SUMIFS('4월 삼척 개인별 STAT'!T:T, '4월 삼척 개인별 STAT'!$D:$D, $D144, '4월 삼척 개인별 STAT'!$E:$E, $E144)</f>
        <v>1</v>
      </c>
      <c r="U144" s="20">
        <f>SUMIFS('3월 단양 개인별 STAT'!U:U, '3월 단양 개인별 STAT'!$D:$D, $D144, '3월 단양 개인별 STAT'!$E:$E, $E144) + SUMIFS('4월 삼척 개인별 STAT'!U:U, '4월 삼척 개인별 STAT'!$D:$D, $D144, '4월 삼척 개인별 STAT'!$E:$E, $E144)</f>
        <v>0</v>
      </c>
      <c r="V144" s="20">
        <f>SUMIFS('3월 단양 개인별 STAT'!V:V, '3월 단양 개인별 STAT'!$D:$D, $D144, '3월 단양 개인별 STAT'!$E:$E, $E144) + SUMIFS('4월 삼척 개인별 STAT'!V:V, '4월 삼척 개인별 STAT'!$D:$D, $D144, '4월 삼척 개인별 STAT'!$E:$E, $E144)</f>
        <v>1</v>
      </c>
      <c r="W144" s="20">
        <f>SUMIFS('3월 단양 개인별 STAT'!W:W, '3월 단양 개인별 STAT'!$D:$D, $D144, '3월 단양 개인별 STAT'!$E:$E, $E144) + SUMIFS('4월 삼척 개인별 STAT'!W:W, '4월 삼척 개인별 STAT'!$D:$D, $D144, '4월 삼척 개인별 STAT'!$E:$E, $E144)</f>
        <v>31</v>
      </c>
      <c r="X144" s="20">
        <f>SUMIFS('3월 단양 개인별 STAT'!X:X, '3월 단양 개인별 STAT'!$D:$D, $D144, '3월 단양 개인별 STAT'!$E:$E, $E144) + SUMIFS('4월 삼척 개인별 STAT'!X:X, '4월 삼척 개인별 STAT'!$D:$D, $D144, '4월 삼척 개인별 STAT'!$E:$E, $E144)</f>
        <v>5</v>
      </c>
      <c r="Y144" s="20">
        <f>SUMIFS('3월 단양 개인별 STAT'!Y:Y, '3월 단양 개인별 STAT'!$D:$D, $D144, '3월 단양 개인별 STAT'!$E:$E, $E144) + SUMIFS('4월 삼척 개인별 STAT'!Y:Y, '4월 삼척 개인별 STAT'!$D:$D, $D144, '4월 삼척 개인별 STAT'!$E:$E, $E144)</f>
        <v>3</v>
      </c>
      <c r="Z144" s="35">
        <f t="shared" si="5"/>
        <v>39</v>
      </c>
      <c r="AA144" s="20">
        <f>SUMIFS('3월 단양 개인별 STAT'!AA:AA, '3월 단양 개인별 STAT'!$D:$D, $D144, '3월 단양 개인별 STAT'!$E:$E, $E144) + SUMIFS('4월 삼척 개인별 STAT'!AA:AA, '4월 삼척 개인별 STAT'!$D:$D, $D144, '4월 삼척 개인별 STAT'!$E:$E, $E144)</f>
        <v>2</v>
      </c>
      <c r="AB144" s="35">
        <f t="shared" si="6"/>
        <v>22</v>
      </c>
      <c r="AC144" s="23">
        <f t="shared" si="7"/>
        <v>22.75</v>
      </c>
      <c r="AD144" s="35">
        <f t="shared" si="8"/>
        <v>32</v>
      </c>
      <c r="AE144" s="20">
        <f>SUMIFS('3월 단양 개인별 STAT'!AE:AE, '3월 단양 개인별 STAT'!$D:$D, $D144, '3월 단양 개인별 STAT'!$E:$E, $E144) + SUMIFS('4월 삼척 개인별 STAT'!AE:AE, '4월 삼척 개인별 STAT'!$D:$D, $D144, '4월 삼척 개인별 STAT'!$E:$E, $E144)</f>
        <v>26</v>
      </c>
      <c r="AF144" s="20">
        <f>SUMIFS('3월 단양 개인별 STAT'!AF:AF, '3월 단양 개인별 STAT'!$D:$D, $D144, '3월 단양 개인별 STAT'!$E:$E, $E144) + SUMIFS('4월 삼척 개인별 STAT'!AF:AF, '4월 삼척 개인별 STAT'!$D:$D, $D144, '4월 삼척 개인별 STAT'!$E:$E, $E144)</f>
        <v>6</v>
      </c>
      <c r="AG144" s="36">
        <f t="shared" si="9"/>
        <v>81.25</v>
      </c>
      <c r="AH144" s="20">
        <f>SUMIFS('3월 단양 개인별 STAT'!AH:AH, '3월 단양 개인별 STAT'!$D:$D, $D144, '3월 단양 개인별 STAT'!$E:$E, $E144) + SUMIFS('4월 삼척 개인별 STAT'!AH:AH, '4월 삼척 개인별 STAT'!$D:$D, $D144, '4월 삼척 개인별 STAT'!$E:$E, $E144)</f>
        <v>19</v>
      </c>
      <c r="AI144" s="34" t="str">
        <f t="shared" si="10"/>
        <v>2.11</v>
      </c>
      <c r="AJ144" s="25"/>
      <c r="AL144" s="27">
        <f t="shared" si="11"/>
        <v>1.777777778</v>
      </c>
      <c r="AM144" s="27">
        <f t="shared" si="30"/>
        <v>5.555555556</v>
      </c>
      <c r="AN144" s="28">
        <f t="shared" si="13"/>
        <v>0.32</v>
      </c>
      <c r="AO144" s="27">
        <f t="shared" si="14"/>
        <v>0.1111111111</v>
      </c>
      <c r="AP144" s="27">
        <f t="shared" si="15"/>
        <v>0.5555555556</v>
      </c>
      <c r="AQ144" s="27">
        <f t="shared" ref="AQ144:AR144" si="158">iferror(AB144/$M144,"-")</f>
        <v>2.444444444</v>
      </c>
      <c r="AR144" s="27">
        <f t="shared" si="158"/>
        <v>2.527777778</v>
      </c>
      <c r="AS144" s="29">
        <f t="shared" si="17"/>
        <v>0.6666666667</v>
      </c>
      <c r="AT144" s="29" t="str">
        <f t="shared" si="18"/>
        <v>2.11</v>
      </c>
    </row>
    <row r="145">
      <c r="B145" s="17">
        <v>142.0</v>
      </c>
      <c r="C145" s="18">
        <f t="shared" si="2"/>
        <v>4</v>
      </c>
      <c r="D145" s="19" t="s">
        <v>201</v>
      </c>
      <c r="E145" s="19" t="s">
        <v>205</v>
      </c>
      <c r="F145" s="19">
        <v>2.0</v>
      </c>
      <c r="G145" s="19" t="s">
        <v>52</v>
      </c>
      <c r="H145" s="19" t="s">
        <v>48</v>
      </c>
      <c r="I145" s="19">
        <v>176.0</v>
      </c>
      <c r="J145" s="19">
        <v>60.0</v>
      </c>
      <c r="K145" s="20">
        <v>7.0</v>
      </c>
      <c r="L145" s="20">
        <f>SUMIFS('3월 단양 개인별 STAT'!L:L, '3월 단양 개인별 STAT'!$D:$D, $D145, '3월 단양 개인별 STAT'!$E:$E, $E145) + SUMIFS('4월 삼척 개인별 STAT'!L:L, '4월 삼척 개인별 STAT'!$D:$D, $D145, '4월 삼척 개인별 STAT'!$E:$E, $E145)</f>
        <v>3</v>
      </c>
      <c r="M145" s="20">
        <f>SUMIFS('3월 단양 개인별 STAT'!M:M, '3월 단양 개인별 STAT'!$D:$D, $D145, '3월 단양 개인별 STAT'!$E:$E, $E145) + SUMIFS('4월 삼척 개인별 STAT'!M:M, '4월 삼척 개인별 STAT'!$D:$D, $D145, '4월 삼척 개인별 STAT'!$E:$E, $E145)</f>
        <v>9</v>
      </c>
      <c r="N145" s="20">
        <f>SUMIFS('3월 단양 개인별 STAT'!N:N, '3월 단양 개인별 STAT'!$D:$D, $D145, '3월 단양 개인별 STAT'!$E:$E, $E145) + SUMIFS('4월 삼척 개인별 STAT'!N:N, '4월 삼척 개인별 STAT'!$D:$D, $D145, '4월 삼척 개인별 STAT'!$E:$E, $E145)</f>
        <v>37</v>
      </c>
      <c r="O145" s="20">
        <f>SUMIFS('3월 단양 개인별 STAT'!O:O, '3월 단양 개인별 STAT'!$D:$D, $D145, '3월 단양 개인별 STAT'!$E:$E, $E145) + SUMIFS('4월 삼척 개인별 STAT'!O:O, '4월 삼척 개인별 STAT'!$D:$D, $D145, '4월 삼척 개인별 STAT'!$E:$E, $E145)</f>
        <v>0</v>
      </c>
      <c r="P145" s="20">
        <f>SUMIFS('3월 단양 개인별 STAT'!P:P, '3월 단양 개인별 STAT'!$D:$D, $D145, '3월 단양 개인별 STAT'!$E:$E, $E145) + SUMIFS('4월 삼척 개인별 STAT'!P:P, '4월 삼척 개인별 STAT'!$D:$D, $D145, '4월 삼척 개인별 STAT'!$E:$E, $E145)</f>
        <v>44</v>
      </c>
      <c r="Q145" s="20">
        <f>SUMIFS('3월 단양 개인별 STAT'!Q:Q, '3월 단양 개인별 STAT'!$D:$D, $D145, '3월 단양 개인별 STAT'!$E:$E, $E145) + SUMIFS('4월 삼척 개인별 STAT'!Q:Q, '4월 삼척 개인별 STAT'!$D:$D, $D145, '4월 삼척 개인별 STAT'!$E:$E, $E145)</f>
        <v>11</v>
      </c>
      <c r="R145" s="35">
        <f t="shared" si="3"/>
        <v>92</v>
      </c>
      <c r="S145" s="34">
        <f t="shared" si="4"/>
        <v>0.28</v>
      </c>
      <c r="T145" s="20">
        <f>SUMIFS('3월 단양 개인별 STAT'!T:T, '3월 단양 개인별 STAT'!$D:$D, $D145, '3월 단양 개인별 STAT'!$E:$E, $E145) + SUMIFS('4월 삼척 개인별 STAT'!T:T, '4월 삼척 개인별 STAT'!$D:$D, $D145, '4월 삼척 개인별 STAT'!$E:$E, $E145)</f>
        <v>1</v>
      </c>
      <c r="U145" s="20">
        <f>SUMIFS('3월 단양 개인별 STAT'!U:U, '3월 단양 개인별 STAT'!$D:$D, $D145, '3월 단양 개인별 STAT'!$E:$E, $E145) + SUMIFS('4월 삼척 개인별 STAT'!U:U, '4월 삼척 개인별 STAT'!$D:$D, $D145, '4월 삼척 개인별 STAT'!$E:$E, $E145)</f>
        <v>0</v>
      </c>
      <c r="V145" s="20">
        <f>SUMIFS('3월 단양 개인별 STAT'!V:V, '3월 단양 개인별 STAT'!$D:$D, $D145, '3월 단양 개인별 STAT'!$E:$E, $E145) + SUMIFS('4월 삼척 개인별 STAT'!V:V, '4월 삼척 개인별 STAT'!$D:$D, $D145, '4월 삼척 개인별 STAT'!$E:$E, $E145)</f>
        <v>0</v>
      </c>
      <c r="W145" s="20">
        <f>SUMIFS('3월 단양 개인별 STAT'!W:W, '3월 단양 개인별 STAT'!$D:$D, $D145, '3월 단양 개인별 STAT'!$E:$E, $E145) + SUMIFS('4월 삼척 개인별 STAT'!W:W, '4월 삼척 개인별 STAT'!$D:$D, $D145, '4월 삼척 개인별 STAT'!$E:$E, $E145)</f>
        <v>36</v>
      </c>
      <c r="X145" s="20">
        <f>SUMIFS('3월 단양 개인별 STAT'!X:X, '3월 단양 개인별 STAT'!$D:$D, $D145, '3월 단양 개인별 STAT'!$E:$E, $E145) + SUMIFS('4월 삼척 개인별 STAT'!X:X, '4월 삼척 개인별 STAT'!$D:$D, $D145, '4월 삼척 개인별 STAT'!$E:$E, $E145)</f>
        <v>7</v>
      </c>
      <c r="Y145" s="20">
        <f>SUMIFS('3월 단양 개인별 STAT'!Y:Y, '3월 단양 개인별 STAT'!$D:$D, $D145, '3월 단양 개인별 STAT'!$E:$E, $E145) + SUMIFS('4월 삼척 개인별 STAT'!Y:Y, '4월 삼척 개인별 STAT'!$D:$D, $D145, '4월 삼척 개인별 STAT'!$E:$E, $E145)</f>
        <v>5</v>
      </c>
      <c r="Z145" s="35">
        <f t="shared" si="5"/>
        <v>48</v>
      </c>
      <c r="AA145" s="20">
        <f>SUMIFS('3월 단양 개인별 STAT'!AA:AA, '3월 단양 개인별 STAT'!$D:$D, $D145, '3월 단양 개인별 STAT'!$E:$E, $E145) + SUMIFS('4월 삼척 개인별 STAT'!AA:AA, '4월 삼척 개인별 STAT'!$D:$D, $D145, '4월 삼척 개인별 STAT'!$E:$E, $E145)</f>
        <v>0</v>
      </c>
      <c r="AB145" s="35">
        <f t="shared" si="6"/>
        <v>45</v>
      </c>
      <c r="AC145" s="23">
        <f t="shared" si="7"/>
        <v>45</v>
      </c>
      <c r="AD145" s="35">
        <f t="shared" si="8"/>
        <v>63</v>
      </c>
      <c r="AE145" s="20">
        <f>SUMIFS('3월 단양 개인별 STAT'!AE:AE, '3월 단양 개인별 STAT'!$D:$D, $D145, '3월 단양 개인별 STAT'!$E:$E, $E145) + SUMIFS('4월 삼척 개인별 STAT'!AE:AE, '4월 삼척 개인별 STAT'!$D:$D, $D145, '4월 삼척 개인별 STAT'!$E:$E, $E145)</f>
        <v>58</v>
      </c>
      <c r="AF145" s="20">
        <f>SUMIFS('3월 단양 개인별 STAT'!AF:AF, '3월 단양 개인별 STAT'!$D:$D, $D145, '3월 단양 개인별 STAT'!$E:$E, $E145) + SUMIFS('4월 삼척 개인별 STAT'!AF:AF, '4월 삼척 개인별 STAT'!$D:$D, $D145, '4월 삼척 개인별 STAT'!$E:$E, $E145)</f>
        <v>5</v>
      </c>
      <c r="AG145" s="36">
        <f t="shared" si="9"/>
        <v>92.06349206</v>
      </c>
      <c r="AH145" s="20">
        <f>SUMIFS('3월 단양 개인별 STAT'!AH:AH, '3월 단양 개인별 STAT'!$D:$D, $D145, '3월 단양 개인별 STAT'!$E:$E, $E145) + SUMIFS('4월 삼척 개인별 STAT'!AH:AH, '4월 삼척 개인별 STAT'!$D:$D, $D145, '4월 삼척 개인별 STAT'!$E:$E, $E145)</f>
        <v>32</v>
      </c>
      <c r="AI145" s="34" t="str">
        <f t="shared" si="10"/>
        <v>3.56</v>
      </c>
      <c r="AJ145" s="25"/>
      <c r="AL145" s="27">
        <f t="shared" si="11"/>
        <v>4.111111111</v>
      </c>
      <c r="AM145" s="27">
        <f t="shared" si="30"/>
        <v>10.22222222</v>
      </c>
      <c r="AN145" s="28">
        <f t="shared" si="13"/>
        <v>0.402173913</v>
      </c>
      <c r="AO145" s="27">
        <f t="shared" si="14"/>
        <v>0.1111111111</v>
      </c>
      <c r="AP145" s="27">
        <f t="shared" si="15"/>
        <v>0.7777777778</v>
      </c>
      <c r="AQ145" s="27">
        <f t="shared" ref="AQ145:AR145" si="159">iferror(AB145/$M145,"-")</f>
        <v>5</v>
      </c>
      <c r="AR145" s="27">
        <f t="shared" si="159"/>
        <v>5</v>
      </c>
      <c r="AS145" s="29">
        <f t="shared" si="17"/>
        <v>0.5555555556</v>
      </c>
      <c r="AT145" s="29" t="str">
        <f t="shared" si="18"/>
        <v>3.56</v>
      </c>
    </row>
    <row r="146">
      <c r="B146" s="17">
        <v>143.0</v>
      </c>
      <c r="C146" s="18">
        <f t="shared" si="2"/>
        <v>5</v>
      </c>
      <c r="D146" s="19" t="s">
        <v>201</v>
      </c>
      <c r="E146" s="19" t="s">
        <v>206</v>
      </c>
      <c r="F146" s="19">
        <v>1.0</v>
      </c>
      <c r="G146" s="19" t="s">
        <v>52</v>
      </c>
      <c r="H146" s="19" t="s">
        <v>50</v>
      </c>
      <c r="I146" s="19">
        <v>160.0</v>
      </c>
      <c r="J146" s="19">
        <v>51.0</v>
      </c>
      <c r="K146" s="20">
        <v>10.0</v>
      </c>
      <c r="L146" s="20">
        <f>SUMIFS('3월 단양 개인별 STAT'!L:L, '3월 단양 개인별 STAT'!$D:$D, $D146, '3월 단양 개인별 STAT'!$E:$E, $E146) + SUMIFS('4월 삼척 개인별 STAT'!L:L, '4월 삼척 개인별 STAT'!$D:$D, $D146, '4월 삼척 개인별 STAT'!$E:$E, $E146)</f>
        <v>3</v>
      </c>
      <c r="M146" s="20">
        <f>SUMIFS('3월 단양 개인별 STAT'!M:M, '3월 단양 개인별 STAT'!$D:$D, $D146, '3월 단양 개인별 STAT'!$E:$E, $E146) + SUMIFS('4월 삼척 개인별 STAT'!M:M, '4월 삼척 개인별 STAT'!$D:$D, $D146, '4월 삼척 개인별 STAT'!$E:$E, $E146)</f>
        <v>9</v>
      </c>
      <c r="N146" s="20">
        <f>SUMIFS('3월 단양 개인별 STAT'!N:N, '3월 단양 개인별 STAT'!$D:$D, $D146, '3월 단양 개인별 STAT'!$E:$E, $E146) + SUMIFS('4월 삼척 개인별 STAT'!N:N, '4월 삼척 개인별 STAT'!$D:$D, $D146, '4월 삼척 개인별 STAT'!$E:$E, $E146)</f>
        <v>0</v>
      </c>
      <c r="O146" s="20">
        <f>SUMIFS('3월 단양 개인별 STAT'!O:O, '3월 단양 개인별 STAT'!$D:$D, $D146, '3월 단양 개인별 STAT'!$E:$E, $E146) + SUMIFS('4월 삼척 개인별 STAT'!O:O, '4월 삼척 개인별 STAT'!$D:$D, $D146, '4월 삼척 개인별 STAT'!$E:$E, $E146)</f>
        <v>4</v>
      </c>
      <c r="P146" s="20">
        <f>SUMIFS('3월 단양 개인별 STAT'!P:P, '3월 단양 개인별 STAT'!$D:$D, $D146, '3월 단양 개인별 STAT'!$E:$E, $E146) + SUMIFS('4월 삼척 개인별 STAT'!P:P, '4월 삼척 개인별 STAT'!$D:$D, $D146, '4월 삼척 개인별 STAT'!$E:$E, $E146)</f>
        <v>4</v>
      </c>
      <c r="Q146" s="20">
        <f>SUMIFS('3월 단양 개인별 STAT'!Q:Q, '3월 단양 개인별 STAT'!$D:$D, $D146, '3월 단양 개인별 STAT'!$E:$E, $E146) + SUMIFS('4월 삼척 개인별 STAT'!Q:Q, '4월 삼척 개인별 STAT'!$D:$D, $D146, '4월 삼척 개인별 STAT'!$E:$E, $E146)</f>
        <v>0</v>
      </c>
      <c r="R146" s="35">
        <f t="shared" si="3"/>
        <v>4</v>
      </c>
      <c r="S146" s="34" t="str">
        <f t="shared" si="4"/>
        <v>-</v>
      </c>
      <c r="T146" s="20">
        <f>SUMIFS('3월 단양 개인별 STAT'!T:T, '3월 단양 개인별 STAT'!$D:$D, $D146, '3월 단양 개인별 STAT'!$E:$E, $E146) + SUMIFS('4월 삼척 개인별 STAT'!T:T, '4월 삼척 개인별 STAT'!$D:$D, $D146, '4월 삼척 개인별 STAT'!$E:$E, $E146)</f>
        <v>0</v>
      </c>
      <c r="U146" s="20">
        <f>SUMIFS('3월 단양 개인별 STAT'!U:U, '3월 단양 개인별 STAT'!$D:$D, $D146, '3월 단양 개인별 STAT'!$E:$E, $E146) + SUMIFS('4월 삼척 개인별 STAT'!U:U, '4월 삼척 개인별 STAT'!$D:$D, $D146, '4월 삼척 개인별 STAT'!$E:$E, $E146)</f>
        <v>1</v>
      </c>
      <c r="V146" s="20">
        <f>SUMIFS('3월 단양 개인별 STAT'!V:V, '3월 단양 개인별 STAT'!$D:$D, $D146, '3월 단양 개인별 STAT'!$E:$E, $E146) + SUMIFS('4월 삼척 개인별 STAT'!V:V, '4월 삼척 개인별 STAT'!$D:$D, $D146, '4월 삼척 개인별 STAT'!$E:$E, $E146)</f>
        <v>1</v>
      </c>
      <c r="W146" s="20">
        <f>SUMIFS('3월 단양 개인별 STAT'!W:W, '3월 단양 개인별 STAT'!$D:$D, $D146, '3월 단양 개인별 STAT'!$E:$E, $E146) + SUMIFS('4월 삼척 개인별 STAT'!W:W, '4월 삼척 개인별 STAT'!$D:$D, $D146, '4월 삼척 개인별 STAT'!$E:$E, $E146)</f>
        <v>23</v>
      </c>
      <c r="X146" s="20">
        <f>SUMIFS('3월 단양 개인별 STAT'!X:X, '3월 단양 개인별 STAT'!$D:$D, $D146, '3월 단양 개인별 STAT'!$E:$E, $E146) + SUMIFS('4월 삼척 개인별 STAT'!X:X, '4월 삼척 개인별 STAT'!$D:$D, $D146, '4월 삼척 개인별 STAT'!$E:$E, $E146)</f>
        <v>1</v>
      </c>
      <c r="Y146" s="20">
        <f>SUMIFS('3월 단양 개인별 STAT'!Y:Y, '3월 단양 개인별 STAT'!$D:$D, $D146, '3월 단양 개인별 STAT'!$E:$E, $E146) + SUMIFS('4월 삼척 개인별 STAT'!Y:Y, '4월 삼척 개인별 STAT'!$D:$D, $D146, '4월 삼척 개인별 STAT'!$E:$E, $E146)</f>
        <v>1</v>
      </c>
      <c r="Z146" s="35">
        <f t="shared" si="5"/>
        <v>25</v>
      </c>
      <c r="AA146" s="20">
        <f>SUMIFS('3월 단양 개인별 STAT'!AA:AA, '3월 단양 개인별 STAT'!$D:$D, $D146, '3월 단양 개인별 STAT'!$E:$E, $E146) + SUMIFS('4월 삼척 개인별 STAT'!AA:AA, '4월 삼척 개인별 STAT'!$D:$D, $D146, '4월 삼척 개인별 STAT'!$E:$E, $E146)</f>
        <v>1</v>
      </c>
      <c r="AB146" s="35">
        <f t="shared" si="6"/>
        <v>1</v>
      </c>
      <c r="AC146" s="23">
        <f t="shared" si="7"/>
        <v>1.75</v>
      </c>
      <c r="AD146" s="35">
        <f t="shared" si="8"/>
        <v>25</v>
      </c>
      <c r="AE146" s="20">
        <f>SUMIFS('3월 단양 개인별 STAT'!AE:AE, '3월 단양 개인별 STAT'!$D:$D, $D146, '3월 단양 개인별 STAT'!$E:$E, $E146) + SUMIFS('4월 삼척 개인별 STAT'!AE:AE, '4월 삼척 개인별 STAT'!$D:$D, $D146, '4월 삼척 개인별 STAT'!$E:$E, $E146)</f>
        <v>22</v>
      </c>
      <c r="AF146" s="20">
        <f>SUMIFS('3월 단양 개인별 STAT'!AF:AF, '3월 단양 개인별 STAT'!$D:$D, $D146, '3월 단양 개인별 STAT'!$E:$E, $E146) + SUMIFS('4월 삼척 개인별 STAT'!AF:AF, '4월 삼척 개인별 STAT'!$D:$D, $D146, '4월 삼척 개인별 STAT'!$E:$E, $E146)</f>
        <v>3</v>
      </c>
      <c r="AG146" s="36">
        <f t="shared" si="9"/>
        <v>88</v>
      </c>
      <c r="AH146" s="20">
        <f>SUMIFS('3월 단양 개인별 STAT'!AH:AH, '3월 단양 개인별 STAT'!$D:$D, $D146, '3월 단양 개인별 STAT'!$E:$E, $E146) + SUMIFS('4월 삼척 개인별 STAT'!AH:AH, '4월 삼척 개인별 STAT'!$D:$D, $D146, '4월 삼척 개인별 STAT'!$E:$E, $E146)</f>
        <v>18</v>
      </c>
      <c r="AI146" s="34" t="str">
        <f t="shared" si="10"/>
        <v>2</v>
      </c>
      <c r="AJ146" s="25"/>
      <c r="AL146" s="27">
        <f t="shared" si="11"/>
        <v>0</v>
      </c>
      <c r="AM146" s="27">
        <f t="shared" si="30"/>
        <v>0.4444444444</v>
      </c>
      <c r="AN146" s="28">
        <f t="shared" si="13"/>
        <v>0</v>
      </c>
      <c r="AO146" s="27">
        <f t="shared" si="14"/>
        <v>0</v>
      </c>
      <c r="AP146" s="27">
        <f t="shared" si="15"/>
        <v>0.1111111111</v>
      </c>
      <c r="AQ146" s="27">
        <f t="shared" ref="AQ146:AR146" si="160">iferror(AB146/$M146,"-")</f>
        <v>0.1111111111</v>
      </c>
      <c r="AR146" s="27">
        <f t="shared" si="160"/>
        <v>0.1944444444</v>
      </c>
      <c r="AS146" s="29">
        <f t="shared" si="17"/>
        <v>0.3333333333</v>
      </c>
      <c r="AT146" s="29" t="str">
        <f t="shared" si="18"/>
        <v>2</v>
      </c>
    </row>
    <row r="147">
      <c r="B147" s="17">
        <v>144.0</v>
      </c>
      <c r="C147" s="18">
        <f t="shared" si="2"/>
        <v>6</v>
      </c>
      <c r="D147" s="19" t="s">
        <v>201</v>
      </c>
      <c r="E147" s="19" t="s">
        <v>207</v>
      </c>
      <c r="F147" s="19">
        <v>1.0</v>
      </c>
      <c r="G147" s="19" t="s">
        <v>47</v>
      </c>
      <c r="H147" s="19" t="s">
        <v>48</v>
      </c>
      <c r="I147" s="19">
        <v>183.0</v>
      </c>
      <c r="J147" s="19">
        <v>85.0</v>
      </c>
      <c r="K147" s="20">
        <v>15.0</v>
      </c>
      <c r="L147" s="20">
        <f>SUMIFS('3월 단양 개인별 STAT'!L:L, '3월 단양 개인별 STAT'!$D:$D, $D147, '3월 단양 개인별 STAT'!$E:$E, $E147) + SUMIFS('4월 삼척 개인별 STAT'!L:L, '4월 삼척 개인별 STAT'!$D:$D, $D147, '4월 삼척 개인별 STAT'!$E:$E, $E147)</f>
        <v>3</v>
      </c>
      <c r="M147" s="20">
        <f>SUMIFS('3월 단양 개인별 STAT'!M:M, '3월 단양 개인별 STAT'!$D:$D, $D147, '3월 단양 개인별 STAT'!$E:$E, $E147) + SUMIFS('4월 삼척 개인별 STAT'!M:M, '4월 삼척 개인별 STAT'!$D:$D, $D147, '4월 삼척 개인별 STAT'!$E:$E, $E147)</f>
        <v>9</v>
      </c>
      <c r="N147" s="20">
        <f>SUMIFS('3월 단양 개인별 STAT'!N:N, '3월 단양 개인별 STAT'!$D:$D, $D147, '3월 단양 개인별 STAT'!$E:$E, $E147) + SUMIFS('4월 삼척 개인별 STAT'!N:N, '4월 삼척 개인별 STAT'!$D:$D, $D147, '4월 삼척 개인별 STAT'!$E:$E, $E147)</f>
        <v>27</v>
      </c>
      <c r="O147" s="20">
        <f>SUMIFS('3월 단양 개인별 STAT'!O:O, '3월 단양 개인별 STAT'!$D:$D, $D147, '3월 단양 개인별 STAT'!$E:$E, $E147) + SUMIFS('4월 삼척 개인별 STAT'!O:O, '4월 삼척 개인별 STAT'!$D:$D, $D147, '4월 삼척 개인별 STAT'!$E:$E, $E147)</f>
        <v>3</v>
      </c>
      <c r="P147" s="20">
        <f>SUMIFS('3월 단양 개인별 STAT'!P:P, '3월 단양 개인별 STAT'!$D:$D, $D147, '3월 단양 개인별 STAT'!$E:$E, $E147) + SUMIFS('4월 삼척 개인별 STAT'!P:P, '4월 삼척 개인별 STAT'!$D:$D, $D147, '4월 삼척 개인별 STAT'!$E:$E, $E147)</f>
        <v>15</v>
      </c>
      <c r="Q147" s="20">
        <f>SUMIFS('3월 단양 개인별 STAT'!Q:Q, '3월 단양 개인별 STAT'!$D:$D, $D147, '3월 단양 개인별 STAT'!$E:$E, $E147) + SUMIFS('4월 삼척 개인별 STAT'!Q:Q, '4월 삼척 개인별 STAT'!$D:$D, $D147, '4월 삼척 개인별 STAT'!$E:$E, $E147)</f>
        <v>7</v>
      </c>
      <c r="R147" s="35">
        <f t="shared" si="3"/>
        <v>49</v>
      </c>
      <c r="S147" s="34">
        <f t="shared" si="4"/>
        <v>0.41</v>
      </c>
      <c r="T147" s="20">
        <f>SUMIFS('3월 단양 개인별 STAT'!T:T, '3월 단양 개인별 STAT'!$D:$D, $D147, '3월 단양 개인별 STAT'!$E:$E, $E147) + SUMIFS('4월 삼척 개인별 STAT'!T:T, '4월 삼척 개인별 STAT'!$D:$D, $D147, '4월 삼척 개인별 STAT'!$E:$E, $E147)</f>
        <v>2</v>
      </c>
      <c r="U147" s="20">
        <f>SUMIFS('3월 단양 개인별 STAT'!U:U, '3월 단양 개인별 STAT'!$D:$D, $D147, '3월 단양 개인별 STAT'!$E:$E, $E147) + SUMIFS('4월 삼척 개인별 STAT'!U:U, '4월 삼척 개인별 STAT'!$D:$D, $D147, '4월 삼척 개인별 STAT'!$E:$E, $E147)</f>
        <v>0</v>
      </c>
      <c r="V147" s="20">
        <f>SUMIFS('3월 단양 개인별 STAT'!V:V, '3월 단양 개인별 STAT'!$D:$D, $D147, '3월 단양 개인별 STAT'!$E:$E, $E147) + SUMIFS('4월 삼척 개인별 STAT'!V:V, '4월 삼척 개인별 STAT'!$D:$D, $D147, '4월 삼척 개인별 STAT'!$E:$E, $E147)</f>
        <v>2</v>
      </c>
      <c r="W147" s="20">
        <f>SUMIFS('3월 단양 개인별 STAT'!W:W, '3월 단양 개인별 STAT'!$D:$D, $D147, '3월 단양 개인별 STAT'!$E:$E, $E147) + SUMIFS('4월 삼척 개인별 STAT'!W:W, '4월 삼척 개인별 STAT'!$D:$D, $D147, '4월 삼척 개인별 STAT'!$E:$E, $E147)</f>
        <v>20</v>
      </c>
      <c r="X147" s="20">
        <f>SUMIFS('3월 단양 개인별 STAT'!X:X, '3월 단양 개인별 STAT'!$D:$D, $D147, '3월 단양 개인별 STAT'!$E:$E, $E147) + SUMIFS('4월 삼척 개인별 STAT'!X:X, '4월 삼척 개인별 STAT'!$D:$D, $D147, '4월 삼척 개인별 STAT'!$E:$E, $E147)</f>
        <v>2</v>
      </c>
      <c r="Y147" s="20">
        <f>SUMIFS('3월 단양 개인별 STAT'!Y:Y, '3월 단양 개인별 STAT'!$D:$D, $D147, '3월 단양 개인별 STAT'!$E:$E, $E147) + SUMIFS('4월 삼척 개인별 STAT'!Y:Y, '4월 삼척 개인별 STAT'!$D:$D, $D147, '4월 삼척 개인별 STAT'!$E:$E, $E147)</f>
        <v>5</v>
      </c>
      <c r="Z147" s="35">
        <f t="shared" si="5"/>
        <v>27</v>
      </c>
      <c r="AA147" s="20">
        <f>SUMIFS('3월 단양 개인별 STAT'!AA:AA, '3월 단양 개인별 STAT'!$D:$D, $D147, '3월 단양 개인별 STAT'!$E:$E, $E147) + SUMIFS('4월 삼척 개인별 STAT'!AA:AA, '4월 삼척 개인별 STAT'!$D:$D, $D147, '4월 삼척 개인별 STAT'!$E:$E, $E147)</f>
        <v>0</v>
      </c>
      <c r="AB147" s="35">
        <f t="shared" si="6"/>
        <v>31</v>
      </c>
      <c r="AC147" s="23">
        <f t="shared" si="7"/>
        <v>32.5</v>
      </c>
      <c r="AD147" s="35">
        <f t="shared" si="8"/>
        <v>8</v>
      </c>
      <c r="AE147" s="20">
        <f>SUMIFS('3월 단양 개인별 STAT'!AE:AE, '3월 단양 개인별 STAT'!$D:$D, $D147, '3월 단양 개인별 STAT'!$E:$E, $E147) + SUMIFS('4월 삼척 개인별 STAT'!AE:AE, '4월 삼척 개인별 STAT'!$D:$D, $D147, '4월 삼척 개인별 STAT'!$E:$E, $E147)</f>
        <v>5</v>
      </c>
      <c r="AF147" s="20">
        <f>SUMIFS('3월 단양 개인별 STAT'!AF:AF, '3월 단양 개인별 STAT'!$D:$D, $D147, '3월 단양 개인별 STAT'!$E:$E, $E147) + SUMIFS('4월 삼척 개인별 STAT'!AF:AF, '4월 삼척 개인별 STAT'!$D:$D, $D147, '4월 삼척 개인별 STAT'!$E:$E, $E147)</f>
        <v>3</v>
      </c>
      <c r="AG147" s="36">
        <f t="shared" si="9"/>
        <v>62.5</v>
      </c>
      <c r="AH147" s="20">
        <f>SUMIFS('3월 단양 개인별 STAT'!AH:AH, '3월 단양 개인별 STAT'!$D:$D, $D147, '3월 단양 개인별 STAT'!$E:$E, $E147) + SUMIFS('4월 삼척 개인별 STAT'!AH:AH, '4월 삼척 개인별 STAT'!$D:$D, $D147, '4월 삼척 개인별 STAT'!$E:$E, $E147)</f>
        <v>16</v>
      </c>
      <c r="AI147" s="34" t="str">
        <f t="shared" si="10"/>
        <v>1.78</v>
      </c>
      <c r="AJ147" s="25"/>
      <c r="AL147" s="27">
        <f t="shared" si="11"/>
        <v>3</v>
      </c>
      <c r="AM147" s="27">
        <f t="shared" si="30"/>
        <v>5.444444444</v>
      </c>
      <c r="AN147" s="28">
        <f t="shared" si="13"/>
        <v>0.5510204082</v>
      </c>
      <c r="AO147" s="27">
        <f t="shared" si="14"/>
        <v>0.2222222222</v>
      </c>
      <c r="AP147" s="27">
        <f t="shared" si="15"/>
        <v>0.2222222222</v>
      </c>
      <c r="AQ147" s="27">
        <f t="shared" ref="AQ147:AR147" si="161">iferror(AB147/$M147,"-")</f>
        <v>3.444444444</v>
      </c>
      <c r="AR147" s="27">
        <f t="shared" si="161"/>
        <v>3.611111111</v>
      </c>
      <c r="AS147" s="29">
        <f t="shared" si="17"/>
        <v>0.3333333333</v>
      </c>
      <c r="AT147" s="29" t="str">
        <f t="shared" si="18"/>
        <v>1.78</v>
      </c>
    </row>
    <row r="148">
      <c r="B148" s="17">
        <v>145.0</v>
      </c>
      <c r="C148" s="18">
        <f t="shared" si="2"/>
        <v>1</v>
      </c>
      <c r="D148" s="18"/>
      <c r="E148" s="18"/>
      <c r="F148" s="37"/>
      <c r="G148" s="37"/>
      <c r="H148" s="37"/>
      <c r="I148" s="37"/>
      <c r="J148" s="37"/>
      <c r="K148" s="38"/>
      <c r="L148" s="20">
        <f>SUMIFS('3월 단양 개인별 STAT'!L:L, '3월 단양 개인별 STAT'!$D:$D, $D148, '3월 단양 개인별 STAT'!$E:$E, $E148) + SUMIFS('4월 삼척 개인별 STAT'!L:L, '4월 삼척 개인별 STAT'!$D:$D, $D148, '4월 삼척 개인별 STAT'!$E:$E, $E148)</f>
        <v>0</v>
      </c>
      <c r="M148" s="20">
        <f>SUMIFS('3월 단양 개인별 STAT'!M:M, '3월 단양 개인별 STAT'!$D:$D, $D148, '3월 단양 개인별 STAT'!$E:$E, $E148) + SUMIFS('4월 삼척 개인별 STAT'!M:M, '4월 삼척 개인별 STAT'!$D:$D, $D148, '4월 삼척 개인별 STAT'!$E:$E, $E148)</f>
        <v>0</v>
      </c>
      <c r="N148" s="20">
        <f>SUMIFS('3월 단양 개인별 STAT'!N:N, '3월 단양 개인별 STAT'!$D:$D, $D148, '3월 단양 개인별 STAT'!$E:$E, $E148) + SUMIFS('4월 삼척 개인별 STAT'!N:N, '4월 삼척 개인별 STAT'!$D:$D, $D148, '4월 삼척 개인별 STAT'!$E:$E, $E148)</f>
        <v>0</v>
      </c>
      <c r="O148" s="20">
        <f>SUMIFS('3월 단양 개인별 STAT'!O:O, '3월 단양 개인별 STAT'!$D:$D, $D148, '3월 단양 개인별 STAT'!$E:$E, $E148) + SUMIFS('4월 삼척 개인별 STAT'!O:O, '4월 삼척 개인별 STAT'!$D:$D, $D148, '4월 삼척 개인별 STAT'!$E:$E, $E148)</f>
        <v>0</v>
      </c>
      <c r="P148" s="20">
        <f>SUMIFS('3월 단양 개인별 STAT'!P:P, '3월 단양 개인별 STAT'!$D:$D, $D148, '3월 단양 개인별 STAT'!$E:$E, $E148) + SUMIFS('4월 삼척 개인별 STAT'!P:P, '4월 삼척 개인별 STAT'!$D:$D, $D148, '4월 삼척 개인별 STAT'!$E:$E, $E148)</f>
        <v>0</v>
      </c>
      <c r="Q148" s="20">
        <f>SUMIFS('3월 단양 개인별 STAT'!Q:Q, '3월 단양 개인별 STAT'!$D:$D, $D148, '3월 단양 개인별 STAT'!$E:$E, $E148) + SUMIFS('4월 삼척 개인별 STAT'!Q:Q, '4월 삼척 개인별 STAT'!$D:$D, $D148, '4월 삼척 개인별 STAT'!$E:$E, $E148)</f>
        <v>0</v>
      </c>
      <c r="R148" s="33" t="str">
        <f t="shared" si="3"/>
        <v>-</v>
      </c>
      <c r="S148" s="34" t="str">
        <f t="shared" si="4"/>
        <v>-</v>
      </c>
      <c r="T148" s="39"/>
      <c r="U148" s="38"/>
      <c r="V148" s="38"/>
      <c r="W148" s="38"/>
      <c r="X148" s="38"/>
      <c r="Y148" s="40"/>
      <c r="Z148" s="33" t="str">
        <f t="shared" si="5"/>
        <v>-</v>
      </c>
      <c r="AA148" s="41"/>
      <c r="AB148" s="33" t="str">
        <f t="shared" si="6"/>
        <v>-</v>
      </c>
      <c r="AC148" s="23">
        <f t="shared" si="7"/>
        <v>0</v>
      </c>
      <c r="AD148" s="33" t="str">
        <f t="shared" si="8"/>
        <v>-</v>
      </c>
      <c r="AE148" s="20">
        <f>SUMIFS('3월 단양 개인별 STAT'!AE:AE, '3월 단양 개인별 STAT'!$D:$D, $D148, '3월 단양 개인별 STAT'!$E:$E, $E148) + SUMIFS('4월 삼척 개인별 STAT'!AE:AE, '4월 삼척 개인별 STAT'!$D:$D, $D148, '4월 삼척 개인별 STAT'!$E:$E, $E148)</f>
        <v>0</v>
      </c>
      <c r="AF148" s="20">
        <f>SUMIFS('3월 단양 개인별 STAT'!AF:AF, '3월 단양 개인별 STAT'!$D:$D, $D148, '3월 단양 개인별 STAT'!$E:$E, $E148) + SUMIFS('4월 삼척 개인별 STAT'!AF:AF, '4월 삼척 개인별 STAT'!$D:$D, $D148, '4월 삼척 개인별 STAT'!$E:$E, $E148)</f>
        <v>0</v>
      </c>
      <c r="AG148" s="36" t="str">
        <f t="shared" si="9"/>
        <v>-</v>
      </c>
      <c r="AH148" s="20">
        <f>SUMIFS('3월 단양 개인별 STAT'!AH:AH, '3월 단양 개인별 STAT'!$D:$D, $D148, '3월 단양 개인별 STAT'!$E:$E, $E148) + SUMIFS('4월 삼척 개인별 STAT'!AH:AH, '4월 삼척 개인별 STAT'!$D:$D, $D148, '4월 삼척 개인별 STAT'!$E:$E, $E148)</f>
        <v>0</v>
      </c>
      <c r="AI148" s="34" t="str">
        <f t="shared" si="10"/>
        <v>-</v>
      </c>
      <c r="AJ148" s="25"/>
      <c r="AL148" s="27" t="str">
        <f t="shared" si="11"/>
        <v>-</v>
      </c>
      <c r="AM148" s="27" t="str">
        <f t="shared" si="30"/>
        <v>-</v>
      </c>
      <c r="AN148" s="28" t="str">
        <f t="shared" si="13"/>
        <v>-</v>
      </c>
      <c r="AO148" s="27" t="str">
        <f t="shared" si="14"/>
        <v>-</v>
      </c>
      <c r="AP148" s="27" t="str">
        <f t="shared" si="15"/>
        <v>-</v>
      </c>
      <c r="AQ148" s="27" t="str">
        <f t="shared" ref="AQ148:AR148" si="162">iferror(AB148/$M148,"-")</f>
        <v>-</v>
      </c>
      <c r="AR148" s="27" t="str">
        <f t="shared" si="162"/>
        <v>-</v>
      </c>
      <c r="AS148" s="29" t="str">
        <f t="shared" si="17"/>
        <v>-</v>
      </c>
      <c r="AT148" s="29" t="str">
        <f t="shared" si="18"/>
        <v>-</v>
      </c>
    </row>
    <row r="149">
      <c r="B149" s="17">
        <v>146.0</v>
      </c>
      <c r="C149" s="18">
        <f t="shared" si="2"/>
        <v>2</v>
      </c>
      <c r="D149" s="18"/>
      <c r="E149" s="18"/>
      <c r="F149" s="37"/>
      <c r="G149" s="37"/>
      <c r="H149" s="37"/>
      <c r="I149" s="37"/>
      <c r="J149" s="37"/>
      <c r="K149" s="38"/>
      <c r="L149" s="20">
        <f>SUMIFS('3월 단양 개인별 STAT'!L:L, '3월 단양 개인별 STAT'!$D:$D, $D149, '3월 단양 개인별 STAT'!$E:$E, $E149) + SUMIFS('4월 삼척 개인별 STAT'!L:L, '4월 삼척 개인별 STAT'!$D:$D, $D149, '4월 삼척 개인별 STAT'!$E:$E, $E149)</f>
        <v>0</v>
      </c>
      <c r="M149" s="20">
        <f>SUMIFS('3월 단양 개인별 STAT'!M:M, '3월 단양 개인별 STAT'!$D:$D, $D149, '3월 단양 개인별 STAT'!$E:$E, $E149) + SUMIFS('4월 삼척 개인별 STAT'!M:M, '4월 삼척 개인별 STAT'!$D:$D, $D149, '4월 삼척 개인별 STAT'!$E:$E, $E149)</f>
        <v>0</v>
      </c>
      <c r="N149" s="20">
        <f>SUMIFS('3월 단양 개인별 STAT'!N:N, '3월 단양 개인별 STAT'!$D:$D, $D149, '3월 단양 개인별 STAT'!$E:$E, $E149) + SUMIFS('4월 삼척 개인별 STAT'!N:N, '4월 삼척 개인별 STAT'!$D:$D, $D149, '4월 삼척 개인별 STAT'!$E:$E, $E149)</f>
        <v>0</v>
      </c>
      <c r="O149" s="20">
        <f>SUMIFS('3월 단양 개인별 STAT'!O:O, '3월 단양 개인별 STAT'!$D:$D, $D149, '3월 단양 개인별 STAT'!$E:$E, $E149) + SUMIFS('4월 삼척 개인별 STAT'!O:O, '4월 삼척 개인별 STAT'!$D:$D, $D149, '4월 삼척 개인별 STAT'!$E:$E, $E149)</f>
        <v>0</v>
      </c>
      <c r="P149" s="20">
        <f>SUMIFS('3월 단양 개인별 STAT'!P:P, '3월 단양 개인별 STAT'!$D:$D, $D149, '3월 단양 개인별 STAT'!$E:$E, $E149) + SUMIFS('4월 삼척 개인별 STAT'!P:P, '4월 삼척 개인별 STAT'!$D:$D, $D149, '4월 삼척 개인별 STAT'!$E:$E, $E149)</f>
        <v>0</v>
      </c>
      <c r="Q149" s="20">
        <f>SUMIFS('3월 단양 개인별 STAT'!Q:Q, '3월 단양 개인별 STAT'!$D:$D, $D149, '3월 단양 개인별 STAT'!$E:$E, $E149) + SUMIFS('4월 삼척 개인별 STAT'!Q:Q, '4월 삼척 개인별 STAT'!$D:$D, $D149, '4월 삼척 개인별 STAT'!$E:$E, $E149)</f>
        <v>0</v>
      </c>
      <c r="R149" s="33" t="str">
        <f t="shared" si="3"/>
        <v>-</v>
      </c>
      <c r="S149" s="34" t="str">
        <f t="shared" si="4"/>
        <v>-</v>
      </c>
      <c r="T149" s="39"/>
      <c r="U149" s="38"/>
      <c r="V149" s="38"/>
      <c r="W149" s="38"/>
      <c r="X149" s="38"/>
      <c r="Y149" s="40"/>
      <c r="Z149" s="33" t="str">
        <f t="shared" si="5"/>
        <v>-</v>
      </c>
      <c r="AA149" s="41"/>
      <c r="AB149" s="33" t="str">
        <f t="shared" si="6"/>
        <v>-</v>
      </c>
      <c r="AC149" s="23">
        <f t="shared" si="7"/>
        <v>0</v>
      </c>
      <c r="AD149" s="33" t="str">
        <f t="shared" si="8"/>
        <v>-</v>
      </c>
      <c r="AE149" s="20">
        <f>SUMIFS('3월 단양 개인별 STAT'!AE:AE, '3월 단양 개인별 STAT'!$D:$D, $D149, '3월 단양 개인별 STAT'!$E:$E, $E149) + SUMIFS('4월 삼척 개인별 STAT'!AE:AE, '4월 삼척 개인별 STAT'!$D:$D, $D149, '4월 삼척 개인별 STAT'!$E:$E, $E149)</f>
        <v>0</v>
      </c>
      <c r="AF149" s="20">
        <f>SUMIFS('3월 단양 개인별 STAT'!AF:AF, '3월 단양 개인별 STAT'!$D:$D, $D149, '3월 단양 개인별 STAT'!$E:$E, $E149) + SUMIFS('4월 삼척 개인별 STAT'!AF:AF, '4월 삼척 개인별 STAT'!$D:$D, $D149, '4월 삼척 개인별 STAT'!$E:$E, $E149)</f>
        <v>0</v>
      </c>
      <c r="AG149" s="36" t="str">
        <f t="shared" si="9"/>
        <v>-</v>
      </c>
      <c r="AH149" s="20">
        <f>SUMIFS('3월 단양 개인별 STAT'!AH:AH, '3월 단양 개인별 STAT'!$D:$D, $D149, '3월 단양 개인별 STAT'!$E:$E, $E149) + SUMIFS('4월 삼척 개인별 STAT'!AH:AH, '4월 삼척 개인별 STAT'!$D:$D, $D149, '4월 삼척 개인별 STAT'!$E:$E, $E149)</f>
        <v>0</v>
      </c>
      <c r="AI149" s="34" t="str">
        <f t="shared" si="10"/>
        <v>-</v>
      </c>
      <c r="AJ149" s="25"/>
      <c r="AL149" s="27" t="str">
        <f t="shared" si="11"/>
        <v>-</v>
      </c>
      <c r="AM149" s="27" t="str">
        <f t="shared" si="30"/>
        <v>-</v>
      </c>
      <c r="AN149" s="28" t="str">
        <f t="shared" si="13"/>
        <v>-</v>
      </c>
      <c r="AO149" s="27" t="str">
        <f t="shared" si="14"/>
        <v>-</v>
      </c>
      <c r="AP149" s="27" t="str">
        <f t="shared" si="15"/>
        <v>-</v>
      </c>
      <c r="AQ149" s="27" t="str">
        <f t="shared" ref="AQ149:AR149" si="163">iferror(AB149/$M149,"-")</f>
        <v>-</v>
      </c>
      <c r="AR149" s="27" t="str">
        <f t="shared" si="163"/>
        <v>-</v>
      </c>
      <c r="AS149" s="29" t="str">
        <f t="shared" si="17"/>
        <v>-</v>
      </c>
      <c r="AT149" s="29" t="str">
        <f t="shared" si="18"/>
        <v>-</v>
      </c>
    </row>
    <row r="150">
      <c r="B150" s="17">
        <v>147.0</v>
      </c>
      <c r="C150" s="18">
        <f t="shared" si="2"/>
        <v>3</v>
      </c>
      <c r="D150" s="18"/>
      <c r="E150" s="18"/>
      <c r="F150" s="37"/>
      <c r="G150" s="37"/>
      <c r="H150" s="37"/>
      <c r="I150" s="37"/>
      <c r="J150" s="37"/>
      <c r="K150" s="38"/>
      <c r="L150" s="20">
        <f>SUMIFS('3월 단양 개인별 STAT'!L:L, '3월 단양 개인별 STAT'!$D:$D, $D150, '3월 단양 개인별 STAT'!$E:$E, $E150) + SUMIFS('4월 삼척 개인별 STAT'!L:L, '4월 삼척 개인별 STAT'!$D:$D, $D150, '4월 삼척 개인별 STAT'!$E:$E, $E150)</f>
        <v>0</v>
      </c>
      <c r="M150" s="20">
        <f>SUMIFS('3월 단양 개인별 STAT'!M:M, '3월 단양 개인별 STAT'!$D:$D, $D150, '3월 단양 개인별 STAT'!$E:$E, $E150) + SUMIFS('4월 삼척 개인별 STAT'!M:M, '4월 삼척 개인별 STAT'!$D:$D, $D150, '4월 삼척 개인별 STAT'!$E:$E, $E150)</f>
        <v>0</v>
      </c>
      <c r="N150" s="20">
        <f>SUMIFS('3월 단양 개인별 STAT'!N:N, '3월 단양 개인별 STAT'!$D:$D, $D150, '3월 단양 개인별 STAT'!$E:$E, $E150) + SUMIFS('4월 삼척 개인별 STAT'!N:N, '4월 삼척 개인별 STAT'!$D:$D, $D150, '4월 삼척 개인별 STAT'!$E:$E, $E150)</f>
        <v>0</v>
      </c>
      <c r="O150" s="20">
        <f>SUMIFS('3월 단양 개인별 STAT'!O:O, '3월 단양 개인별 STAT'!$D:$D, $D150, '3월 단양 개인별 STAT'!$E:$E, $E150) + SUMIFS('4월 삼척 개인별 STAT'!O:O, '4월 삼척 개인별 STAT'!$D:$D, $D150, '4월 삼척 개인별 STAT'!$E:$E, $E150)</f>
        <v>0</v>
      </c>
      <c r="P150" s="20">
        <f>SUMIFS('3월 단양 개인별 STAT'!P:P, '3월 단양 개인별 STAT'!$D:$D, $D150, '3월 단양 개인별 STAT'!$E:$E, $E150) + SUMIFS('4월 삼척 개인별 STAT'!P:P, '4월 삼척 개인별 STAT'!$D:$D, $D150, '4월 삼척 개인별 STAT'!$E:$E, $E150)</f>
        <v>0</v>
      </c>
      <c r="Q150" s="20">
        <f>SUMIFS('3월 단양 개인별 STAT'!Q:Q, '3월 단양 개인별 STAT'!$D:$D, $D150, '3월 단양 개인별 STAT'!$E:$E, $E150) + SUMIFS('4월 삼척 개인별 STAT'!Q:Q, '4월 삼척 개인별 STAT'!$D:$D, $D150, '4월 삼척 개인별 STAT'!$E:$E, $E150)</f>
        <v>0</v>
      </c>
      <c r="R150" s="33" t="str">
        <f t="shared" si="3"/>
        <v>-</v>
      </c>
      <c r="S150" s="34" t="str">
        <f t="shared" si="4"/>
        <v>-</v>
      </c>
      <c r="T150" s="39"/>
      <c r="U150" s="38"/>
      <c r="V150" s="38"/>
      <c r="W150" s="38"/>
      <c r="X150" s="38"/>
      <c r="Y150" s="40"/>
      <c r="Z150" s="33" t="str">
        <f t="shared" si="5"/>
        <v>-</v>
      </c>
      <c r="AA150" s="41"/>
      <c r="AB150" s="33" t="str">
        <f t="shared" si="6"/>
        <v>-</v>
      </c>
      <c r="AC150" s="23">
        <f t="shared" si="7"/>
        <v>0</v>
      </c>
      <c r="AD150" s="33" t="str">
        <f t="shared" si="8"/>
        <v>-</v>
      </c>
      <c r="AE150" s="20">
        <f>SUMIFS('3월 단양 개인별 STAT'!AE:AE, '3월 단양 개인별 STAT'!$D:$D, $D150, '3월 단양 개인별 STAT'!$E:$E, $E150) + SUMIFS('4월 삼척 개인별 STAT'!AE:AE, '4월 삼척 개인별 STAT'!$D:$D, $D150, '4월 삼척 개인별 STAT'!$E:$E, $E150)</f>
        <v>0</v>
      </c>
      <c r="AF150" s="20">
        <f>SUMIFS('3월 단양 개인별 STAT'!AF:AF, '3월 단양 개인별 STAT'!$D:$D, $D150, '3월 단양 개인별 STAT'!$E:$E, $E150) + SUMIFS('4월 삼척 개인별 STAT'!AF:AF, '4월 삼척 개인별 STAT'!$D:$D, $D150, '4월 삼척 개인별 STAT'!$E:$E, $E150)</f>
        <v>0</v>
      </c>
      <c r="AG150" s="36" t="str">
        <f t="shared" si="9"/>
        <v>-</v>
      </c>
      <c r="AH150" s="20">
        <f>SUMIFS('3월 단양 개인별 STAT'!AH:AH, '3월 단양 개인별 STAT'!$D:$D, $D150, '3월 단양 개인별 STAT'!$E:$E, $E150) + SUMIFS('4월 삼척 개인별 STAT'!AH:AH, '4월 삼척 개인별 STAT'!$D:$D, $D150, '4월 삼척 개인별 STAT'!$E:$E, $E150)</f>
        <v>0</v>
      </c>
      <c r="AI150" s="34" t="str">
        <f t="shared" si="10"/>
        <v>-</v>
      </c>
      <c r="AJ150" s="25"/>
      <c r="AL150" s="27" t="str">
        <f t="shared" si="11"/>
        <v>-</v>
      </c>
      <c r="AM150" s="27" t="str">
        <f t="shared" si="30"/>
        <v>-</v>
      </c>
      <c r="AN150" s="28" t="str">
        <f t="shared" si="13"/>
        <v>-</v>
      </c>
      <c r="AO150" s="27" t="str">
        <f t="shared" si="14"/>
        <v>-</v>
      </c>
      <c r="AP150" s="27" t="str">
        <f t="shared" si="15"/>
        <v>-</v>
      </c>
      <c r="AQ150" s="27" t="str">
        <f t="shared" ref="AQ150:AR150" si="164">iferror(AB150/$M150,"-")</f>
        <v>-</v>
      </c>
      <c r="AR150" s="27" t="str">
        <f t="shared" si="164"/>
        <v>-</v>
      </c>
      <c r="AS150" s="29" t="str">
        <f t="shared" si="17"/>
        <v>-</v>
      </c>
      <c r="AT150" s="29" t="str">
        <f t="shared" si="18"/>
        <v>-</v>
      </c>
    </row>
    <row r="151">
      <c r="B151" s="17">
        <v>148.0</v>
      </c>
      <c r="C151" s="18">
        <f t="shared" si="2"/>
        <v>4</v>
      </c>
      <c r="D151" s="18"/>
      <c r="E151" s="18"/>
      <c r="F151" s="37"/>
      <c r="G151" s="37"/>
      <c r="H151" s="37"/>
      <c r="I151" s="37"/>
      <c r="J151" s="37"/>
      <c r="K151" s="38"/>
      <c r="L151" s="38"/>
      <c r="M151" s="38"/>
      <c r="N151" s="38"/>
      <c r="O151" s="38"/>
      <c r="P151" s="38"/>
      <c r="Q151" s="40"/>
      <c r="R151" s="33" t="str">
        <f t="shared" si="3"/>
        <v>-</v>
      </c>
      <c r="S151" s="34" t="str">
        <f t="shared" si="4"/>
        <v>-</v>
      </c>
      <c r="T151" s="39"/>
      <c r="U151" s="38"/>
      <c r="V151" s="38"/>
      <c r="W151" s="38"/>
      <c r="X151" s="38"/>
      <c r="Y151" s="40"/>
      <c r="Z151" s="33" t="str">
        <f t="shared" si="5"/>
        <v>-</v>
      </c>
      <c r="AA151" s="41"/>
      <c r="AB151" s="33" t="str">
        <f t="shared" si="6"/>
        <v>-</v>
      </c>
      <c r="AC151" s="23">
        <f t="shared" si="7"/>
        <v>0</v>
      </c>
      <c r="AD151" s="33" t="str">
        <f t="shared" si="8"/>
        <v>-</v>
      </c>
      <c r="AE151" s="20">
        <f>SUMIFS('3월 단양 개인별 STAT'!AE:AE, '3월 단양 개인별 STAT'!$D:$D, $D151, '3월 단양 개인별 STAT'!$E:$E, $E151) + SUMIFS('4월 삼척 개인별 STAT'!AE:AE, '4월 삼척 개인별 STAT'!$D:$D, $D151, '4월 삼척 개인별 STAT'!$E:$E, $E151)</f>
        <v>0</v>
      </c>
      <c r="AF151" s="20">
        <f>SUMIFS('3월 단양 개인별 STAT'!AF:AF, '3월 단양 개인별 STAT'!$D:$D, $D151, '3월 단양 개인별 STAT'!$E:$E, $E151) + SUMIFS('4월 삼척 개인별 STAT'!AF:AF, '4월 삼척 개인별 STAT'!$D:$D, $D151, '4월 삼척 개인별 STAT'!$E:$E, $E151)</f>
        <v>0</v>
      </c>
      <c r="AG151" s="36" t="str">
        <f t="shared" si="9"/>
        <v>-</v>
      </c>
      <c r="AH151" s="20">
        <f>SUMIFS('3월 단양 개인별 STAT'!AH:AH, '3월 단양 개인별 STAT'!$D:$D, $D151, '3월 단양 개인별 STAT'!$E:$E, $E151) + SUMIFS('4월 삼척 개인별 STAT'!AH:AH, '4월 삼척 개인별 STAT'!$D:$D, $D151, '4월 삼척 개인별 STAT'!$E:$E, $E151)</f>
        <v>0</v>
      </c>
      <c r="AI151" s="34" t="str">
        <f t="shared" si="10"/>
        <v>-</v>
      </c>
      <c r="AJ151" s="25"/>
      <c r="AL151" s="27" t="str">
        <f t="shared" si="11"/>
        <v>-</v>
      </c>
      <c r="AM151" s="27" t="str">
        <f t="shared" si="30"/>
        <v>-</v>
      </c>
      <c r="AN151" s="28" t="str">
        <f t="shared" si="13"/>
        <v>-</v>
      </c>
      <c r="AO151" s="27" t="str">
        <f t="shared" si="14"/>
        <v>-</v>
      </c>
      <c r="AP151" s="27" t="str">
        <f t="shared" si="15"/>
        <v>-</v>
      </c>
      <c r="AQ151" s="27" t="str">
        <f t="shared" ref="AQ151:AR151" si="165">iferror(AB151/$M151,"-")</f>
        <v>-</v>
      </c>
      <c r="AR151" s="27" t="str">
        <f t="shared" si="165"/>
        <v>-</v>
      </c>
      <c r="AS151" s="29" t="str">
        <f t="shared" si="17"/>
        <v>-</v>
      </c>
      <c r="AT151" s="29" t="str">
        <f t="shared" si="18"/>
        <v>-</v>
      </c>
    </row>
    <row r="152">
      <c r="B152" s="17"/>
      <c r="C152" s="18"/>
      <c r="D152" s="18" t="s">
        <v>208</v>
      </c>
      <c r="E152" s="18"/>
      <c r="F152" s="37"/>
      <c r="G152" s="37"/>
      <c r="H152" s="37"/>
      <c r="I152" s="37"/>
      <c r="J152" s="37"/>
      <c r="K152" s="38"/>
      <c r="L152" s="38">
        <f t="shared" ref="L152:Q152" si="166">SUM(L4:L151)</f>
        <v>487</v>
      </c>
      <c r="M152" s="38">
        <f t="shared" si="166"/>
        <v>1497</v>
      </c>
      <c r="N152" s="38">
        <f t="shared" si="166"/>
        <v>2032</v>
      </c>
      <c r="O152" s="38">
        <f t="shared" si="166"/>
        <v>1900</v>
      </c>
      <c r="P152" s="38">
        <f t="shared" si="166"/>
        <v>2486</v>
      </c>
      <c r="Q152" s="38">
        <f t="shared" si="166"/>
        <v>834</v>
      </c>
      <c r="R152" s="35">
        <f t="shared" si="3"/>
        <v>5352</v>
      </c>
      <c r="S152" s="34">
        <f t="shared" si="4"/>
        <v>0.22</v>
      </c>
      <c r="T152" s="38">
        <f t="shared" ref="T152:Y152" si="167">SUM(T4:T151)</f>
        <v>258</v>
      </c>
      <c r="U152" s="38">
        <f t="shared" si="167"/>
        <v>31</v>
      </c>
      <c r="V152" s="38">
        <f t="shared" si="167"/>
        <v>187</v>
      </c>
      <c r="W152" s="38">
        <f t="shared" si="167"/>
        <v>2968</v>
      </c>
      <c r="X152" s="38">
        <f t="shared" si="167"/>
        <v>302</v>
      </c>
      <c r="Y152" s="38">
        <f t="shared" si="167"/>
        <v>392</v>
      </c>
      <c r="Z152" s="35">
        <f t="shared" si="5"/>
        <v>3662</v>
      </c>
      <c r="AA152" s="38">
        <f>SUM(AA4:AA151)</f>
        <v>102</v>
      </c>
      <c r="AB152" s="35">
        <f t="shared" si="6"/>
        <v>2592</v>
      </c>
      <c r="AC152" s="23">
        <f t="shared" si="7"/>
        <v>2732.25</v>
      </c>
      <c r="AD152" s="35">
        <f t="shared" si="8"/>
        <v>3403</v>
      </c>
      <c r="AE152" s="38">
        <f t="shared" ref="AE152:AF152" si="168">SUM(AE4:AE151)</f>
        <v>2996</v>
      </c>
      <c r="AF152" s="38">
        <f t="shared" si="168"/>
        <v>407</v>
      </c>
      <c r="AG152" s="36">
        <f t="shared" si="9"/>
        <v>88.03996474</v>
      </c>
      <c r="AH152" s="38">
        <f>SUM(AH4:AH151)</f>
        <v>2164</v>
      </c>
      <c r="AI152" s="34" t="str">
        <f t="shared" si="10"/>
        <v>1.45</v>
      </c>
      <c r="AL152" s="27">
        <f t="shared" si="11"/>
        <v>1.35738143</v>
      </c>
      <c r="AM152" s="27">
        <f t="shared" si="30"/>
        <v>3.575150301</v>
      </c>
      <c r="AN152" s="28">
        <f t="shared" si="13"/>
        <v>0.379671151</v>
      </c>
      <c r="AO152" s="27">
        <f t="shared" si="14"/>
        <v>0.1723446894</v>
      </c>
      <c r="AP152" s="27">
        <f t="shared" si="15"/>
        <v>0.2017368069</v>
      </c>
      <c r="AQ152" s="27">
        <f t="shared" ref="AQ152:AR152" si="169">iferror(AB152/$M152,"-")</f>
        <v>1.731462926</v>
      </c>
      <c r="AR152" s="27">
        <f t="shared" si="169"/>
        <v>1.825150301</v>
      </c>
      <c r="AS152" s="29">
        <f t="shared" si="17"/>
        <v>0.2718770875</v>
      </c>
      <c r="AT152" s="29" t="str">
        <f t="shared" si="18"/>
        <v>1.45</v>
      </c>
    </row>
  </sheetData>
  <mergeCells count="2">
    <mergeCell ref="B1:AI1"/>
    <mergeCell ref="B3:C3"/>
  </mergeCells>
  <conditionalFormatting sqref="S4:S152">
    <cfRule type="cellIs" dxfId="3" priority="1" operator="lessThan">
      <formula>0</formula>
    </cfRule>
  </conditionalFormatting>
  <conditionalFormatting sqref="D4:E152">
    <cfRule type="cellIs" dxfId="4" priority="2" operator="equal">
      <formula>"광주체고"</formula>
    </cfRule>
  </conditionalFormatting>
  <conditionalFormatting sqref="D4:E152">
    <cfRule type="cellIs" dxfId="5" priority="3" operator="equal">
      <formula>"경일고"</formula>
    </cfRule>
  </conditionalFormatting>
  <conditionalFormatting sqref="D4:E152">
    <cfRule type="cellIs" dxfId="6" priority="4" operator="equal">
      <formula>"천안청수"</formula>
    </cfRule>
  </conditionalFormatting>
  <conditionalFormatting sqref="D4:E152">
    <cfRule type="containsText" dxfId="7" priority="5" operator="containsText" text="강릉여고">
      <formula>NOT(ISERROR(SEARCH(("강릉여고"),(D4))))</formula>
    </cfRule>
  </conditionalFormatting>
  <conditionalFormatting sqref="D4:E152">
    <cfRule type="containsText" dxfId="8" priority="6" operator="containsText" text="경남여고">
      <formula>NOT(ISERROR(SEARCH(("경남여고"),(D4))))</formula>
    </cfRule>
  </conditionalFormatting>
  <conditionalFormatting sqref="D4:E152">
    <cfRule type="cellIs" dxfId="9" priority="7" operator="equal">
      <formula>"제천여고"</formula>
    </cfRule>
  </conditionalFormatting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0.5"/>
    <col customWidth="1" min="2" max="2" width="4.13"/>
    <col customWidth="1" min="3" max="3" width="4.38"/>
    <col customWidth="1" min="4" max="4" width="10.25"/>
    <col customWidth="1" min="5" max="5" width="8.13"/>
    <col customWidth="1" min="6" max="10" width="5.88"/>
    <col customWidth="1" min="11" max="11" width="5.5"/>
    <col customWidth="1" min="12" max="17" width="6.13"/>
    <col customWidth="1" min="18" max="18" width="6.88"/>
    <col customWidth="1" min="19" max="19" width="7.38"/>
    <col customWidth="1" min="20" max="27" width="6.13"/>
    <col customWidth="1" min="28" max="28" width="7.25"/>
    <col customWidth="1" min="29" max="29" width="6.88"/>
    <col customWidth="1" min="30" max="32" width="6.13"/>
    <col customWidth="1" min="33" max="33" width="6.63"/>
    <col customWidth="1" min="34" max="35" width="6.13"/>
    <col customWidth="1" min="36" max="37" width="4.25"/>
    <col customWidth="1" min="38" max="50" width="6.13"/>
  </cols>
  <sheetData>
    <row r="1">
      <c r="A1" s="1"/>
      <c r="B1" s="1" t="s">
        <v>209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C2" s="2" t="s">
        <v>210</v>
      </c>
      <c r="AL2" s="3" t="s">
        <v>2</v>
      </c>
      <c r="AM2" s="4"/>
      <c r="AN2" s="4"/>
      <c r="AO2" s="4"/>
      <c r="AP2" s="4"/>
      <c r="AQ2" s="5"/>
      <c r="AR2" s="5"/>
      <c r="AS2" s="5"/>
      <c r="AT2" s="5"/>
    </row>
    <row r="3" ht="70.5" customHeight="1">
      <c r="B3" s="6" t="s">
        <v>3</v>
      </c>
      <c r="C3" s="7"/>
      <c r="D3" s="8" t="s">
        <v>4</v>
      </c>
      <c r="E3" s="8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1" t="s">
        <v>18</v>
      </c>
      <c r="S3" s="12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1" t="s">
        <v>26</v>
      </c>
      <c r="AA3" s="10" t="s">
        <v>27</v>
      </c>
      <c r="AB3" s="11" t="s">
        <v>28</v>
      </c>
      <c r="AC3" s="11" t="s">
        <v>211</v>
      </c>
      <c r="AD3" s="11" t="s">
        <v>30</v>
      </c>
      <c r="AE3" s="10" t="s">
        <v>31</v>
      </c>
      <c r="AF3" s="10" t="s">
        <v>32</v>
      </c>
      <c r="AG3" s="11" t="s">
        <v>33</v>
      </c>
      <c r="AH3" s="10" t="s">
        <v>34</v>
      </c>
      <c r="AI3" s="13" t="s">
        <v>35</v>
      </c>
      <c r="AJ3" s="14"/>
      <c r="AK3" s="14"/>
      <c r="AL3" s="9" t="s">
        <v>36</v>
      </c>
      <c r="AM3" s="15" t="s">
        <v>37</v>
      </c>
      <c r="AN3" s="16" t="s">
        <v>38</v>
      </c>
      <c r="AO3" s="9" t="s">
        <v>39</v>
      </c>
      <c r="AP3" s="9" t="s">
        <v>40</v>
      </c>
      <c r="AQ3" s="15" t="s">
        <v>41</v>
      </c>
      <c r="AR3" s="15" t="s">
        <v>212</v>
      </c>
      <c r="AS3" s="9" t="s">
        <v>43</v>
      </c>
      <c r="AT3" s="9" t="s">
        <v>44</v>
      </c>
      <c r="AU3" s="14"/>
      <c r="AV3" s="14"/>
      <c r="AW3" s="14"/>
      <c r="AX3" s="14"/>
    </row>
    <row r="4">
      <c r="B4" s="17">
        <v>1.0</v>
      </c>
      <c r="C4" s="18">
        <f t="shared" ref="C4:C114" si="2">if(D4=D3,C3+1,1)</f>
        <v>1</v>
      </c>
      <c r="D4" s="19" t="s">
        <v>45</v>
      </c>
      <c r="E4" s="19" t="s">
        <v>46</v>
      </c>
      <c r="F4" s="19">
        <v>3.0</v>
      </c>
      <c r="G4" s="19" t="s">
        <v>47</v>
      </c>
      <c r="H4" s="19" t="s">
        <v>48</v>
      </c>
      <c r="I4" s="19">
        <v>182.0</v>
      </c>
      <c r="J4" s="19">
        <v>65.0</v>
      </c>
      <c r="K4" s="20">
        <v>1.0</v>
      </c>
      <c r="L4" s="20">
        <v>2.0</v>
      </c>
      <c r="M4" s="20">
        <v>7.0</v>
      </c>
      <c r="N4" s="20">
        <v>5.0</v>
      </c>
      <c r="O4" s="20">
        <v>0.0</v>
      </c>
      <c r="P4" s="20">
        <v>5.0</v>
      </c>
      <c r="Q4" s="20">
        <v>4.0</v>
      </c>
      <c r="R4" s="21">
        <f t="shared" ref="R4:R116" si="3">if(Q4+P4+N4=0,"-",Q4+P4+N4)</f>
        <v>14</v>
      </c>
      <c r="S4" s="22">
        <f t="shared" ref="S4:S116" si="4">if(iferror((N4-Q4)/R4,0)=0,"-",round((N4-Q4)/R4,2))</f>
        <v>0.07</v>
      </c>
      <c r="T4" s="20">
        <v>3.0</v>
      </c>
      <c r="U4" s="20">
        <v>0.0</v>
      </c>
      <c r="V4" s="20">
        <v>0.0</v>
      </c>
      <c r="W4" s="20">
        <v>30.0</v>
      </c>
      <c r="X4" s="20">
        <v>1.0</v>
      </c>
      <c r="Y4" s="20">
        <v>0.0</v>
      </c>
      <c r="Z4" s="21">
        <f t="shared" ref="Z4:Z116" si="5">IF(Y4+X4+W4=0,"-",Y4+X4+W4)</f>
        <v>31</v>
      </c>
      <c r="AA4" s="20">
        <v>0.0</v>
      </c>
      <c r="AB4" s="21">
        <f t="shared" ref="AB4:AB116" si="6">if((T4+X4+N4)=0, "-",T4+X4+N4)</f>
        <v>9</v>
      </c>
      <c r="AC4" s="23">
        <f t="shared" ref="AC4:AC116" si="7">N4+T4+X4+(V4*0.75)</f>
        <v>9</v>
      </c>
      <c r="AD4" s="21">
        <f t="shared" ref="AD4:AD116" si="8">IF(AE4+AF4=0,"-",AE4+AF4)</f>
        <v>2</v>
      </c>
      <c r="AE4" s="20">
        <v>2.0</v>
      </c>
      <c r="AF4" s="20">
        <v>0.0</v>
      </c>
      <c r="AG4" s="24">
        <f t="shared" ref="AG4:AG116" si="9">iferror((AE4/AD4)*100,"-")</f>
        <v>100</v>
      </c>
      <c r="AH4" s="20">
        <v>3.0</v>
      </c>
      <c r="AI4" s="22" t="str">
        <f t="shared" ref="AI4:AI116" si="10">IFERROR(IF(MOD(AH4/M4, 1)=0, TEXT(AH4/M4, "0"), TEXT(AH4/M4, "0.00")), "-")</f>
        <v>0.43</v>
      </c>
      <c r="AJ4" s="26"/>
      <c r="AK4" s="26"/>
      <c r="AL4" s="27">
        <f t="shared" ref="AL4:AL115" si="11">iferror(N4/$M4,"-")</f>
        <v>0.7142857143</v>
      </c>
      <c r="AM4" s="27">
        <f t="shared" ref="AM4:AM115" si="12">iferror(R4/$M4,"-")</f>
        <v>2</v>
      </c>
      <c r="AN4" s="28">
        <f t="shared" ref="AN4:AN115" si="13">iferror(N4/R4,"-")</f>
        <v>0.3571428571</v>
      </c>
      <c r="AO4" s="27">
        <f t="shared" ref="AO4:AO115" si="14">iferror(T4/$M4,"-")</f>
        <v>0.4285714286</v>
      </c>
      <c r="AP4" s="27">
        <f t="shared" ref="AP4:AP115" si="15">iferror(X4/$M4,"-")</f>
        <v>0.1428571429</v>
      </c>
      <c r="AQ4" s="27">
        <f t="shared" ref="AQ4:AR4" si="1">iferror(AB4/$M4,"-")</f>
        <v>1.285714286</v>
      </c>
      <c r="AR4" s="27">
        <f t="shared" si="1"/>
        <v>1.285714286</v>
      </c>
      <c r="AS4" s="29">
        <f t="shared" ref="AS4:AS115" si="17">iferror(AF4/M4,"-")</f>
        <v>0</v>
      </c>
      <c r="AT4" s="29" t="str">
        <f t="shared" ref="AT4:AT115" si="18">AI4</f>
        <v>0.43</v>
      </c>
      <c r="AU4" s="26"/>
      <c r="AV4" s="26"/>
      <c r="AW4" s="26"/>
      <c r="AX4" s="26"/>
    </row>
    <row r="5">
      <c r="B5" s="17">
        <v>2.0</v>
      </c>
      <c r="C5" s="18">
        <f t="shared" si="2"/>
        <v>2</v>
      </c>
      <c r="D5" s="19" t="s">
        <v>45</v>
      </c>
      <c r="E5" s="19" t="s">
        <v>49</v>
      </c>
      <c r="F5" s="19">
        <v>3.0</v>
      </c>
      <c r="G5" s="19" t="s">
        <v>50</v>
      </c>
      <c r="H5" s="19" t="s">
        <v>48</v>
      </c>
      <c r="I5" s="19">
        <v>161.0</v>
      </c>
      <c r="J5" s="19">
        <v>59.0</v>
      </c>
      <c r="K5" s="20">
        <v>3.0</v>
      </c>
      <c r="L5" s="20">
        <v>2.0</v>
      </c>
      <c r="M5" s="20">
        <v>7.0</v>
      </c>
      <c r="N5" s="20">
        <v>0.0</v>
      </c>
      <c r="O5" s="20">
        <v>4.0</v>
      </c>
      <c r="P5" s="20">
        <v>0.0</v>
      </c>
      <c r="Q5" s="20">
        <v>0.0</v>
      </c>
      <c r="R5" s="30" t="str">
        <f t="shared" si="3"/>
        <v>-</v>
      </c>
      <c r="S5" s="22" t="str">
        <f t="shared" si="4"/>
        <v>-</v>
      </c>
      <c r="T5" s="20">
        <v>0.0</v>
      </c>
      <c r="U5" s="20">
        <v>0.0</v>
      </c>
      <c r="V5" s="20">
        <v>0.0</v>
      </c>
      <c r="W5" s="20">
        <v>0.0</v>
      </c>
      <c r="X5" s="20">
        <v>0.0</v>
      </c>
      <c r="Y5" s="20">
        <v>0.0</v>
      </c>
      <c r="Z5" s="30" t="str">
        <f t="shared" si="5"/>
        <v>-</v>
      </c>
      <c r="AA5" s="20">
        <v>0.0</v>
      </c>
      <c r="AB5" s="30" t="str">
        <f t="shared" si="6"/>
        <v>-</v>
      </c>
      <c r="AC5" s="23">
        <f t="shared" si="7"/>
        <v>0</v>
      </c>
      <c r="AD5" s="21">
        <f t="shared" si="8"/>
        <v>42</v>
      </c>
      <c r="AE5" s="20">
        <v>39.0</v>
      </c>
      <c r="AF5" s="20">
        <v>3.0</v>
      </c>
      <c r="AG5" s="24">
        <f t="shared" si="9"/>
        <v>92.85714286</v>
      </c>
      <c r="AH5" s="20">
        <v>18.0</v>
      </c>
      <c r="AI5" s="22" t="str">
        <f t="shared" si="10"/>
        <v>2.57</v>
      </c>
      <c r="AJ5" s="26"/>
      <c r="AK5" s="26"/>
      <c r="AL5" s="27">
        <f t="shared" si="11"/>
        <v>0</v>
      </c>
      <c r="AM5" s="27" t="str">
        <f t="shared" si="12"/>
        <v>-</v>
      </c>
      <c r="AN5" s="28" t="str">
        <f t="shared" si="13"/>
        <v>-</v>
      </c>
      <c r="AO5" s="27">
        <f t="shared" si="14"/>
        <v>0</v>
      </c>
      <c r="AP5" s="27">
        <f t="shared" si="15"/>
        <v>0</v>
      </c>
      <c r="AQ5" s="27" t="str">
        <f t="shared" ref="AQ5:AR5" si="16">iferror(AB5/$M5,"-")</f>
        <v>-</v>
      </c>
      <c r="AR5" s="27">
        <f t="shared" si="16"/>
        <v>0</v>
      </c>
      <c r="AS5" s="29">
        <f t="shared" si="17"/>
        <v>0.4285714286</v>
      </c>
      <c r="AT5" s="29" t="str">
        <f t="shared" si="18"/>
        <v>2.57</v>
      </c>
      <c r="AU5" s="26"/>
      <c r="AV5" s="26"/>
      <c r="AW5" s="26"/>
      <c r="AX5" s="26"/>
    </row>
    <row r="6">
      <c r="B6" s="17">
        <v>3.0</v>
      </c>
      <c r="C6" s="18">
        <f t="shared" si="2"/>
        <v>3</v>
      </c>
      <c r="D6" s="19" t="s">
        <v>45</v>
      </c>
      <c r="E6" s="19" t="s">
        <v>51</v>
      </c>
      <c r="F6" s="19">
        <v>3.0</v>
      </c>
      <c r="G6" s="19" t="s">
        <v>52</v>
      </c>
      <c r="H6" s="19" t="s">
        <v>48</v>
      </c>
      <c r="I6" s="19">
        <v>183.0</v>
      </c>
      <c r="J6" s="19">
        <v>66.0</v>
      </c>
      <c r="K6" s="20">
        <v>5.0</v>
      </c>
      <c r="L6" s="20">
        <v>1.0</v>
      </c>
      <c r="M6" s="20">
        <v>1.0</v>
      </c>
      <c r="N6" s="20">
        <v>0.0</v>
      </c>
      <c r="O6" s="20">
        <v>0.0</v>
      </c>
      <c r="P6" s="20">
        <v>0.0</v>
      </c>
      <c r="Q6" s="20">
        <v>0.0</v>
      </c>
      <c r="R6" s="30" t="str">
        <f t="shared" si="3"/>
        <v>-</v>
      </c>
      <c r="S6" s="22" t="str">
        <f t="shared" si="4"/>
        <v>-</v>
      </c>
      <c r="T6" s="20">
        <v>0.0</v>
      </c>
      <c r="U6" s="20">
        <v>0.0</v>
      </c>
      <c r="V6" s="20">
        <v>0.0</v>
      </c>
      <c r="W6" s="20">
        <v>2.0</v>
      </c>
      <c r="X6" s="20">
        <v>0.0</v>
      </c>
      <c r="Y6" s="20">
        <v>0.0</v>
      </c>
      <c r="Z6" s="21">
        <f t="shared" si="5"/>
        <v>2</v>
      </c>
      <c r="AA6" s="20">
        <v>0.0</v>
      </c>
      <c r="AB6" s="30" t="str">
        <f t="shared" si="6"/>
        <v>-</v>
      </c>
      <c r="AC6" s="23">
        <f t="shared" si="7"/>
        <v>0</v>
      </c>
      <c r="AD6" s="21">
        <f t="shared" si="8"/>
        <v>2</v>
      </c>
      <c r="AE6" s="20">
        <v>2.0</v>
      </c>
      <c r="AF6" s="20">
        <v>0.0</v>
      </c>
      <c r="AG6" s="24">
        <f t="shared" si="9"/>
        <v>100</v>
      </c>
      <c r="AH6" s="20">
        <v>0.0</v>
      </c>
      <c r="AI6" s="22" t="str">
        <f t="shared" si="10"/>
        <v>0</v>
      </c>
      <c r="AJ6" s="26"/>
      <c r="AK6" s="26"/>
      <c r="AL6" s="27">
        <f t="shared" si="11"/>
        <v>0</v>
      </c>
      <c r="AM6" s="27" t="str">
        <f t="shared" si="12"/>
        <v>-</v>
      </c>
      <c r="AN6" s="28" t="str">
        <f t="shared" si="13"/>
        <v>-</v>
      </c>
      <c r="AO6" s="27">
        <f t="shared" si="14"/>
        <v>0</v>
      </c>
      <c r="AP6" s="27">
        <f t="shared" si="15"/>
        <v>0</v>
      </c>
      <c r="AQ6" s="27" t="str">
        <f t="shared" ref="AQ6:AR6" si="19">iferror(AB6/$M6,"-")</f>
        <v>-</v>
      </c>
      <c r="AR6" s="27">
        <f t="shared" si="19"/>
        <v>0</v>
      </c>
      <c r="AS6" s="29">
        <f t="shared" si="17"/>
        <v>0</v>
      </c>
      <c r="AT6" s="29" t="str">
        <f t="shared" si="18"/>
        <v>0</v>
      </c>
      <c r="AU6" s="26"/>
      <c r="AV6" s="26"/>
      <c r="AW6" s="26"/>
      <c r="AX6" s="26"/>
    </row>
    <row r="7">
      <c r="B7" s="17">
        <v>4.0</v>
      </c>
      <c r="C7" s="18">
        <f t="shared" si="2"/>
        <v>4</v>
      </c>
      <c r="D7" s="19" t="s">
        <v>45</v>
      </c>
      <c r="E7" s="19" t="s">
        <v>53</v>
      </c>
      <c r="F7" s="19">
        <v>2.0</v>
      </c>
      <c r="G7" s="19" t="s">
        <v>54</v>
      </c>
      <c r="H7" s="19" t="s">
        <v>48</v>
      </c>
      <c r="I7" s="19">
        <v>167.0</v>
      </c>
      <c r="J7" s="19">
        <v>60.0</v>
      </c>
      <c r="K7" s="20">
        <v>7.0</v>
      </c>
      <c r="L7" s="20">
        <v>2.0</v>
      </c>
      <c r="M7" s="20">
        <v>7.0</v>
      </c>
      <c r="N7" s="20">
        <v>0.0</v>
      </c>
      <c r="O7" s="20">
        <v>1.0</v>
      </c>
      <c r="P7" s="20">
        <v>0.0</v>
      </c>
      <c r="Q7" s="20">
        <v>0.0</v>
      </c>
      <c r="R7" s="30" t="str">
        <f t="shared" si="3"/>
        <v>-</v>
      </c>
      <c r="S7" s="22" t="str">
        <f t="shared" si="4"/>
        <v>-</v>
      </c>
      <c r="T7" s="20">
        <v>0.0</v>
      </c>
      <c r="U7" s="20">
        <v>0.0</v>
      </c>
      <c r="V7" s="20">
        <v>0.0</v>
      </c>
      <c r="W7" s="20">
        <v>4.0</v>
      </c>
      <c r="X7" s="20">
        <v>2.0</v>
      </c>
      <c r="Y7" s="20">
        <v>3.0</v>
      </c>
      <c r="Z7" s="21">
        <f t="shared" si="5"/>
        <v>9</v>
      </c>
      <c r="AA7" s="20">
        <v>0.0</v>
      </c>
      <c r="AB7" s="21">
        <f t="shared" si="6"/>
        <v>2</v>
      </c>
      <c r="AC7" s="23">
        <f t="shared" si="7"/>
        <v>2</v>
      </c>
      <c r="AD7" s="21">
        <f t="shared" si="8"/>
        <v>1</v>
      </c>
      <c r="AE7" s="20">
        <v>1.0</v>
      </c>
      <c r="AF7" s="20">
        <v>0.0</v>
      </c>
      <c r="AG7" s="24">
        <f t="shared" si="9"/>
        <v>100</v>
      </c>
      <c r="AH7" s="20">
        <v>0.0</v>
      </c>
      <c r="AI7" s="22" t="str">
        <f t="shared" si="10"/>
        <v>0</v>
      </c>
      <c r="AJ7" s="26"/>
      <c r="AK7" s="26"/>
      <c r="AL7" s="27">
        <f t="shared" si="11"/>
        <v>0</v>
      </c>
      <c r="AM7" s="27" t="str">
        <f t="shared" si="12"/>
        <v>-</v>
      </c>
      <c r="AN7" s="28" t="str">
        <f t="shared" si="13"/>
        <v>-</v>
      </c>
      <c r="AO7" s="27">
        <f t="shared" si="14"/>
        <v>0</v>
      </c>
      <c r="AP7" s="27">
        <f t="shared" si="15"/>
        <v>0.2857142857</v>
      </c>
      <c r="AQ7" s="27">
        <f t="shared" ref="AQ7:AR7" si="20">iferror(AB7/$M7,"-")</f>
        <v>0.2857142857</v>
      </c>
      <c r="AR7" s="27">
        <f t="shared" si="20"/>
        <v>0.2857142857</v>
      </c>
      <c r="AS7" s="29">
        <f t="shared" si="17"/>
        <v>0</v>
      </c>
      <c r="AT7" s="29" t="str">
        <f t="shared" si="18"/>
        <v>0</v>
      </c>
      <c r="AU7" s="26"/>
      <c r="AV7" s="26"/>
      <c r="AW7" s="26"/>
      <c r="AX7" s="26"/>
    </row>
    <row r="8">
      <c r="B8" s="17">
        <v>5.0</v>
      </c>
      <c r="C8" s="18">
        <f t="shared" si="2"/>
        <v>5</v>
      </c>
      <c r="D8" s="19" t="s">
        <v>45</v>
      </c>
      <c r="E8" s="19" t="s">
        <v>55</v>
      </c>
      <c r="F8" s="19">
        <v>2.0</v>
      </c>
      <c r="G8" s="19" t="s">
        <v>52</v>
      </c>
      <c r="H8" s="19" t="s">
        <v>48</v>
      </c>
      <c r="I8" s="19">
        <v>168.0</v>
      </c>
      <c r="J8" s="19">
        <v>64.0</v>
      </c>
      <c r="K8" s="20">
        <v>8.0</v>
      </c>
      <c r="L8" s="20">
        <v>2.0</v>
      </c>
      <c r="M8" s="20">
        <v>6.0</v>
      </c>
      <c r="N8" s="20">
        <v>0.0</v>
      </c>
      <c r="O8" s="20">
        <v>0.0</v>
      </c>
      <c r="P8" s="20">
        <v>0.0</v>
      </c>
      <c r="Q8" s="20">
        <v>0.0</v>
      </c>
      <c r="R8" s="30" t="str">
        <f t="shared" si="3"/>
        <v>-</v>
      </c>
      <c r="S8" s="22" t="str">
        <f t="shared" si="4"/>
        <v>-</v>
      </c>
      <c r="T8" s="20">
        <v>0.0</v>
      </c>
      <c r="U8" s="20">
        <v>0.0</v>
      </c>
      <c r="V8" s="20">
        <v>0.0</v>
      </c>
      <c r="W8" s="20">
        <v>12.0</v>
      </c>
      <c r="X8" s="20">
        <v>1.0</v>
      </c>
      <c r="Y8" s="20">
        <v>0.0</v>
      </c>
      <c r="Z8" s="21">
        <f t="shared" si="5"/>
        <v>13</v>
      </c>
      <c r="AA8" s="20">
        <v>0.0</v>
      </c>
      <c r="AB8" s="21">
        <f t="shared" si="6"/>
        <v>1</v>
      </c>
      <c r="AC8" s="23">
        <f t="shared" si="7"/>
        <v>1</v>
      </c>
      <c r="AD8" s="21">
        <f t="shared" si="8"/>
        <v>9</v>
      </c>
      <c r="AE8" s="20">
        <v>8.0</v>
      </c>
      <c r="AF8" s="20">
        <v>1.0</v>
      </c>
      <c r="AG8" s="24">
        <f t="shared" si="9"/>
        <v>88.88888889</v>
      </c>
      <c r="AH8" s="20">
        <v>5.0</v>
      </c>
      <c r="AI8" s="22" t="str">
        <f t="shared" si="10"/>
        <v>0.83</v>
      </c>
      <c r="AJ8" s="26"/>
      <c r="AK8" s="26"/>
      <c r="AL8" s="27">
        <f t="shared" si="11"/>
        <v>0</v>
      </c>
      <c r="AM8" s="27" t="str">
        <f t="shared" si="12"/>
        <v>-</v>
      </c>
      <c r="AN8" s="28" t="str">
        <f t="shared" si="13"/>
        <v>-</v>
      </c>
      <c r="AO8" s="27">
        <f t="shared" si="14"/>
        <v>0</v>
      </c>
      <c r="AP8" s="27">
        <f t="shared" si="15"/>
        <v>0.1666666667</v>
      </c>
      <c r="AQ8" s="27">
        <f t="shared" ref="AQ8:AR8" si="21">iferror(AB8/$M8,"-")</f>
        <v>0.1666666667</v>
      </c>
      <c r="AR8" s="27">
        <f t="shared" si="21"/>
        <v>0.1666666667</v>
      </c>
      <c r="AS8" s="29">
        <f t="shared" si="17"/>
        <v>0.1666666667</v>
      </c>
      <c r="AT8" s="29" t="str">
        <f t="shared" si="18"/>
        <v>0.83</v>
      </c>
      <c r="AU8" s="26"/>
      <c r="AV8" s="26"/>
      <c r="AW8" s="26"/>
      <c r="AX8" s="26"/>
    </row>
    <row r="9">
      <c r="B9" s="17">
        <v>6.0</v>
      </c>
      <c r="C9" s="18">
        <f t="shared" si="2"/>
        <v>6</v>
      </c>
      <c r="D9" s="19" t="s">
        <v>45</v>
      </c>
      <c r="E9" s="19" t="s">
        <v>56</v>
      </c>
      <c r="F9" s="19">
        <v>3.0</v>
      </c>
      <c r="G9" s="19" t="s">
        <v>57</v>
      </c>
      <c r="H9" s="19" t="s">
        <v>48</v>
      </c>
      <c r="I9" s="19">
        <v>181.0</v>
      </c>
      <c r="J9" s="19">
        <v>67.0</v>
      </c>
      <c r="K9" s="20">
        <v>9.0</v>
      </c>
      <c r="L9" s="20">
        <v>2.0</v>
      </c>
      <c r="M9" s="20">
        <v>4.0</v>
      </c>
      <c r="N9" s="20">
        <v>0.0</v>
      </c>
      <c r="O9" s="20">
        <v>0.0</v>
      </c>
      <c r="P9" s="20">
        <v>0.0</v>
      </c>
      <c r="Q9" s="20">
        <v>0.0</v>
      </c>
      <c r="R9" s="30" t="str">
        <f t="shared" si="3"/>
        <v>-</v>
      </c>
      <c r="S9" s="22" t="str">
        <f t="shared" si="4"/>
        <v>-</v>
      </c>
      <c r="T9" s="20">
        <v>0.0</v>
      </c>
      <c r="U9" s="20">
        <v>0.0</v>
      </c>
      <c r="V9" s="20">
        <v>0.0</v>
      </c>
      <c r="W9" s="20">
        <v>6.0</v>
      </c>
      <c r="X9" s="20">
        <v>3.0</v>
      </c>
      <c r="Y9" s="20">
        <v>1.0</v>
      </c>
      <c r="Z9" s="21">
        <f t="shared" si="5"/>
        <v>10</v>
      </c>
      <c r="AA9" s="20">
        <v>0.0</v>
      </c>
      <c r="AB9" s="21">
        <f t="shared" si="6"/>
        <v>3</v>
      </c>
      <c r="AC9" s="23">
        <f t="shared" si="7"/>
        <v>3</v>
      </c>
      <c r="AD9" s="21">
        <f t="shared" si="8"/>
        <v>1</v>
      </c>
      <c r="AE9" s="20">
        <v>1.0</v>
      </c>
      <c r="AF9" s="20">
        <v>0.0</v>
      </c>
      <c r="AG9" s="24">
        <f t="shared" si="9"/>
        <v>100</v>
      </c>
      <c r="AH9" s="20">
        <v>0.0</v>
      </c>
      <c r="AI9" s="22" t="str">
        <f t="shared" si="10"/>
        <v>0</v>
      </c>
      <c r="AJ9" s="26"/>
      <c r="AK9" s="26"/>
      <c r="AL9" s="27">
        <f t="shared" si="11"/>
        <v>0</v>
      </c>
      <c r="AM9" s="27" t="str">
        <f t="shared" si="12"/>
        <v>-</v>
      </c>
      <c r="AN9" s="28" t="str">
        <f t="shared" si="13"/>
        <v>-</v>
      </c>
      <c r="AO9" s="27">
        <f t="shared" si="14"/>
        <v>0</v>
      </c>
      <c r="AP9" s="27">
        <f t="shared" si="15"/>
        <v>0.75</v>
      </c>
      <c r="AQ9" s="27">
        <f t="shared" ref="AQ9:AR9" si="22">iferror(AB9/$M9,"-")</f>
        <v>0.75</v>
      </c>
      <c r="AR9" s="27">
        <f t="shared" si="22"/>
        <v>0.75</v>
      </c>
      <c r="AS9" s="29">
        <f t="shared" si="17"/>
        <v>0</v>
      </c>
      <c r="AT9" s="29" t="str">
        <f t="shared" si="18"/>
        <v>0</v>
      </c>
      <c r="AU9" s="26"/>
      <c r="AV9" s="26"/>
      <c r="AW9" s="26"/>
      <c r="AX9" s="26"/>
    </row>
    <row r="10">
      <c r="B10" s="17">
        <v>7.0</v>
      </c>
      <c r="C10" s="18">
        <f t="shared" si="2"/>
        <v>7</v>
      </c>
      <c r="D10" s="19" t="s">
        <v>45</v>
      </c>
      <c r="E10" s="19" t="s">
        <v>58</v>
      </c>
      <c r="F10" s="19">
        <v>2.0</v>
      </c>
      <c r="G10" s="19" t="s">
        <v>47</v>
      </c>
      <c r="H10" s="19" t="s">
        <v>48</v>
      </c>
      <c r="I10" s="19">
        <v>183.0</v>
      </c>
      <c r="J10" s="19">
        <v>65.0</v>
      </c>
      <c r="K10" s="20">
        <v>10.0</v>
      </c>
      <c r="L10" s="20">
        <v>1.0</v>
      </c>
      <c r="M10" s="20">
        <v>3.0</v>
      </c>
      <c r="N10" s="20">
        <v>8.0</v>
      </c>
      <c r="O10" s="20">
        <v>0.0</v>
      </c>
      <c r="P10" s="20">
        <v>3.0</v>
      </c>
      <c r="Q10" s="20">
        <v>1.0</v>
      </c>
      <c r="R10" s="21">
        <f t="shared" si="3"/>
        <v>12</v>
      </c>
      <c r="S10" s="22">
        <f t="shared" si="4"/>
        <v>0.58</v>
      </c>
      <c r="T10" s="20">
        <v>1.0</v>
      </c>
      <c r="U10" s="20">
        <v>0.0</v>
      </c>
      <c r="V10" s="20">
        <v>0.0</v>
      </c>
      <c r="W10" s="20">
        <v>2.0</v>
      </c>
      <c r="X10" s="20">
        <v>0.0</v>
      </c>
      <c r="Y10" s="20">
        <v>0.0</v>
      </c>
      <c r="Z10" s="21">
        <f t="shared" si="5"/>
        <v>2</v>
      </c>
      <c r="AA10" s="20">
        <v>0.0</v>
      </c>
      <c r="AB10" s="21">
        <f t="shared" si="6"/>
        <v>9</v>
      </c>
      <c r="AC10" s="23">
        <f t="shared" si="7"/>
        <v>9</v>
      </c>
      <c r="AD10" s="30" t="str">
        <f t="shared" si="8"/>
        <v>-</v>
      </c>
      <c r="AE10" s="20">
        <v>0.0</v>
      </c>
      <c r="AF10" s="20">
        <v>0.0</v>
      </c>
      <c r="AG10" s="24" t="str">
        <f t="shared" si="9"/>
        <v>-</v>
      </c>
      <c r="AH10" s="20">
        <v>1.0</v>
      </c>
      <c r="AI10" s="22" t="str">
        <f t="shared" si="10"/>
        <v>0.33</v>
      </c>
      <c r="AJ10" s="26"/>
      <c r="AK10" s="26"/>
      <c r="AL10" s="27">
        <f t="shared" si="11"/>
        <v>2.666666667</v>
      </c>
      <c r="AM10" s="27">
        <f t="shared" si="12"/>
        <v>4</v>
      </c>
      <c r="AN10" s="28">
        <f t="shared" si="13"/>
        <v>0.6666666667</v>
      </c>
      <c r="AO10" s="27">
        <f t="shared" si="14"/>
        <v>0.3333333333</v>
      </c>
      <c r="AP10" s="27">
        <f t="shared" si="15"/>
        <v>0</v>
      </c>
      <c r="AQ10" s="27">
        <f t="shared" ref="AQ10:AR10" si="23">iferror(AB10/$M10,"-")</f>
        <v>3</v>
      </c>
      <c r="AR10" s="27">
        <f t="shared" si="23"/>
        <v>3</v>
      </c>
      <c r="AS10" s="29">
        <f t="shared" si="17"/>
        <v>0</v>
      </c>
      <c r="AT10" s="29" t="str">
        <f t="shared" si="18"/>
        <v>0.33</v>
      </c>
      <c r="AU10" s="26"/>
      <c r="AV10" s="26"/>
      <c r="AW10" s="26"/>
      <c r="AX10" s="26"/>
    </row>
    <row r="11">
      <c r="B11" s="17">
        <v>8.0</v>
      </c>
      <c r="C11" s="18">
        <f t="shared" si="2"/>
        <v>8</v>
      </c>
      <c r="D11" s="19" t="s">
        <v>45</v>
      </c>
      <c r="E11" s="19" t="s">
        <v>59</v>
      </c>
      <c r="F11" s="19">
        <v>1.0</v>
      </c>
      <c r="G11" s="19" t="s">
        <v>54</v>
      </c>
      <c r="H11" s="19" t="s">
        <v>48</v>
      </c>
      <c r="I11" s="19">
        <v>178.0</v>
      </c>
      <c r="J11" s="19">
        <v>64.0</v>
      </c>
      <c r="K11" s="20">
        <v>11.0</v>
      </c>
      <c r="L11" s="20">
        <v>1.0</v>
      </c>
      <c r="M11" s="20">
        <v>2.0</v>
      </c>
      <c r="N11" s="20">
        <v>0.0</v>
      </c>
      <c r="O11" s="20">
        <v>17.0</v>
      </c>
      <c r="P11" s="20">
        <v>2.0</v>
      </c>
      <c r="Q11" s="20">
        <v>1.0</v>
      </c>
      <c r="R11" s="21">
        <f t="shared" si="3"/>
        <v>3</v>
      </c>
      <c r="S11" s="22">
        <f t="shared" si="4"/>
        <v>-0.33</v>
      </c>
      <c r="T11" s="20">
        <v>0.0</v>
      </c>
      <c r="U11" s="20">
        <v>0.0</v>
      </c>
      <c r="V11" s="20">
        <v>0.0</v>
      </c>
      <c r="W11" s="20">
        <v>3.0</v>
      </c>
      <c r="X11" s="20">
        <v>0.0</v>
      </c>
      <c r="Y11" s="20">
        <v>1.0</v>
      </c>
      <c r="Z11" s="21">
        <f t="shared" si="5"/>
        <v>4</v>
      </c>
      <c r="AA11" s="20">
        <v>1.0</v>
      </c>
      <c r="AB11" s="30" t="str">
        <f t="shared" si="6"/>
        <v>-</v>
      </c>
      <c r="AC11" s="23">
        <f t="shared" si="7"/>
        <v>0</v>
      </c>
      <c r="AD11" s="21">
        <f t="shared" si="8"/>
        <v>2</v>
      </c>
      <c r="AE11" s="20">
        <v>1.0</v>
      </c>
      <c r="AF11" s="20">
        <v>1.0</v>
      </c>
      <c r="AG11" s="24">
        <f t="shared" si="9"/>
        <v>50</v>
      </c>
      <c r="AH11" s="20">
        <v>4.0</v>
      </c>
      <c r="AI11" s="22" t="str">
        <f t="shared" si="10"/>
        <v>2</v>
      </c>
      <c r="AJ11" s="26"/>
      <c r="AK11" s="26"/>
      <c r="AL11" s="27">
        <f t="shared" si="11"/>
        <v>0</v>
      </c>
      <c r="AM11" s="27">
        <f t="shared" si="12"/>
        <v>1.5</v>
      </c>
      <c r="AN11" s="28">
        <f t="shared" si="13"/>
        <v>0</v>
      </c>
      <c r="AO11" s="27">
        <f t="shared" si="14"/>
        <v>0</v>
      </c>
      <c r="AP11" s="27">
        <f t="shared" si="15"/>
        <v>0</v>
      </c>
      <c r="AQ11" s="27" t="str">
        <f t="shared" ref="AQ11:AR11" si="24">iferror(AB11/$M11,"-")</f>
        <v>-</v>
      </c>
      <c r="AR11" s="27">
        <f t="shared" si="24"/>
        <v>0</v>
      </c>
      <c r="AS11" s="29">
        <f t="shared" si="17"/>
        <v>0.5</v>
      </c>
      <c r="AT11" s="29" t="str">
        <f t="shared" si="18"/>
        <v>2</v>
      </c>
      <c r="AU11" s="26"/>
      <c r="AV11" s="26"/>
      <c r="AW11" s="26"/>
      <c r="AX11" s="26"/>
    </row>
    <row r="12">
      <c r="B12" s="17">
        <v>9.0</v>
      </c>
      <c r="C12" s="18">
        <f t="shared" si="2"/>
        <v>9</v>
      </c>
      <c r="D12" s="19" t="s">
        <v>45</v>
      </c>
      <c r="E12" s="19" t="s">
        <v>60</v>
      </c>
      <c r="F12" s="19">
        <v>3.0</v>
      </c>
      <c r="G12" s="19" t="s">
        <v>52</v>
      </c>
      <c r="H12" s="19" t="s">
        <v>48</v>
      </c>
      <c r="I12" s="19">
        <v>182.0</v>
      </c>
      <c r="J12" s="19">
        <v>67.0</v>
      </c>
      <c r="K12" s="20">
        <v>12.0</v>
      </c>
      <c r="L12" s="20">
        <v>2.0</v>
      </c>
      <c r="M12" s="20">
        <v>7.0</v>
      </c>
      <c r="N12" s="20">
        <v>32.0</v>
      </c>
      <c r="O12" s="20">
        <v>2.0</v>
      </c>
      <c r="P12" s="20">
        <v>34.0</v>
      </c>
      <c r="Q12" s="20">
        <v>13.0</v>
      </c>
      <c r="R12" s="21">
        <f t="shared" si="3"/>
        <v>79</v>
      </c>
      <c r="S12" s="22">
        <f t="shared" si="4"/>
        <v>0.24</v>
      </c>
      <c r="T12" s="20">
        <v>2.0</v>
      </c>
      <c r="U12" s="20">
        <v>1.0</v>
      </c>
      <c r="V12" s="20">
        <v>0.0</v>
      </c>
      <c r="W12" s="20">
        <v>18.0</v>
      </c>
      <c r="X12" s="20">
        <v>1.0</v>
      </c>
      <c r="Y12" s="20">
        <v>2.0</v>
      </c>
      <c r="Z12" s="21">
        <f t="shared" si="5"/>
        <v>21</v>
      </c>
      <c r="AA12" s="20">
        <v>0.0</v>
      </c>
      <c r="AB12" s="21">
        <f t="shared" si="6"/>
        <v>35</v>
      </c>
      <c r="AC12" s="23">
        <f t="shared" si="7"/>
        <v>35</v>
      </c>
      <c r="AD12" s="21">
        <f t="shared" si="8"/>
        <v>26</v>
      </c>
      <c r="AE12" s="20">
        <v>23.0</v>
      </c>
      <c r="AF12" s="20">
        <v>3.0</v>
      </c>
      <c r="AG12" s="24">
        <f t="shared" si="9"/>
        <v>88.46153846</v>
      </c>
      <c r="AH12" s="20">
        <v>11.0</v>
      </c>
      <c r="AI12" s="22" t="str">
        <f t="shared" si="10"/>
        <v>1.57</v>
      </c>
      <c r="AJ12" s="26"/>
      <c r="AK12" s="26"/>
      <c r="AL12" s="27">
        <f t="shared" si="11"/>
        <v>4.571428571</v>
      </c>
      <c r="AM12" s="27">
        <f t="shared" si="12"/>
        <v>11.28571429</v>
      </c>
      <c r="AN12" s="28">
        <f t="shared" si="13"/>
        <v>0.4050632911</v>
      </c>
      <c r="AO12" s="27">
        <f t="shared" si="14"/>
        <v>0.2857142857</v>
      </c>
      <c r="AP12" s="27">
        <f t="shared" si="15"/>
        <v>0.1428571429</v>
      </c>
      <c r="AQ12" s="27">
        <f t="shared" ref="AQ12:AR12" si="25">iferror(AB12/$M12,"-")</f>
        <v>5</v>
      </c>
      <c r="AR12" s="27">
        <f t="shared" si="25"/>
        <v>5</v>
      </c>
      <c r="AS12" s="29">
        <f t="shared" si="17"/>
        <v>0.4285714286</v>
      </c>
      <c r="AT12" s="29" t="str">
        <f t="shared" si="18"/>
        <v>1.57</v>
      </c>
      <c r="AU12" s="26"/>
      <c r="AV12" s="26"/>
      <c r="AW12" s="26"/>
      <c r="AX12" s="26"/>
    </row>
    <row r="13">
      <c r="B13" s="17">
        <v>10.0</v>
      </c>
      <c r="C13" s="18">
        <f t="shared" si="2"/>
        <v>10</v>
      </c>
      <c r="D13" s="19" t="s">
        <v>45</v>
      </c>
      <c r="E13" s="19" t="s">
        <v>61</v>
      </c>
      <c r="F13" s="19">
        <v>2.0</v>
      </c>
      <c r="G13" s="19" t="s">
        <v>57</v>
      </c>
      <c r="H13" s="19" t="s">
        <v>47</v>
      </c>
      <c r="I13" s="19">
        <v>184.0</v>
      </c>
      <c r="J13" s="19">
        <v>68.0</v>
      </c>
      <c r="K13" s="20">
        <v>13.0</v>
      </c>
      <c r="L13" s="20">
        <v>2.0</v>
      </c>
      <c r="M13" s="20">
        <v>7.0</v>
      </c>
      <c r="N13" s="20">
        <v>12.0</v>
      </c>
      <c r="O13" s="20">
        <v>1.0</v>
      </c>
      <c r="P13" s="20">
        <v>14.0</v>
      </c>
      <c r="Q13" s="20">
        <v>3.0</v>
      </c>
      <c r="R13" s="21">
        <f t="shared" si="3"/>
        <v>29</v>
      </c>
      <c r="S13" s="22">
        <f t="shared" si="4"/>
        <v>0.31</v>
      </c>
      <c r="T13" s="20">
        <v>2.0</v>
      </c>
      <c r="U13" s="20">
        <v>0.0</v>
      </c>
      <c r="V13" s="20">
        <v>0.0</v>
      </c>
      <c r="W13" s="20">
        <v>6.0</v>
      </c>
      <c r="X13" s="20">
        <v>0.0</v>
      </c>
      <c r="Y13" s="20">
        <v>5.0</v>
      </c>
      <c r="Z13" s="21">
        <f t="shared" si="5"/>
        <v>11</v>
      </c>
      <c r="AA13" s="20">
        <v>1.0</v>
      </c>
      <c r="AB13" s="21">
        <f t="shared" si="6"/>
        <v>14</v>
      </c>
      <c r="AC13" s="23">
        <f t="shared" si="7"/>
        <v>14</v>
      </c>
      <c r="AD13" s="21">
        <f t="shared" si="8"/>
        <v>5</v>
      </c>
      <c r="AE13" s="20">
        <v>4.0</v>
      </c>
      <c r="AF13" s="20">
        <v>1.0</v>
      </c>
      <c r="AG13" s="24">
        <f t="shared" si="9"/>
        <v>80</v>
      </c>
      <c r="AH13" s="20">
        <v>7.0</v>
      </c>
      <c r="AI13" s="22" t="str">
        <f t="shared" si="10"/>
        <v>1</v>
      </c>
      <c r="AJ13" s="26"/>
      <c r="AK13" s="26"/>
      <c r="AL13" s="27">
        <f t="shared" si="11"/>
        <v>1.714285714</v>
      </c>
      <c r="AM13" s="27">
        <f t="shared" si="12"/>
        <v>4.142857143</v>
      </c>
      <c r="AN13" s="28">
        <f t="shared" si="13"/>
        <v>0.4137931034</v>
      </c>
      <c r="AO13" s="27">
        <f t="shared" si="14"/>
        <v>0.2857142857</v>
      </c>
      <c r="AP13" s="27">
        <f t="shared" si="15"/>
        <v>0</v>
      </c>
      <c r="AQ13" s="27">
        <f t="shared" ref="AQ13:AR13" si="26">iferror(AB13/$M13,"-")</f>
        <v>2</v>
      </c>
      <c r="AR13" s="27">
        <f t="shared" si="26"/>
        <v>2</v>
      </c>
      <c r="AS13" s="29">
        <f t="shared" si="17"/>
        <v>0.1428571429</v>
      </c>
      <c r="AT13" s="29" t="str">
        <f t="shared" si="18"/>
        <v>1</v>
      </c>
      <c r="AU13" s="26"/>
      <c r="AV13" s="26"/>
      <c r="AW13" s="26"/>
      <c r="AX13" s="26"/>
    </row>
    <row r="14">
      <c r="B14" s="17">
        <v>11.0</v>
      </c>
      <c r="C14" s="18">
        <f t="shared" si="2"/>
        <v>11</v>
      </c>
      <c r="D14" s="19" t="s">
        <v>45</v>
      </c>
      <c r="E14" s="19" t="s">
        <v>62</v>
      </c>
      <c r="F14" s="19">
        <v>3.0</v>
      </c>
      <c r="G14" s="19" t="s">
        <v>54</v>
      </c>
      <c r="H14" s="19" t="s">
        <v>48</v>
      </c>
      <c r="I14" s="19">
        <v>174.0</v>
      </c>
      <c r="J14" s="19">
        <v>60.0</v>
      </c>
      <c r="K14" s="20">
        <v>14.0</v>
      </c>
      <c r="L14" s="20">
        <v>2.0</v>
      </c>
      <c r="M14" s="20">
        <v>6.0</v>
      </c>
      <c r="N14" s="20">
        <v>1.0</v>
      </c>
      <c r="O14" s="20">
        <v>55.0</v>
      </c>
      <c r="P14" s="20">
        <v>2.0</v>
      </c>
      <c r="Q14" s="20">
        <v>0.0</v>
      </c>
      <c r="R14" s="21">
        <f t="shared" si="3"/>
        <v>3</v>
      </c>
      <c r="S14" s="22">
        <f t="shared" si="4"/>
        <v>0.33</v>
      </c>
      <c r="T14" s="20">
        <v>0.0</v>
      </c>
      <c r="U14" s="20">
        <v>0.0</v>
      </c>
      <c r="V14" s="20">
        <v>0.0</v>
      </c>
      <c r="W14" s="20">
        <v>32.0</v>
      </c>
      <c r="X14" s="20">
        <v>1.0</v>
      </c>
      <c r="Y14" s="20">
        <v>2.0</v>
      </c>
      <c r="Z14" s="21">
        <f t="shared" si="5"/>
        <v>35</v>
      </c>
      <c r="AA14" s="20">
        <v>0.0</v>
      </c>
      <c r="AB14" s="21">
        <f t="shared" si="6"/>
        <v>2</v>
      </c>
      <c r="AC14" s="23">
        <f t="shared" si="7"/>
        <v>2</v>
      </c>
      <c r="AD14" s="30" t="str">
        <f t="shared" si="8"/>
        <v>-</v>
      </c>
      <c r="AE14" s="20">
        <v>0.0</v>
      </c>
      <c r="AF14" s="20">
        <v>0.0</v>
      </c>
      <c r="AG14" s="24" t="str">
        <f t="shared" si="9"/>
        <v>-</v>
      </c>
      <c r="AH14" s="20">
        <v>5.0</v>
      </c>
      <c r="AI14" s="22" t="str">
        <f t="shared" si="10"/>
        <v>0.83</v>
      </c>
      <c r="AJ14" s="26"/>
      <c r="AK14" s="26"/>
      <c r="AL14" s="27">
        <f t="shared" si="11"/>
        <v>0.1666666667</v>
      </c>
      <c r="AM14" s="27">
        <f t="shared" si="12"/>
        <v>0.5</v>
      </c>
      <c r="AN14" s="28">
        <f t="shared" si="13"/>
        <v>0.3333333333</v>
      </c>
      <c r="AO14" s="27">
        <f t="shared" si="14"/>
        <v>0</v>
      </c>
      <c r="AP14" s="27">
        <f t="shared" si="15"/>
        <v>0.1666666667</v>
      </c>
      <c r="AQ14" s="27">
        <f t="shared" ref="AQ14:AR14" si="27">iferror(AB14/$M14,"-")</f>
        <v>0.3333333333</v>
      </c>
      <c r="AR14" s="27">
        <f t="shared" si="27"/>
        <v>0.3333333333</v>
      </c>
      <c r="AS14" s="29">
        <f t="shared" si="17"/>
        <v>0</v>
      </c>
      <c r="AT14" s="29" t="str">
        <f t="shared" si="18"/>
        <v>0.83</v>
      </c>
      <c r="AU14" s="26"/>
      <c r="AV14" s="26"/>
      <c r="AW14" s="26"/>
      <c r="AX14" s="26"/>
    </row>
    <row r="15">
      <c r="B15" s="17">
        <v>12.0</v>
      </c>
      <c r="C15" s="18">
        <f t="shared" si="2"/>
        <v>12</v>
      </c>
      <c r="D15" s="19" t="s">
        <v>45</v>
      </c>
      <c r="E15" s="19" t="s">
        <v>63</v>
      </c>
      <c r="F15" s="19">
        <v>1.0</v>
      </c>
      <c r="G15" s="19" t="s">
        <v>52</v>
      </c>
      <c r="H15" s="19" t="s">
        <v>48</v>
      </c>
      <c r="I15" s="19">
        <v>183.0</v>
      </c>
      <c r="J15" s="19">
        <v>67.0</v>
      </c>
      <c r="K15" s="20">
        <v>17.0</v>
      </c>
      <c r="L15" s="20">
        <v>2.0</v>
      </c>
      <c r="M15" s="20">
        <v>7.0</v>
      </c>
      <c r="N15" s="20">
        <v>31.0</v>
      </c>
      <c r="O15" s="20">
        <v>1.0</v>
      </c>
      <c r="P15" s="20">
        <v>35.0</v>
      </c>
      <c r="Q15" s="20">
        <v>11.0</v>
      </c>
      <c r="R15" s="21">
        <f t="shared" si="3"/>
        <v>77</v>
      </c>
      <c r="S15" s="22">
        <f t="shared" si="4"/>
        <v>0.26</v>
      </c>
      <c r="T15" s="20">
        <v>6.0</v>
      </c>
      <c r="U15" s="20">
        <v>1.0</v>
      </c>
      <c r="V15" s="20">
        <v>0.0</v>
      </c>
      <c r="W15" s="20">
        <v>22.0</v>
      </c>
      <c r="X15" s="20">
        <v>1.0</v>
      </c>
      <c r="Y15" s="20">
        <v>4.0</v>
      </c>
      <c r="Z15" s="21">
        <f t="shared" si="5"/>
        <v>27</v>
      </c>
      <c r="AA15" s="20">
        <v>0.0</v>
      </c>
      <c r="AB15" s="21">
        <f t="shared" si="6"/>
        <v>38</v>
      </c>
      <c r="AC15" s="23">
        <f t="shared" si="7"/>
        <v>38</v>
      </c>
      <c r="AD15" s="21">
        <f t="shared" si="8"/>
        <v>54</v>
      </c>
      <c r="AE15" s="20">
        <v>50.0</v>
      </c>
      <c r="AF15" s="20">
        <v>4.0</v>
      </c>
      <c r="AG15" s="24">
        <f t="shared" si="9"/>
        <v>92.59259259</v>
      </c>
      <c r="AH15" s="20">
        <v>17.0</v>
      </c>
      <c r="AI15" s="22" t="str">
        <f t="shared" si="10"/>
        <v>2.43</v>
      </c>
      <c r="AJ15" s="26"/>
      <c r="AK15" s="26"/>
      <c r="AL15" s="27">
        <f t="shared" si="11"/>
        <v>4.428571429</v>
      </c>
      <c r="AM15" s="27">
        <f t="shared" si="12"/>
        <v>11</v>
      </c>
      <c r="AN15" s="28">
        <f t="shared" si="13"/>
        <v>0.4025974026</v>
      </c>
      <c r="AO15" s="27">
        <f t="shared" si="14"/>
        <v>0.8571428571</v>
      </c>
      <c r="AP15" s="27">
        <f t="shared" si="15"/>
        <v>0.1428571429</v>
      </c>
      <c r="AQ15" s="27">
        <f t="shared" ref="AQ15:AR15" si="28">iferror(AB15/$M15,"-")</f>
        <v>5.428571429</v>
      </c>
      <c r="AR15" s="27">
        <f t="shared" si="28"/>
        <v>5.428571429</v>
      </c>
      <c r="AS15" s="29">
        <f t="shared" si="17"/>
        <v>0.5714285714</v>
      </c>
      <c r="AT15" s="29" t="str">
        <f t="shared" si="18"/>
        <v>2.43</v>
      </c>
      <c r="AU15" s="26"/>
      <c r="AV15" s="26"/>
      <c r="AW15" s="26"/>
      <c r="AX15" s="26"/>
    </row>
    <row r="16">
      <c r="B16" s="17">
        <v>13.0</v>
      </c>
      <c r="C16" s="18">
        <f t="shared" si="2"/>
        <v>13</v>
      </c>
      <c r="D16" s="19" t="s">
        <v>45</v>
      </c>
      <c r="E16" s="19" t="s">
        <v>65</v>
      </c>
      <c r="F16" s="19">
        <v>1.0</v>
      </c>
      <c r="G16" s="19" t="s">
        <v>57</v>
      </c>
      <c r="H16" s="19" t="s">
        <v>47</v>
      </c>
      <c r="I16" s="19">
        <v>172.0</v>
      </c>
      <c r="J16" s="19">
        <v>69.0</v>
      </c>
      <c r="K16" s="20">
        <v>18.0</v>
      </c>
      <c r="L16" s="20">
        <v>1.0</v>
      </c>
      <c r="M16" s="20">
        <v>4.0</v>
      </c>
      <c r="N16" s="20">
        <v>0.0</v>
      </c>
      <c r="O16" s="20">
        <v>2.0</v>
      </c>
      <c r="P16" s="20">
        <v>4.0</v>
      </c>
      <c r="Q16" s="20">
        <v>2.0</v>
      </c>
      <c r="R16" s="21">
        <f t="shared" si="3"/>
        <v>6</v>
      </c>
      <c r="S16" s="22">
        <f t="shared" si="4"/>
        <v>-0.33</v>
      </c>
      <c r="T16" s="20">
        <v>0.0</v>
      </c>
      <c r="U16" s="20">
        <v>0.0</v>
      </c>
      <c r="V16" s="20">
        <v>0.0</v>
      </c>
      <c r="W16" s="20">
        <v>6.0</v>
      </c>
      <c r="X16" s="20">
        <v>0.0</v>
      </c>
      <c r="Y16" s="20">
        <v>2.0</v>
      </c>
      <c r="Z16" s="21">
        <f t="shared" si="5"/>
        <v>8</v>
      </c>
      <c r="AA16" s="20">
        <v>0.0</v>
      </c>
      <c r="AB16" s="30" t="str">
        <f t="shared" si="6"/>
        <v>-</v>
      </c>
      <c r="AC16" s="23">
        <f t="shared" si="7"/>
        <v>0</v>
      </c>
      <c r="AD16" s="30" t="str">
        <f t="shared" si="8"/>
        <v>-</v>
      </c>
      <c r="AE16" s="20">
        <v>0.0</v>
      </c>
      <c r="AF16" s="20">
        <v>0.0</v>
      </c>
      <c r="AG16" s="24" t="str">
        <f t="shared" si="9"/>
        <v>-</v>
      </c>
      <c r="AH16" s="20">
        <v>6.0</v>
      </c>
      <c r="AI16" s="22" t="str">
        <f t="shared" si="10"/>
        <v>1.50</v>
      </c>
      <c r="AJ16" s="26"/>
      <c r="AK16" s="26"/>
      <c r="AL16" s="27">
        <f t="shared" si="11"/>
        <v>0</v>
      </c>
      <c r="AM16" s="27">
        <f t="shared" si="12"/>
        <v>1.5</v>
      </c>
      <c r="AN16" s="28">
        <f t="shared" si="13"/>
        <v>0</v>
      </c>
      <c r="AO16" s="27">
        <f t="shared" si="14"/>
        <v>0</v>
      </c>
      <c r="AP16" s="27">
        <f t="shared" si="15"/>
        <v>0</v>
      </c>
      <c r="AQ16" s="27" t="str">
        <f t="shared" ref="AQ16:AR16" si="29">iferror(AB16/$M16,"-")</f>
        <v>-</v>
      </c>
      <c r="AR16" s="27">
        <f t="shared" si="29"/>
        <v>0</v>
      </c>
      <c r="AS16" s="29">
        <f t="shared" si="17"/>
        <v>0</v>
      </c>
      <c r="AT16" s="29" t="str">
        <f t="shared" si="18"/>
        <v>1.50</v>
      </c>
      <c r="AU16" s="26"/>
      <c r="AV16" s="26"/>
      <c r="AW16" s="26"/>
      <c r="AX16" s="26"/>
    </row>
    <row r="17">
      <c r="B17" s="17">
        <v>14.0</v>
      </c>
      <c r="C17" s="18">
        <f t="shared" si="2"/>
        <v>14</v>
      </c>
      <c r="D17" s="19" t="s">
        <v>45</v>
      </c>
      <c r="E17" s="19" t="s">
        <v>66</v>
      </c>
      <c r="F17" s="19">
        <v>1.0</v>
      </c>
      <c r="G17" s="19" t="s">
        <v>50</v>
      </c>
      <c r="H17" s="19" t="s">
        <v>48</v>
      </c>
      <c r="I17" s="19">
        <v>162.0</v>
      </c>
      <c r="J17" s="19">
        <v>61.0</v>
      </c>
      <c r="K17" s="20">
        <v>19.0</v>
      </c>
      <c r="L17" s="20">
        <v>1.0</v>
      </c>
      <c r="M17" s="20">
        <v>1.0</v>
      </c>
      <c r="N17" s="20">
        <v>0.0</v>
      </c>
      <c r="O17" s="20">
        <v>1.0</v>
      </c>
      <c r="P17" s="20">
        <v>0.0</v>
      </c>
      <c r="Q17" s="20">
        <v>0.0</v>
      </c>
      <c r="R17" s="30" t="str">
        <f t="shared" si="3"/>
        <v>-</v>
      </c>
      <c r="S17" s="22" t="str">
        <f t="shared" si="4"/>
        <v>-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30" t="str">
        <f t="shared" si="5"/>
        <v>-</v>
      </c>
      <c r="AA17" s="20">
        <v>0.0</v>
      </c>
      <c r="AB17" s="30" t="str">
        <f t="shared" si="6"/>
        <v>-</v>
      </c>
      <c r="AC17" s="23">
        <f t="shared" si="7"/>
        <v>0</v>
      </c>
      <c r="AD17" s="21">
        <f t="shared" si="8"/>
        <v>4</v>
      </c>
      <c r="AE17" s="20">
        <v>3.0</v>
      </c>
      <c r="AF17" s="20">
        <v>1.0</v>
      </c>
      <c r="AG17" s="24">
        <f t="shared" si="9"/>
        <v>75</v>
      </c>
      <c r="AH17" s="20">
        <v>0.0</v>
      </c>
      <c r="AI17" s="22" t="str">
        <f t="shared" si="10"/>
        <v>0</v>
      </c>
      <c r="AJ17" s="26"/>
      <c r="AK17" s="26"/>
      <c r="AL17" s="27">
        <f t="shared" si="11"/>
        <v>0</v>
      </c>
      <c r="AM17" s="27" t="str">
        <f t="shared" si="12"/>
        <v>-</v>
      </c>
      <c r="AN17" s="28" t="str">
        <f t="shared" si="13"/>
        <v>-</v>
      </c>
      <c r="AO17" s="27">
        <f t="shared" si="14"/>
        <v>0</v>
      </c>
      <c r="AP17" s="27">
        <f t="shared" si="15"/>
        <v>0</v>
      </c>
      <c r="AQ17" s="27" t="str">
        <f t="shared" ref="AQ17:AR17" si="30">iferror(AB17/$M17,"-")</f>
        <v>-</v>
      </c>
      <c r="AR17" s="27">
        <f t="shared" si="30"/>
        <v>0</v>
      </c>
      <c r="AS17" s="29">
        <f t="shared" si="17"/>
        <v>1</v>
      </c>
      <c r="AT17" s="29" t="str">
        <f t="shared" si="18"/>
        <v>0</v>
      </c>
      <c r="AU17" s="26"/>
      <c r="AV17" s="26"/>
      <c r="AW17" s="26"/>
      <c r="AX17" s="26"/>
    </row>
    <row r="18">
      <c r="B18" s="17">
        <v>15.0</v>
      </c>
      <c r="C18" s="18">
        <f t="shared" si="2"/>
        <v>1</v>
      </c>
      <c r="D18" s="19" t="s">
        <v>67</v>
      </c>
      <c r="E18" s="19" t="s">
        <v>68</v>
      </c>
      <c r="F18" s="19">
        <v>3.0</v>
      </c>
      <c r="G18" s="19" t="s">
        <v>52</v>
      </c>
      <c r="H18" s="19" t="s">
        <v>48</v>
      </c>
      <c r="I18" s="19">
        <v>181.0</v>
      </c>
      <c r="J18" s="19">
        <v>67.0</v>
      </c>
      <c r="K18" s="20">
        <v>1.0</v>
      </c>
      <c r="L18" s="20">
        <v>3.0</v>
      </c>
      <c r="M18" s="20">
        <v>11.0</v>
      </c>
      <c r="N18" s="20">
        <v>29.0</v>
      </c>
      <c r="O18" s="20">
        <v>1.0</v>
      </c>
      <c r="P18" s="20">
        <v>19.0</v>
      </c>
      <c r="Q18" s="20">
        <v>9.0</v>
      </c>
      <c r="R18" s="21">
        <f t="shared" si="3"/>
        <v>57</v>
      </c>
      <c r="S18" s="22">
        <f t="shared" si="4"/>
        <v>0.35</v>
      </c>
      <c r="T18" s="20">
        <v>3.0</v>
      </c>
      <c r="U18" s="20">
        <v>0.0</v>
      </c>
      <c r="V18" s="20">
        <v>0.0</v>
      </c>
      <c r="W18" s="20">
        <v>19.0</v>
      </c>
      <c r="X18" s="20">
        <v>1.0</v>
      </c>
      <c r="Y18" s="20">
        <v>1.0</v>
      </c>
      <c r="Z18" s="21">
        <f t="shared" si="5"/>
        <v>21</v>
      </c>
      <c r="AA18" s="20">
        <v>1.0</v>
      </c>
      <c r="AB18" s="21">
        <f t="shared" si="6"/>
        <v>33</v>
      </c>
      <c r="AC18" s="23">
        <f t="shared" si="7"/>
        <v>33</v>
      </c>
      <c r="AD18" s="21">
        <f t="shared" si="8"/>
        <v>5</v>
      </c>
      <c r="AE18" s="20">
        <v>3.0</v>
      </c>
      <c r="AF18" s="20">
        <v>2.0</v>
      </c>
      <c r="AG18" s="24">
        <f t="shared" si="9"/>
        <v>60</v>
      </c>
      <c r="AH18" s="20">
        <v>16.0</v>
      </c>
      <c r="AI18" s="22" t="str">
        <f t="shared" si="10"/>
        <v>1.45</v>
      </c>
      <c r="AJ18" s="26"/>
      <c r="AK18" s="26"/>
      <c r="AL18" s="27">
        <f t="shared" si="11"/>
        <v>2.636363636</v>
      </c>
      <c r="AM18" s="27">
        <f t="shared" si="12"/>
        <v>5.181818182</v>
      </c>
      <c r="AN18" s="28">
        <f t="shared" si="13"/>
        <v>0.5087719298</v>
      </c>
      <c r="AO18" s="27">
        <f t="shared" si="14"/>
        <v>0.2727272727</v>
      </c>
      <c r="AP18" s="27">
        <f t="shared" si="15"/>
        <v>0.09090909091</v>
      </c>
      <c r="AQ18" s="27">
        <f t="shared" ref="AQ18:AR18" si="31">iferror(AB18/$M18,"-")</f>
        <v>3</v>
      </c>
      <c r="AR18" s="27">
        <f t="shared" si="31"/>
        <v>3</v>
      </c>
      <c r="AS18" s="29">
        <f t="shared" si="17"/>
        <v>0.1818181818</v>
      </c>
      <c r="AT18" s="29" t="str">
        <f t="shared" si="18"/>
        <v>1.45</v>
      </c>
      <c r="AU18" s="26"/>
      <c r="AV18" s="26"/>
      <c r="AW18" s="26"/>
      <c r="AX18" s="26"/>
    </row>
    <row r="19">
      <c r="B19" s="17">
        <v>16.0</v>
      </c>
      <c r="C19" s="18">
        <f t="shared" si="2"/>
        <v>2</v>
      </c>
      <c r="D19" s="19" t="s">
        <v>67</v>
      </c>
      <c r="E19" s="19" t="s">
        <v>69</v>
      </c>
      <c r="F19" s="19">
        <v>3.0</v>
      </c>
      <c r="G19" s="19" t="s">
        <v>50</v>
      </c>
      <c r="H19" s="19" t="s">
        <v>48</v>
      </c>
      <c r="I19" s="19">
        <v>169.0</v>
      </c>
      <c r="J19" s="19">
        <v>61.0</v>
      </c>
      <c r="K19" s="20">
        <v>2.0</v>
      </c>
      <c r="L19" s="20">
        <v>2.0</v>
      </c>
      <c r="M19" s="20">
        <v>6.0</v>
      </c>
      <c r="N19" s="20">
        <v>0.0</v>
      </c>
      <c r="O19" s="20">
        <v>6.0</v>
      </c>
      <c r="P19" s="20">
        <v>0.0</v>
      </c>
      <c r="Q19" s="20">
        <v>0.0</v>
      </c>
      <c r="R19" s="30" t="str">
        <f t="shared" si="3"/>
        <v>-</v>
      </c>
      <c r="S19" s="22" t="str">
        <f t="shared" si="4"/>
        <v>-</v>
      </c>
      <c r="T19" s="20">
        <v>0.0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30" t="str">
        <f t="shared" si="5"/>
        <v>-</v>
      </c>
      <c r="AA19" s="20">
        <v>0.0</v>
      </c>
      <c r="AB19" s="30" t="str">
        <f t="shared" si="6"/>
        <v>-</v>
      </c>
      <c r="AC19" s="23">
        <f t="shared" si="7"/>
        <v>0</v>
      </c>
      <c r="AD19" s="21">
        <f t="shared" si="8"/>
        <v>26</v>
      </c>
      <c r="AE19" s="20">
        <v>26.0</v>
      </c>
      <c r="AF19" s="20">
        <v>0.0</v>
      </c>
      <c r="AG19" s="24">
        <f t="shared" si="9"/>
        <v>100</v>
      </c>
      <c r="AH19" s="20">
        <v>10.0</v>
      </c>
      <c r="AI19" s="22" t="str">
        <f t="shared" si="10"/>
        <v>1.67</v>
      </c>
      <c r="AJ19" s="26"/>
      <c r="AK19" s="26"/>
      <c r="AL19" s="27">
        <f t="shared" si="11"/>
        <v>0</v>
      </c>
      <c r="AM19" s="27" t="str">
        <f t="shared" si="12"/>
        <v>-</v>
      </c>
      <c r="AN19" s="28" t="str">
        <f t="shared" si="13"/>
        <v>-</v>
      </c>
      <c r="AO19" s="27">
        <f t="shared" si="14"/>
        <v>0</v>
      </c>
      <c r="AP19" s="27">
        <f t="shared" si="15"/>
        <v>0</v>
      </c>
      <c r="AQ19" s="27" t="str">
        <f t="shared" ref="AQ19:AR19" si="32">iferror(AB19/$M19,"-")</f>
        <v>-</v>
      </c>
      <c r="AR19" s="27">
        <f t="shared" si="32"/>
        <v>0</v>
      </c>
      <c r="AS19" s="29">
        <f t="shared" si="17"/>
        <v>0</v>
      </c>
      <c r="AT19" s="29" t="str">
        <f t="shared" si="18"/>
        <v>1.67</v>
      </c>
      <c r="AU19" s="26"/>
      <c r="AV19" s="26"/>
      <c r="AW19" s="26"/>
      <c r="AX19" s="26"/>
    </row>
    <row r="20">
      <c r="B20" s="17">
        <v>17.0</v>
      </c>
      <c r="C20" s="18">
        <f t="shared" si="2"/>
        <v>3</v>
      </c>
      <c r="D20" s="19" t="s">
        <v>67</v>
      </c>
      <c r="E20" s="19" t="s">
        <v>70</v>
      </c>
      <c r="F20" s="19">
        <v>2.0</v>
      </c>
      <c r="G20" s="19" t="s">
        <v>54</v>
      </c>
      <c r="H20" s="19" t="s">
        <v>48</v>
      </c>
      <c r="I20" s="19">
        <v>170.0</v>
      </c>
      <c r="J20" s="19">
        <v>59.0</v>
      </c>
      <c r="K20" s="20">
        <v>3.0</v>
      </c>
      <c r="L20" s="20">
        <v>3.0</v>
      </c>
      <c r="M20" s="20">
        <v>6.0</v>
      </c>
      <c r="N20" s="20">
        <v>1.0</v>
      </c>
      <c r="O20" s="20">
        <v>17.0</v>
      </c>
      <c r="P20" s="20">
        <v>2.0</v>
      </c>
      <c r="Q20" s="20">
        <v>0.0</v>
      </c>
      <c r="R20" s="21">
        <f t="shared" si="3"/>
        <v>3</v>
      </c>
      <c r="S20" s="22">
        <f t="shared" si="4"/>
        <v>0.33</v>
      </c>
      <c r="T20" s="20">
        <v>1.0</v>
      </c>
      <c r="U20" s="20">
        <v>0.0</v>
      </c>
      <c r="V20" s="20">
        <v>0.0</v>
      </c>
      <c r="W20" s="20">
        <v>10.0</v>
      </c>
      <c r="X20" s="20">
        <v>0.0</v>
      </c>
      <c r="Y20" s="20">
        <v>0.0</v>
      </c>
      <c r="Z20" s="21">
        <f t="shared" si="5"/>
        <v>10</v>
      </c>
      <c r="AA20" s="20">
        <v>0.0</v>
      </c>
      <c r="AB20" s="21">
        <f t="shared" si="6"/>
        <v>2</v>
      </c>
      <c r="AC20" s="23">
        <f t="shared" si="7"/>
        <v>2</v>
      </c>
      <c r="AD20" s="30" t="str">
        <f t="shared" si="8"/>
        <v>-</v>
      </c>
      <c r="AE20" s="20">
        <v>0.0</v>
      </c>
      <c r="AF20" s="20">
        <v>0.0</v>
      </c>
      <c r="AG20" s="24" t="str">
        <f t="shared" si="9"/>
        <v>-</v>
      </c>
      <c r="AH20" s="20">
        <v>5.0</v>
      </c>
      <c r="AI20" s="22" t="str">
        <f t="shared" si="10"/>
        <v>0.83</v>
      </c>
      <c r="AJ20" s="26"/>
      <c r="AK20" s="26"/>
      <c r="AL20" s="27">
        <f t="shared" si="11"/>
        <v>0.1666666667</v>
      </c>
      <c r="AM20" s="27">
        <f t="shared" si="12"/>
        <v>0.5</v>
      </c>
      <c r="AN20" s="28">
        <f t="shared" si="13"/>
        <v>0.3333333333</v>
      </c>
      <c r="AO20" s="27">
        <f t="shared" si="14"/>
        <v>0.1666666667</v>
      </c>
      <c r="AP20" s="27">
        <f t="shared" si="15"/>
        <v>0</v>
      </c>
      <c r="AQ20" s="27">
        <f t="shared" ref="AQ20:AR20" si="33">iferror(AB20/$M20,"-")</f>
        <v>0.3333333333</v>
      </c>
      <c r="AR20" s="27">
        <f t="shared" si="33"/>
        <v>0.3333333333</v>
      </c>
      <c r="AS20" s="29">
        <f t="shared" si="17"/>
        <v>0</v>
      </c>
      <c r="AT20" s="29" t="str">
        <f t="shared" si="18"/>
        <v>0.83</v>
      </c>
      <c r="AU20" s="26"/>
      <c r="AV20" s="26"/>
      <c r="AW20" s="26"/>
      <c r="AX20" s="26"/>
    </row>
    <row r="21">
      <c r="B21" s="17">
        <v>18.0</v>
      </c>
      <c r="C21" s="18">
        <f t="shared" si="2"/>
        <v>4</v>
      </c>
      <c r="D21" s="19" t="s">
        <v>67</v>
      </c>
      <c r="E21" s="19" t="s">
        <v>71</v>
      </c>
      <c r="F21" s="19">
        <v>1.0</v>
      </c>
      <c r="G21" s="19" t="s">
        <v>57</v>
      </c>
      <c r="H21" s="19" t="s">
        <v>48</v>
      </c>
      <c r="I21" s="19">
        <v>177.0</v>
      </c>
      <c r="J21" s="19">
        <v>68.0</v>
      </c>
      <c r="K21" s="20">
        <v>4.0</v>
      </c>
      <c r="L21" s="20">
        <v>3.0</v>
      </c>
      <c r="M21" s="20">
        <v>9.0</v>
      </c>
      <c r="N21" s="20">
        <v>9.0</v>
      </c>
      <c r="O21" s="20">
        <v>0.0</v>
      </c>
      <c r="P21" s="20">
        <v>11.0</v>
      </c>
      <c r="Q21" s="20">
        <v>4.0</v>
      </c>
      <c r="R21" s="21">
        <f t="shared" si="3"/>
        <v>24</v>
      </c>
      <c r="S21" s="22">
        <f t="shared" si="4"/>
        <v>0.21</v>
      </c>
      <c r="T21" s="20">
        <v>2.0</v>
      </c>
      <c r="U21" s="20">
        <v>0.0</v>
      </c>
      <c r="V21" s="20">
        <v>4.0</v>
      </c>
      <c r="W21" s="20">
        <v>10.0</v>
      </c>
      <c r="X21" s="20">
        <v>1.0</v>
      </c>
      <c r="Y21" s="20">
        <v>3.0</v>
      </c>
      <c r="Z21" s="21">
        <f t="shared" si="5"/>
        <v>14</v>
      </c>
      <c r="AA21" s="20">
        <v>0.0</v>
      </c>
      <c r="AB21" s="21">
        <f t="shared" si="6"/>
        <v>12</v>
      </c>
      <c r="AC21" s="23">
        <f t="shared" si="7"/>
        <v>15</v>
      </c>
      <c r="AD21" s="21">
        <f t="shared" si="8"/>
        <v>11</v>
      </c>
      <c r="AE21" s="20">
        <v>10.0</v>
      </c>
      <c r="AF21" s="20">
        <v>1.0</v>
      </c>
      <c r="AG21" s="24">
        <f t="shared" si="9"/>
        <v>90.90909091</v>
      </c>
      <c r="AH21" s="20">
        <v>5.0</v>
      </c>
      <c r="AI21" s="22" t="str">
        <f t="shared" si="10"/>
        <v>0.56</v>
      </c>
      <c r="AJ21" s="26"/>
      <c r="AK21" s="26"/>
      <c r="AL21" s="27">
        <f t="shared" si="11"/>
        <v>1</v>
      </c>
      <c r="AM21" s="27">
        <f t="shared" si="12"/>
        <v>2.666666667</v>
      </c>
      <c r="AN21" s="28">
        <f t="shared" si="13"/>
        <v>0.375</v>
      </c>
      <c r="AO21" s="27">
        <f t="shared" si="14"/>
        <v>0.2222222222</v>
      </c>
      <c r="AP21" s="27">
        <f t="shared" si="15"/>
        <v>0.1111111111</v>
      </c>
      <c r="AQ21" s="27">
        <f t="shared" ref="AQ21:AR21" si="34">iferror(AB21/$M21,"-")</f>
        <v>1.333333333</v>
      </c>
      <c r="AR21" s="27">
        <f t="shared" si="34"/>
        <v>1.666666667</v>
      </c>
      <c r="AS21" s="29">
        <f t="shared" si="17"/>
        <v>0.1111111111</v>
      </c>
      <c r="AT21" s="29" t="str">
        <f t="shared" si="18"/>
        <v>0.56</v>
      </c>
      <c r="AU21" s="26"/>
      <c r="AV21" s="26"/>
      <c r="AW21" s="26"/>
      <c r="AX21" s="26"/>
    </row>
    <row r="22">
      <c r="B22" s="17">
        <v>19.0</v>
      </c>
      <c r="C22" s="18">
        <f t="shared" si="2"/>
        <v>5</v>
      </c>
      <c r="D22" s="19" t="s">
        <v>67</v>
      </c>
      <c r="E22" s="19" t="s">
        <v>72</v>
      </c>
      <c r="F22" s="19">
        <v>1.0</v>
      </c>
      <c r="G22" s="19" t="s">
        <v>47</v>
      </c>
      <c r="H22" s="19" t="s">
        <v>48</v>
      </c>
      <c r="I22" s="19">
        <v>184.0</v>
      </c>
      <c r="J22" s="19">
        <v>75.0</v>
      </c>
      <c r="K22" s="20">
        <v>5.0</v>
      </c>
      <c r="L22" s="20">
        <v>0.0</v>
      </c>
      <c r="M22" s="20">
        <v>0.0</v>
      </c>
      <c r="N22" s="20">
        <v>0.0</v>
      </c>
      <c r="O22" s="20">
        <v>0.0</v>
      </c>
      <c r="P22" s="20">
        <v>0.0</v>
      </c>
      <c r="Q22" s="20">
        <v>0.0</v>
      </c>
      <c r="R22" s="30" t="str">
        <f t="shared" si="3"/>
        <v>-</v>
      </c>
      <c r="S22" s="22" t="str">
        <f t="shared" si="4"/>
        <v>-</v>
      </c>
      <c r="T22" s="20">
        <v>0.0</v>
      </c>
      <c r="U22" s="20">
        <v>0.0</v>
      </c>
      <c r="V22" s="20">
        <v>0.0</v>
      </c>
      <c r="W22" s="20">
        <v>0.0</v>
      </c>
      <c r="X22" s="20">
        <v>0.0</v>
      </c>
      <c r="Y22" s="20">
        <v>0.0</v>
      </c>
      <c r="Z22" s="30" t="str">
        <f t="shared" si="5"/>
        <v>-</v>
      </c>
      <c r="AA22" s="20">
        <v>0.0</v>
      </c>
      <c r="AB22" s="30" t="str">
        <f t="shared" si="6"/>
        <v>-</v>
      </c>
      <c r="AC22" s="23">
        <f t="shared" si="7"/>
        <v>0</v>
      </c>
      <c r="AD22" s="30" t="str">
        <f t="shared" si="8"/>
        <v>-</v>
      </c>
      <c r="AE22" s="20">
        <v>0.0</v>
      </c>
      <c r="AF22" s="20">
        <v>0.0</v>
      </c>
      <c r="AG22" s="24" t="str">
        <f t="shared" si="9"/>
        <v>-</v>
      </c>
      <c r="AH22" s="20">
        <v>0.0</v>
      </c>
      <c r="AI22" s="22" t="str">
        <f t="shared" si="10"/>
        <v>-</v>
      </c>
      <c r="AJ22" s="26"/>
      <c r="AK22" s="26"/>
      <c r="AL22" s="27" t="str">
        <f t="shared" si="11"/>
        <v>-</v>
      </c>
      <c r="AM22" s="27" t="str">
        <f t="shared" si="12"/>
        <v>-</v>
      </c>
      <c r="AN22" s="28" t="str">
        <f t="shared" si="13"/>
        <v>-</v>
      </c>
      <c r="AO22" s="27" t="str">
        <f t="shared" si="14"/>
        <v>-</v>
      </c>
      <c r="AP22" s="27" t="str">
        <f t="shared" si="15"/>
        <v>-</v>
      </c>
      <c r="AQ22" s="27" t="str">
        <f t="shared" ref="AQ22:AR22" si="35">iferror(AB22/$M22,"-")</f>
        <v>-</v>
      </c>
      <c r="AR22" s="27" t="str">
        <f t="shared" si="35"/>
        <v>-</v>
      </c>
      <c r="AS22" s="29" t="str">
        <f t="shared" si="17"/>
        <v>-</v>
      </c>
      <c r="AT22" s="29" t="str">
        <f t="shared" si="18"/>
        <v>-</v>
      </c>
      <c r="AU22" s="26"/>
      <c r="AV22" s="26"/>
      <c r="AW22" s="26"/>
      <c r="AX22" s="26"/>
    </row>
    <row r="23">
      <c r="B23" s="17">
        <v>20.0</v>
      </c>
      <c r="C23" s="18">
        <f t="shared" si="2"/>
        <v>6</v>
      </c>
      <c r="D23" s="19" t="s">
        <v>67</v>
      </c>
      <c r="E23" s="19" t="s">
        <v>73</v>
      </c>
      <c r="F23" s="19">
        <v>1.0</v>
      </c>
      <c r="G23" s="19" t="s">
        <v>50</v>
      </c>
      <c r="H23" s="19" t="s">
        <v>48</v>
      </c>
      <c r="I23" s="19">
        <v>171.0</v>
      </c>
      <c r="J23" s="19">
        <v>68.0</v>
      </c>
      <c r="K23" s="20">
        <v>6.0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30" t="str">
        <f t="shared" si="3"/>
        <v>-</v>
      </c>
      <c r="S23" s="22" t="str">
        <f t="shared" si="4"/>
        <v>-</v>
      </c>
      <c r="T23" s="20">
        <v>0.0</v>
      </c>
      <c r="U23" s="20">
        <v>0.0</v>
      </c>
      <c r="V23" s="20">
        <v>0.0</v>
      </c>
      <c r="W23" s="20">
        <v>0.0</v>
      </c>
      <c r="X23" s="20">
        <v>0.0</v>
      </c>
      <c r="Y23" s="20">
        <v>0.0</v>
      </c>
      <c r="Z23" s="30" t="str">
        <f t="shared" si="5"/>
        <v>-</v>
      </c>
      <c r="AA23" s="20">
        <v>0.0</v>
      </c>
      <c r="AB23" s="30" t="str">
        <f t="shared" si="6"/>
        <v>-</v>
      </c>
      <c r="AC23" s="23">
        <f t="shared" si="7"/>
        <v>0</v>
      </c>
      <c r="AD23" s="30" t="str">
        <f t="shared" si="8"/>
        <v>-</v>
      </c>
      <c r="AE23" s="20">
        <v>0.0</v>
      </c>
      <c r="AF23" s="20">
        <v>0.0</v>
      </c>
      <c r="AG23" s="24" t="str">
        <f t="shared" si="9"/>
        <v>-</v>
      </c>
      <c r="AH23" s="20">
        <v>0.0</v>
      </c>
      <c r="AI23" s="22" t="str">
        <f t="shared" si="10"/>
        <v>-</v>
      </c>
      <c r="AJ23" s="26"/>
      <c r="AK23" s="26"/>
      <c r="AL23" s="27" t="str">
        <f t="shared" si="11"/>
        <v>-</v>
      </c>
      <c r="AM23" s="27" t="str">
        <f t="shared" si="12"/>
        <v>-</v>
      </c>
      <c r="AN23" s="28" t="str">
        <f t="shared" si="13"/>
        <v>-</v>
      </c>
      <c r="AO23" s="27" t="str">
        <f t="shared" si="14"/>
        <v>-</v>
      </c>
      <c r="AP23" s="27" t="str">
        <f t="shared" si="15"/>
        <v>-</v>
      </c>
      <c r="AQ23" s="27" t="str">
        <f t="shared" ref="AQ23:AR23" si="36">iferror(AB23/$M23,"-")</f>
        <v>-</v>
      </c>
      <c r="AR23" s="27" t="str">
        <f t="shared" si="36"/>
        <v>-</v>
      </c>
      <c r="AS23" s="29" t="str">
        <f t="shared" si="17"/>
        <v>-</v>
      </c>
      <c r="AT23" s="29" t="str">
        <f t="shared" si="18"/>
        <v>-</v>
      </c>
      <c r="AU23" s="26"/>
      <c r="AV23" s="26"/>
      <c r="AW23" s="26"/>
      <c r="AX23" s="26"/>
    </row>
    <row r="24">
      <c r="B24" s="17">
        <v>21.0</v>
      </c>
      <c r="C24" s="18">
        <f t="shared" si="2"/>
        <v>7</v>
      </c>
      <c r="D24" s="19" t="s">
        <v>67</v>
      </c>
      <c r="E24" s="19" t="s">
        <v>74</v>
      </c>
      <c r="F24" s="19">
        <v>3.0</v>
      </c>
      <c r="G24" s="19" t="s">
        <v>47</v>
      </c>
      <c r="H24" s="19" t="s">
        <v>48</v>
      </c>
      <c r="I24" s="19">
        <v>180.0</v>
      </c>
      <c r="J24" s="19">
        <v>69.0</v>
      </c>
      <c r="K24" s="20">
        <v>7.0</v>
      </c>
      <c r="L24" s="20">
        <v>2.0</v>
      </c>
      <c r="M24" s="20">
        <v>4.0</v>
      </c>
      <c r="N24" s="20">
        <v>7.0</v>
      </c>
      <c r="O24" s="20">
        <v>1.0</v>
      </c>
      <c r="P24" s="20">
        <v>1.0</v>
      </c>
      <c r="Q24" s="20">
        <v>0.0</v>
      </c>
      <c r="R24" s="21">
        <f t="shared" si="3"/>
        <v>8</v>
      </c>
      <c r="S24" s="22">
        <f t="shared" si="4"/>
        <v>0.88</v>
      </c>
      <c r="T24" s="20">
        <v>1.0</v>
      </c>
      <c r="U24" s="20">
        <v>0.0</v>
      </c>
      <c r="V24" s="20">
        <v>3.0</v>
      </c>
      <c r="W24" s="20">
        <v>18.0</v>
      </c>
      <c r="X24" s="20">
        <v>1.0</v>
      </c>
      <c r="Y24" s="20">
        <v>0.0</v>
      </c>
      <c r="Z24" s="21">
        <f t="shared" si="5"/>
        <v>19</v>
      </c>
      <c r="AA24" s="20">
        <v>0.0</v>
      </c>
      <c r="AB24" s="21">
        <f t="shared" si="6"/>
        <v>9</v>
      </c>
      <c r="AC24" s="23">
        <f t="shared" si="7"/>
        <v>11.25</v>
      </c>
      <c r="AD24" s="30" t="str">
        <f t="shared" si="8"/>
        <v>-</v>
      </c>
      <c r="AE24" s="20">
        <v>0.0</v>
      </c>
      <c r="AF24" s="20">
        <v>0.0</v>
      </c>
      <c r="AG24" s="24" t="str">
        <f t="shared" si="9"/>
        <v>-</v>
      </c>
      <c r="AH24" s="20">
        <v>2.0</v>
      </c>
      <c r="AI24" s="22" t="str">
        <f t="shared" si="10"/>
        <v>0.50</v>
      </c>
      <c r="AJ24" s="26"/>
      <c r="AK24" s="26"/>
      <c r="AL24" s="27">
        <f t="shared" si="11"/>
        <v>1.75</v>
      </c>
      <c r="AM24" s="27">
        <f t="shared" si="12"/>
        <v>2</v>
      </c>
      <c r="AN24" s="28">
        <f t="shared" si="13"/>
        <v>0.875</v>
      </c>
      <c r="AO24" s="27">
        <f t="shared" si="14"/>
        <v>0.25</v>
      </c>
      <c r="AP24" s="27">
        <f t="shared" si="15"/>
        <v>0.25</v>
      </c>
      <c r="AQ24" s="27">
        <f t="shared" ref="AQ24:AR24" si="37">iferror(AB24/$M24,"-")</f>
        <v>2.25</v>
      </c>
      <c r="AR24" s="27">
        <f t="shared" si="37"/>
        <v>2.8125</v>
      </c>
      <c r="AS24" s="29">
        <f t="shared" si="17"/>
        <v>0</v>
      </c>
      <c r="AT24" s="29" t="str">
        <f t="shared" si="18"/>
        <v>0.50</v>
      </c>
      <c r="AU24" s="26"/>
      <c r="AV24" s="26"/>
      <c r="AW24" s="26"/>
      <c r="AX24" s="26"/>
    </row>
    <row r="25">
      <c r="B25" s="17">
        <v>22.0</v>
      </c>
      <c r="C25" s="18">
        <f t="shared" si="2"/>
        <v>8</v>
      </c>
      <c r="D25" s="19" t="s">
        <v>67</v>
      </c>
      <c r="E25" s="19" t="s">
        <v>75</v>
      </c>
      <c r="F25" s="19">
        <v>1.0</v>
      </c>
      <c r="G25" s="19" t="s">
        <v>52</v>
      </c>
      <c r="H25" s="19" t="s">
        <v>48</v>
      </c>
      <c r="I25" s="19">
        <v>175.0</v>
      </c>
      <c r="J25" s="19">
        <v>69.0</v>
      </c>
      <c r="K25" s="20">
        <v>9.0</v>
      </c>
      <c r="L25" s="20">
        <v>2.0</v>
      </c>
      <c r="M25" s="20">
        <v>2.0</v>
      </c>
      <c r="N25" s="20">
        <v>0.0</v>
      </c>
      <c r="O25" s="20">
        <v>0.0</v>
      </c>
      <c r="P25" s="20">
        <v>0.0</v>
      </c>
      <c r="Q25" s="20">
        <v>0.0</v>
      </c>
      <c r="R25" s="30" t="str">
        <f t="shared" si="3"/>
        <v>-</v>
      </c>
      <c r="S25" s="22" t="str">
        <f t="shared" si="4"/>
        <v>-</v>
      </c>
      <c r="T25" s="20">
        <v>0.0</v>
      </c>
      <c r="U25" s="20">
        <v>0.0</v>
      </c>
      <c r="V25" s="20">
        <v>0.0</v>
      </c>
      <c r="W25" s="20">
        <v>0.0</v>
      </c>
      <c r="X25" s="20">
        <v>0.0</v>
      </c>
      <c r="Y25" s="20">
        <v>0.0</v>
      </c>
      <c r="Z25" s="30" t="str">
        <f t="shared" si="5"/>
        <v>-</v>
      </c>
      <c r="AA25" s="20">
        <v>0.0</v>
      </c>
      <c r="AB25" s="30" t="str">
        <f t="shared" si="6"/>
        <v>-</v>
      </c>
      <c r="AC25" s="23">
        <f t="shared" si="7"/>
        <v>0</v>
      </c>
      <c r="AD25" s="21">
        <f t="shared" si="8"/>
        <v>2</v>
      </c>
      <c r="AE25" s="20">
        <v>1.0</v>
      </c>
      <c r="AF25" s="20">
        <v>1.0</v>
      </c>
      <c r="AG25" s="24">
        <f t="shared" si="9"/>
        <v>50</v>
      </c>
      <c r="AH25" s="20">
        <v>0.0</v>
      </c>
      <c r="AI25" s="22" t="str">
        <f t="shared" si="10"/>
        <v>0</v>
      </c>
      <c r="AJ25" s="26"/>
      <c r="AK25" s="26"/>
      <c r="AL25" s="27">
        <f t="shared" si="11"/>
        <v>0</v>
      </c>
      <c r="AM25" s="27" t="str">
        <f t="shared" si="12"/>
        <v>-</v>
      </c>
      <c r="AN25" s="28" t="str">
        <f t="shared" si="13"/>
        <v>-</v>
      </c>
      <c r="AO25" s="27">
        <f t="shared" si="14"/>
        <v>0</v>
      </c>
      <c r="AP25" s="27">
        <f t="shared" si="15"/>
        <v>0</v>
      </c>
      <c r="AQ25" s="27" t="str">
        <f t="shared" ref="AQ25:AR25" si="38">iferror(AB25/$M25,"-")</f>
        <v>-</v>
      </c>
      <c r="AR25" s="27">
        <f t="shared" si="38"/>
        <v>0</v>
      </c>
      <c r="AS25" s="29">
        <f t="shared" si="17"/>
        <v>0.5</v>
      </c>
      <c r="AT25" s="29" t="str">
        <f t="shared" si="18"/>
        <v>0</v>
      </c>
      <c r="AU25" s="26"/>
      <c r="AV25" s="26"/>
      <c r="AW25" s="26"/>
      <c r="AX25" s="26"/>
    </row>
    <row r="26">
      <c r="B26" s="17">
        <v>23.0</v>
      </c>
      <c r="C26" s="18">
        <f t="shared" si="2"/>
        <v>9</v>
      </c>
      <c r="D26" s="19" t="s">
        <v>67</v>
      </c>
      <c r="E26" s="19" t="s">
        <v>76</v>
      </c>
      <c r="F26" s="19">
        <v>2.0</v>
      </c>
      <c r="G26" s="19" t="s">
        <v>52</v>
      </c>
      <c r="H26" s="19" t="s">
        <v>48</v>
      </c>
      <c r="I26" s="19">
        <v>175.0</v>
      </c>
      <c r="J26" s="19">
        <v>63.0</v>
      </c>
      <c r="K26" s="20">
        <v>10.0</v>
      </c>
      <c r="L26" s="20">
        <v>3.0</v>
      </c>
      <c r="M26" s="20">
        <v>10.0</v>
      </c>
      <c r="N26" s="20">
        <v>21.0</v>
      </c>
      <c r="O26" s="20">
        <v>3.0</v>
      </c>
      <c r="P26" s="20">
        <v>19.0</v>
      </c>
      <c r="Q26" s="20">
        <v>10.0</v>
      </c>
      <c r="R26" s="21">
        <f t="shared" si="3"/>
        <v>50</v>
      </c>
      <c r="S26" s="22">
        <f t="shared" si="4"/>
        <v>0.22</v>
      </c>
      <c r="T26" s="20">
        <v>1.0</v>
      </c>
      <c r="U26" s="20">
        <v>0.0</v>
      </c>
      <c r="V26" s="20">
        <v>2.0</v>
      </c>
      <c r="W26" s="20">
        <v>16.0</v>
      </c>
      <c r="X26" s="20">
        <v>3.0</v>
      </c>
      <c r="Y26" s="20">
        <v>6.0</v>
      </c>
      <c r="Z26" s="21">
        <f t="shared" si="5"/>
        <v>25</v>
      </c>
      <c r="AA26" s="20">
        <v>1.0</v>
      </c>
      <c r="AB26" s="21">
        <f t="shared" si="6"/>
        <v>25</v>
      </c>
      <c r="AC26" s="23">
        <f t="shared" si="7"/>
        <v>26.5</v>
      </c>
      <c r="AD26" s="21">
        <f t="shared" si="8"/>
        <v>33</v>
      </c>
      <c r="AE26" s="20">
        <v>27.0</v>
      </c>
      <c r="AF26" s="20">
        <v>6.0</v>
      </c>
      <c r="AG26" s="24">
        <f t="shared" si="9"/>
        <v>81.81818182</v>
      </c>
      <c r="AH26" s="20">
        <v>13.0</v>
      </c>
      <c r="AI26" s="22" t="str">
        <f t="shared" si="10"/>
        <v>1.30</v>
      </c>
      <c r="AJ26" s="26"/>
      <c r="AK26" s="26"/>
      <c r="AL26" s="27">
        <f t="shared" si="11"/>
        <v>2.1</v>
      </c>
      <c r="AM26" s="27">
        <f t="shared" si="12"/>
        <v>5</v>
      </c>
      <c r="AN26" s="28">
        <f t="shared" si="13"/>
        <v>0.42</v>
      </c>
      <c r="AO26" s="27">
        <f t="shared" si="14"/>
        <v>0.1</v>
      </c>
      <c r="AP26" s="27">
        <f t="shared" si="15"/>
        <v>0.3</v>
      </c>
      <c r="AQ26" s="27">
        <f t="shared" ref="AQ26:AR26" si="39">iferror(AB26/$M26,"-")</f>
        <v>2.5</v>
      </c>
      <c r="AR26" s="27">
        <f t="shared" si="39"/>
        <v>2.65</v>
      </c>
      <c r="AS26" s="29">
        <f t="shared" si="17"/>
        <v>0.6</v>
      </c>
      <c r="AT26" s="29" t="str">
        <f t="shared" si="18"/>
        <v>1.30</v>
      </c>
      <c r="AU26" s="26"/>
      <c r="AV26" s="26"/>
      <c r="AW26" s="26"/>
      <c r="AX26" s="26"/>
    </row>
    <row r="27">
      <c r="B27" s="17">
        <v>24.0</v>
      </c>
      <c r="C27" s="18">
        <f t="shared" si="2"/>
        <v>10</v>
      </c>
      <c r="D27" s="19" t="s">
        <v>67</v>
      </c>
      <c r="E27" s="19" t="s">
        <v>77</v>
      </c>
      <c r="F27" s="19">
        <v>2.0</v>
      </c>
      <c r="G27" s="19" t="s">
        <v>52</v>
      </c>
      <c r="H27" s="19" t="s">
        <v>48</v>
      </c>
      <c r="I27" s="19">
        <v>179.0</v>
      </c>
      <c r="J27" s="19">
        <v>73.0</v>
      </c>
      <c r="K27" s="20">
        <v>11.0</v>
      </c>
      <c r="L27" s="20">
        <v>3.0</v>
      </c>
      <c r="M27" s="20">
        <v>10.0</v>
      </c>
      <c r="N27" s="20">
        <v>19.0</v>
      </c>
      <c r="O27" s="20">
        <v>0.0</v>
      </c>
      <c r="P27" s="20">
        <v>26.0</v>
      </c>
      <c r="Q27" s="20">
        <v>10.0</v>
      </c>
      <c r="R27" s="21">
        <f t="shared" si="3"/>
        <v>55</v>
      </c>
      <c r="S27" s="22">
        <f t="shared" si="4"/>
        <v>0.16</v>
      </c>
      <c r="T27" s="20">
        <v>2.0</v>
      </c>
      <c r="U27" s="20">
        <v>0.0</v>
      </c>
      <c r="V27" s="20">
        <v>0.0</v>
      </c>
      <c r="W27" s="20">
        <v>29.0</v>
      </c>
      <c r="X27" s="20">
        <v>2.0</v>
      </c>
      <c r="Y27" s="20">
        <v>2.0</v>
      </c>
      <c r="Z27" s="21">
        <f t="shared" si="5"/>
        <v>33</v>
      </c>
      <c r="AA27" s="20">
        <v>0.0</v>
      </c>
      <c r="AB27" s="21">
        <f t="shared" si="6"/>
        <v>23</v>
      </c>
      <c r="AC27" s="23">
        <f t="shared" si="7"/>
        <v>23</v>
      </c>
      <c r="AD27" s="21">
        <f t="shared" si="8"/>
        <v>46</v>
      </c>
      <c r="AE27" s="20">
        <v>42.0</v>
      </c>
      <c r="AF27" s="20">
        <v>4.0</v>
      </c>
      <c r="AG27" s="24">
        <f t="shared" si="9"/>
        <v>91.30434783</v>
      </c>
      <c r="AH27" s="20">
        <v>14.0</v>
      </c>
      <c r="AI27" s="22" t="str">
        <f t="shared" si="10"/>
        <v>1.40</v>
      </c>
      <c r="AJ27" s="26"/>
      <c r="AK27" s="26"/>
      <c r="AL27" s="27">
        <f t="shared" si="11"/>
        <v>1.9</v>
      </c>
      <c r="AM27" s="27">
        <f t="shared" si="12"/>
        <v>5.5</v>
      </c>
      <c r="AN27" s="28">
        <f t="shared" si="13"/>
        <v>0.3454545455</v>
      </c>
      <c r="AO27" s="27">
        <f t="shared" si="14"/>
        <v>0.2</v>
      </c>
      <c r="AP27" s="27">
        <f t="shared" si="15"/>
        <v>0.2</v>
      </c>
      <c r="AQ27" s="27">
        <f t="shared" ref="AQ27:AR27" si="40">iferror(AB27/$M27,"-")</f>
        <v>2.3</v>
      </c>
      <c r="AR27" s="27">
        <f t="shared" si="40"/>
        <v>2.3</v>
      </c>
      <c r="AS27" s="29">
        <f t="shared" si="17"/>
        <v>0.4</v>
      </c>
      <c r="AT27" s="29" t="str">
        <f t="shared" si="18"/>
        <v>1.40</v>
      </c>
      <c r="AU27" s="26"/>
      <c r="AV27" s="26"/>
      <c r="AW27" s="26"/>
      <c r="AX27" s="26"/>
    </row>
    <row r="28">
      <c r="B28" s="17">
        <v>25.0</v>
      </c>
      <c r="C28" s="18">
        <f t="shared" si="2"/>
        <v>11</v>
      </c>
      <c r="D28" s="19" t="s">
        <v>67</v>
      </c>
      <c r="E28" s="19" t="s">
        <v>78</v>
      </c>
      <c r="F28" s="19">
        <v>2.0</v>
      </c>
      <c r="G28" s="19" t="s">
        <v>47</v>
      </c>
      <c r="H28" s="19" t="s">
        <v>48</v>
      </c>
      <c r="I28" s="19">
        <v>194.0</v>
      </c>
      <c r="J28" s="19">
        <v>74.0</v>
      </c>
      <c r="K28" s="20">
        <v>12.0</v>
      </c>
      <c r="L28" s="20">
        <v>3.0</v>
      </c>
      <c r="M28" s="20">
        <v>11.0</v>
      </c>
      <c r="N28" s="20">
        <v>35.0</v>
      </c>
      <c r="O28" s="20">
        <v>1.0</v>
      </c>
      <c r="P28" s="20">
        <v>22.0</v>
      </c>
      <c r="Q28" s="20">
        <v>3.0</v>
      </c>
      <c r="R28" s="21">
        <f t="shared" si="3"/>
        <v>60</v>
      </c>
      <c r="S28" s="22">
        <f t="shared" si="4"/>
        <v>0.53</v>
      </c>
      <c r="T28" s="20">
        <v>9.0</v>
      </c>
      <c r="U28" s="20">
        <v>1.0</v>
      </c>
      <c r="V28" s="20">
        <v>3.0</v>
      </c>
      <c r="W28" s="20">
        <v>41.0</v>
      </c>
      <c r="X28" s="20">
        <v>6.0</v>
      </c>
      <c r="Y28" s="20">
        <v>2.0</v>
      </c>
      <c r="Z28" s="21">
        <f t="shared" si="5"/>
        <v>49</v>
      </c>
      <c r="AA28" s="20">
        <v>0.0</v>
      </c>
      <c r="AB28" s="21">
        <f t="shared" si="6"/>
        <v>50</v>
      </c>
      <c r="AC28" s="23">
        <f t="shared" si="7"/>
        <v>52.25</v>
      </c>
      <c r="AD28" s="21">
        <f t="shared" si="8"/>
        <v>14</v>
      </c>
      <c r="AE28" s="20">
        <v>14.0</v>
      </c>
      <c r="AF28" s="20">
        <v>0.0</v>
      </c>
      <c r="AG28" s="24">
        <f t="shared" si="9"/>
        <v>100</v>
      </c>
      <c r="AH28" s="20">
        <v>6.0</v>
      </c>
      <c r="AI28" s="22" t="str">
        <f t="shared" si="10"/>
        <v>0.55</v>
      </c>
      <c r="AJ28" s="26"/>
      <c r="AK28" s="26"/>
      <c r="AL28" s="27">
        <f t="shared" si="11"/>
        <v>3.181818182</v>
      </c>
      <c r="AM28" s="27">
        <f t="shared" si="12"/>
        <v>5.454545455</v>
      </c>
      <c r="AN28" s="28">
        <f t="shared" si="13"/>
        <v>0.5833333333</v>
      </c>
      <c r="AO28" s="27">
        <f t="shared" si="14"/>
        <v>0.8181818182</v>
      </c>
      <c r="AP28" s="27">
        <f t="shared" si="15"/>
        <v>0.5454545455</v>
      </c>
      <c r="AQ28" s="27">
        <f t="shared" ref="AQ28:AR28" si="41">iferror(AB28/$M28,"-")</f>
        <v>4.545454545</v>
      </c>
      <c r="AR28" s="27">
        <f t="shared" si="41"/>
        <v>4.75</v>
      </c>
      <c r="AS28" s="29">
        <f t="shared" si="17"/>
        <v>0</v>
      </c>
      <c r="AT28" s="29" t="str">
        <f t="shared" si="18"/>
        <v>0.55</v>
      </c>
      <c r="AU28" s="26"/>
      <c r="AV28" s="26"/>
      <c r="AW28" s="26"/>
      <c r="AX28" s="26"/>
    </row>
    <row r="29">
      <c r="B29" s="17">
        <v>26.0</v>
      </c>
      <c r="C29" s="18">
        <f t="shared" si="2"/>
        <v>12</v>
      </c>
      <c r="D29" s="19" t="s">
        <v>67</v>
      </c>
      <c r="E29" s="19" t="s">
        <v>79</v>
      </c>
      <c r="F29" s="19">
        <v>2.0</v>
      </c>
      <c r="G29" s="19" t="s">
        <v>47</v>
      </c>
      <c r="H29" s="19" t="s">
        <v>48</v>
      </c>
      <c r="I29" s="19">
        <v>180.0</v>
      </c>
      <c r="J29" s="19">
        <v>68.0</v>
      </c>
      <c r="K29" s="20">
        <v>14.0</v>
      </c>
      <c r="L29" s="20">
        <v>3.0</v>
      </c>
      <c r="M29" s="20">
        <v>11.0</v>
      </c>
      <c r="N29" s="20">
        <v>14.0</v>
      </c>
      <c r="O29" s="20">
        <v>1.0</v>
      </c>
      <c r="P29" s="20">
        <v>15.0</v>
      </c>
      <c r="Q29" s="20">
        <v>8.0</v>
      </c>
      <c r="R29" s="21">
        <f t="shared" si="3"/>
        <v>37</v>
      </c>
      <c r="S29" s="22">
        <f t="shared" si="4"/>
        <v>0.16</v>
      </c>
      <c r="T29" s="20">
        <v>3.0</v>
      </c>
      <c r="U29" s="20">
        <v>0.0</v>
      </c>
      <c r="V29" s="20">
        <v>8.0</v>
      </c>
      <c r="W29" s="20">
        <v>29.0</v>
      </c>
      <c r="X29" s="20">
        <v>6.0</v>
      </c>
      <c r="Y29" s="20">
        <v>2.0</v>
      </c>
      <c r="Z29" s="21">
        <f t="shared" si="5"/>
        <v>37</v>
      </c>
      <c r="AA29" s="20">
        <v>0.0</v>
      </c>
      <c r="AB29" s="21">
        <f t="shared" si="6"/>
        <v>23</v>
      </c>
      <c r="AC29" s="23">
        <f t="shared" si="7"/>
        <v>29</v>
      </c>
      <c r="AD29" s="21">
        <f t="shared" si="8"/>
        <v>1</v>
      </c>
      <c r="AE29" s="20">
        <v>1.0</v>
      </c>
      <c r="AF29" s="20">
        <v>0.0</v>
      </c>
      <c r="AG29" s="24">
        <f t="shared" si="9"/>
        <v>100</v>
      </c>
      <c r="AH29" s="20">
        <v>7.0</v>
      </c>
      <c r="AI29" s="22" t="str">
        <f t="shared" si="10"/>
        <v>0.64</v>
      </c>
      <c r="AJ29" s="26"/>
      <c r="AK29" s="26"/>
      <c r="AL29" s="27">
        <f t="shared" si="11"/>
        <v>1.272727273</v>
      </c>
      <c r="AM29" s="27">
        <f t="shared" si="12"/>
        <v>3.363636364</v>
      </c>
      <c r="AN29" s="28">
        <f t="shared" si="13"/>
        <v>0.3783783784</v>
      </c>
      <c r="AO29" s="27">
        <f t="shared" si="14"/>
        <v>0.2727272727</v>
      </c>
      <c r="AP29" s="27">
        <f t="shared" si="15"/>
        <v>0.5454545455</v>
      </c>
      <c r="AQ29" s="27">
        <f t="shared" ref="AQ29:AR29" si="42">iferror(AB29/$M29,"-")</f>
        <v>2.090909091</v>
      </c>
      <c r="AR29" s="27">
        <f t="shared" si="42"/>
        <v>2.636363636</v>
      </c>
      <c r="AS29" s="29">
        <f t="shared" si="17"/>
        <v>0</v>
      </c>
      <c r="AT29" s="29" t="str">
        <f t="shared" si="18"/>
        <v>0.64</v>
      </c>
      <c r="AU29" s="26"/>
      <c r="AV29" s="26"/>
      <c r="AW29" s="26"/>
      <c r="AX29" s="26"/>
    </row>
    <row r="30">
      <c r="B30" s="17">
        <v>27.0</v>
      </c>
      <c r="C30" s="18">
        <f t="shared" si="2"/>
        <v>13</v>
      </c>
      <c r="D30" s="19" t="s">
        <v>67</v>
      </c>
      <c r="E30" s="19" t="s">
        <v>80</v>
      </c>
      <c r="F30" s="19">
        <v>1.0</v>
      </c>
      <c r="G30" s="19" t="s">
        <v>47</v>
      </c>
      <c r="H30" s="19" t="s">
        <v>48</v>
      </c>
      <c r="I30" s="19">
        <v>180.0</v>
      </c>
      <c r="J30" s="19">
        <v>73.0</v>
      </c>
      <c r="K30" s="20">
        <v>15.0</v>
      </c>
      <c r="L30" s="20">
        <v>0.0</v>
      </c>
      <c r="M30" s="20">
        <v>0.0</v>
      </c>
      <c r="N30" s="20">
        <v>0.0</v>
      </c>
      <c r="O30" s="20">
        <v>0.0</v>
      </c>
      <c r="P30" s="20">
        <v>0.0</v>
      </c>
      <c r="Q30" s="20">
        <v>0.0</v>
      </c>
      <c r="R30" s="30" t="str">
        <f t="shared" si="3"/>
        <v>-</v>
      </c>
      <c r="S30" s="22" t="str">
        <f t="shared" si="4"/>
        <v>-</v>
      </c>
      <c r="T30" s="20">
        <v>0.0</v>
      </c>
      <c r="U30" s="20">
        <v>0.0</v>
      </c>
      <c r="V30" s="20">
        <v>0.0</v>
      </c>
      <c r="W30" s="20">
        <v>0.0</v>
      </c>
      <c r="X30" s="20">
        <v>0.0</v>
      </c>
      <c r="Y30" s="20">
        <v>0.0</v>
      </c>
      <c r="Z30" s="30" t="str">
        <f t="shared" si="5"/>
        <v>-</v>
      </c>
      <c r="AA30" s="20">
        <v>0.0</v>
      </c>
      <c r="AB30" s="30" t="str">
        <f t="shared" si="6"/>
        <v>-</v>
      </c>
      <c r="AC30" s="23">
        <f t="shared" si="7"/>
        <v>0</v>
      </c>
      <c r="AD30" s="30" t="str">
        <f t="shared" si="8"/>
        <v>-</v>
      </c>
      <c r="AE30" s="20">
        <v>0.0</v>
      </c>
      <c r="AF30" s="20">
        <v>0.0</v>
      </c>
      <c r="AG30" s="24" t="str">
        <f t="shared" si="9"/>
        <v>-</v>
      </c>
      <c r="AH30" s="20">
        <v>0.0</v>
      </c>
      <c r="AI30" s="22" t="str">
        <f t="shared" si="10"/>
        <v>-</v>
      </c>
      <c r="AJ30" s="26"/>
      <c r="AK30" s="26"/>
      <c r="AL30" s="27" t="str">
        <f t="shared" si="11"/>
        <v>-</v>
      </c>
      <c r="AM30" s="27" t="str">
        <f t="shared" si="12"/>
        <v>-</v>
      </c>
      <c r="AN30" s="28" t="str">
        <f t="shared" si="13"/>
        <v>-</v>
      </c>
      <c r="AO30" s="27" t="str">
        <f t="shared" si="14"/>
        <v>-</v>
      </c>
      <c r="AP30" s="27" t="str">
        <f t="shared" si="15"/>
        <v>-</v>
      </c>
      <c r="AQ30" s="27" t="str">
        <f t="shared" ref="AQ30:AR30" si="43">iferror(AB30/$M30,"-")</f>
        <v>-</v>
      </c>
      <c r="AR30" s="27" t="str">
        <f t="shared" si="43"/>
        <v>-</v>
      </c>
      <c r="AS30" s="29" t="str">
        <f t="shared" si="17"/>
        <v>-</v>
      </c>
      <c r="AT30" s="29" t="str">
        <f t="shared" si="18"/>
        <v>-</v>
      </c>
      <c r="AU30" s="26"/>
      <c r="AV30" s="26"/>
      <c r="AW30" s="26"/>
      <c r="AX30" s="26"/>
    </row>
    <row r="31">
      <c r="B31" s="17">
        <v>28.0</v>
      </c>
      <c r="C31" s="18">
        <f t="shared" si="2"/>
        <v>14</v>
      </c>
      <c r="D31" s="19" t="s">
        <v>67</v>
      </c>
      <c r="E31" s="19" t="s">
        <v>81</v>
      </c>
      <c r="F31" s="19">
        <v>2.0</v>
      </c>
      <c r="G31" s="19" t="s">
        <v>50</v>
      </c>
      <c r="H31" s="19" t="s">
        <v>48</v>
      </c>
      <c r="I31" s="19">
        <v>169.0</v>
      </c>
      <c r="J31" s="19">
        <v>62.0</v>
      </c>
      <c r="K31" s="20">
        <v>17.0</v>
      </c>
      <c r="L31" s="20">
        <v>3.0</v>
      </c>
      <c r="M31" s="20">
        <v>9.0</v>
      </c>
      <c r="N31" s="20">
        <v>1.0</v>
      </c>
      <c r="O31" s="20">
        <v>3.0</v>
      </c>
      <c r="P31" s="20">
        <v>0.0</v>
      </c>
      <c r="Q31" s="20">
        <v>2.0</v>
      </c>
      <c r="R31" s="21">
        <f t="shared" si="3"/>
        <v>3</v>
      </c>
      <c r="S31" s="22">
        <f t="shared" si="4"/>
        <v>-0.33</v>
      </c>
      <c r="T31" s="20">
        <v>0.0</v>
      </c>
      <c r="U31" s="20">
        <v>0.0</v>
      </c>
      <c r="V31" s="20">
        <v>0.0</v>
      </c>
      <c r="W31" s="20">
        <v>7.0</v>
      </c>
      <c r="X31" s="20">
        <v>0.0</v>
      </c>
      <c r="Y31" s="20">
        <v>0.0</v>
      </c>
      <c r="Z31" s="21">
        <f t="shared" si="5"/>
        <v>7</v>
      </c>
      <c r="AA31" s="20">
        <v>0.0</v>
      </c>
      <c r="AB31" s="21">
        <f t="shared" si="6"/>
        <v>1</v>
      </c>
      <c r="AC31" s="23">
        <f t="shared" si="7"/>
        <v>1</v>
      </c>
      <c r="AD31" s="21">
        <f t="shared" si="8"/>
        <v>32</v>
      </c>
      <c r="AE31" s="20">
        <v>31.0</v>
      </c>
      <c r="AF31" s="20">
        <v>1.0</v>
      </c>
      <c r="AG31" s="24">
        <f t="shared" si="9"/>
        <v>96.875</v>
      </c>
      <c r="AH31" s="20">
        <v>15.0</v>
      </c>
      <c r="AI31" s="22" t="str">
        <f t="shared" si="10"/>
        <v>1.67</v>
      </c>
      <c r="AJ31" s="26"/>
      <c r="AK31" s="26"/>
      <c r="AL31" s="27">
        <f t="shared" si="11"/>
        <v>0.1111111111</v>
      </c>
      <c r="AM31" s="27">
        <f t="shared" si="12"/>
        <v>0.3333333333</v>
      </c>
      <c r="AN31" s="28">
        <f t="shared" si="13"/>
        <v>0.3333333333</v>
      </c>
      <c r="AO31" s="27">
        <f t="shared" si="14"/>
        <v>0</v>
      </c>
      <c r="AP31" s="27">
        <f t="shared" si="15"/>
        <v>0</v>
      </c>
      <c r="AQ31" s="27">
        <f t="shared" ref="AQ31:AR31" si="44">iferror(AB31/$M31,"-")</f>
        <v>0.1111111111</v>
      </c>
      <c r="AR31" s="27">
        <f t="shared" si="44"/>
        <v>0.1111111111</v>
      </c>
      <c r="AS31" s="29">
        <f t="shared" si="17"/>
        <v>0.1111111111</v>
      </c>
      <c r="AT31" s="29" t="str">
        <f t="shared" si="18"/>
        <v>1.67</v>
      </c>
      <c r="AU31" s="26"/>
      <c r="AV31" s="26"/>
      <c r="AW31" s="26"/>
      <c r="AX31" s="26"/>
    </row>
    <row r="32">
      <c r="B32" s="17">
        <v>29.0</v>
      </c>
      <c r="C32" s="18">
        <f t="shared" si="2"/>
        <v>15</v>
      </c>
      <c r="D32" s="19" t="s">
        <v>67</v>
      </c>
      <c r="E32" s="19" t="s">
        <v>82</v>
      </c>
      <c r="F32" s="19">
        <v>3.0</v>
      </c>
      <c r="G32" s="19" t="s">
        <v>54</v>
      </c>
      <c r="H32" s="19" t="s">
        <v>48</v>
      </c>
      <c r="I32" s="19">
        <v>174.0</v>
      </c>
      <c r="J32" s="19">
        <v>58.0</v>
      </c>
      <c r="K32" s="20">
        <v>19.0</v>
      </c>
      <c r="L32" s="20">
        <v>3.0</v>
      </c>
      <c r="M32" s="20">
        <v>11.0</v>
      </c>
      <c r="N32" s="20">
        <v>7.0</v>
      </c>
      <c r="O32" s="20">
        <v>94.0</v>
      </c>
      <c r="P32" s="20">
        <v>5.0</v>
      </c>
      <c r="Q32" s="20">
        <v>0.0</v>
      </c>
      <c r="R32" s="21">
        <f t="shared" si="3"/>
        <v>12</v>
      </c>
      <c r="S32" s="22">
        <f t="shared" si="4"/>
        <v>0.58</v>
      </c>
      <c r="T32" s="20">
        <v>6.0</v>
      </c>
      <c r="U32" s="20">
        <v>1.0</v>
      </c>
      <c r="V32" s="20">
        <v>5.0</v>
      </c>
      <c r="W32" s="20">
        <v>30.0</v>
      </c>
      <c r="X32" s="20">
        <v>3.0</v>
      </c>
      <c r="Y32" s="20">
        <v>3.0</v>
      </c>
      <c r="Z32" s="21">
        <f t="shared" si="5"/>
        <v>36</v>
      </c>
      <c r="AA32" s="20">
        <v>3.0</v>
      </c>
      <c r="AB32" s="21">
        <f t="shared" si="6"/>
        <v>16</v>
      </c>
      <c r="AC32" s="23">
        <f t="shared" si="7"/>
        <v>19.75</v>
      </c>
      <c r="AD32" s="21">
        <f t="shared" si="8"/>
        <v>3</v>
      </c>
      <c r="AE32" s="20">
        <v>0.0</v>
      </c>
      <c r="AF32" s="20">
        <v>3.0</v>
      </c>
      <c r="AG32" s="24">
        <f t="shared" si="9"/>
        <v>0</v>
      </c>
      <c r="AH32" s="20">
        <v>22.0</v>
      </c>
      <c r="AI32" s="22" t="str">
        <f t="shared" si="10"/>
        <v>2</v>
      </c>
      <c r="AJ32" s="26"/>
      <c r="AK32" s="26"/>
      <c r="AL32" s="27">
        <f t="shared" si="11"/>
        <v>0.6363636364</v>
      </c>
      <c r="AM32" s="27">
        <f t="shared" si="12"/>
        <v>1.090909091</v>
      </c>
      <c r="AN32" s="28">
        <f t="shared" si="13"/>
        <v>0.5833333333</v>
      </c>
      <c r="AO32" s="27">
        <f t="shared" si="14"/>
        <v>0.5454545455</v>
      </c>
      <c r="AP32" s="27">
        <f t="shared" si="15"/>
        <v>0.2727272727</v>
      </c>
      <c r="AQ32" s="27">
        <f t="shared" ref="AQ32:AR32" si="45">iferror(AB32/$M32,"-")</f>
        <v>1.454545455</v>
      </c>
      <c r="AR32" s="27">
        <f t="shared" si="45"/>
        <v>1.795454545</v>
      </c>
      <c r="AS32" s="29">
        <f t="shared" si="17"/>
        <v>0.2727272727</v>
      </c>
      <c r="AT32" s="29" t="str">
        <f t="shared" si="18"/>
        <v>2</v>
      </c>
      <c r="AU32" s="26"/>
      <c r="AV32" s="26"/>
      <c r="AW32" s="26"/>
      <c r="AX32" s="26"/>
    </row>
    <row r="33">
      <c r="B33" s="17">
        <v>30.0</v>
      </c>
      <c r="C33" s="18">
        <f t="shared" si="2"/>
        <v>1</v>
      </c>
      <c r="D33" s="19" t="s">
        <v>83</v>
      </c>
      <c r="E33" s="19" t="s">
        <v>84</v>
      </c>
      <c r="F33" s="19">
        <v>2.0</v>
      </c>
      <c r="G33" s="19" t="s">
        <v>47</v>
      </c>
      <c r="H33" s="19" t="s">
        <v>48</v>
      </c>
      <c r="I33" s="19">
        <v>174.0</v>
      </c>
      <c r="J33" s="19">
        <v>63.0</v>
      </c>
      <c r="K33" s="20">
        <v>1.0</v>
      </c>
      <c r="L33" s="20">
        <v>0.0</v>
      </c>
      <c r="M33" s="20">
        <v>0.0</v>
      </c>
      <c r="N33" s="20">
        <v>0.0</v>
      </c>
      <c r="O33" s="20">
        <v>0.0</v>
      </c>
      <c r="P33" s="20">
        <v>0.0</v>
      </c>
      <c r="Q33" s="20">
        <v>0.0</v>
      </c>
      <c r="R33" s="30" t="str">
        <f t="shared" si="3"/>
        <v>-</v>
      </c>
      <c r="S33" s="22" t="str">
        <f t="shared" si="4"/>
        <v>-</v>
      </c>
      <c r="T33" s="20">
        <v>0.0</v>
      </c>
      <c r="U33" s="20">
        <v>0.0</v>
      </c>
      <c r="V33" s="20">
        <v>0.0</v>
      </c>
      <c r="W33" s="20">
        <v>0.0</v>
      </c>
      <c r="X33" s="20">
        <v>0.0</v>
      </c>
      <c r="Y33" s="20">
        <v>0.0</v>
      </c>
      <c r="Z33" s="30" t="str">
        <f t="shared" si="5"/>
        <v>-</v>
      </c>
      <c r="AA33" s="20">
        <v>0.0</v>
      </c>
      <c r="AB33" s="30" t="str">
        <f t="shared" si="6"/>
        <v>-</v>
      </c>
      <c r="AC33" s="23">
        <f t="shared" si="7"/>
        <v>0</v>
      </c>
      <c r="AD33" s="30" t="str">
        <f t="shared" si="8"/>
        <v>-</v>
      </c>
      <c r="AE33" s="20">
        <v>0.0</v>
      </c>
      <c r="AF33" s="20">
        <v>0.0</v>
      </c>
      <c r="AG33" s="24" t="str">
        <f t="shared" si="9"/>
        <v>-</v>
      </c>
      <c r="AH33" s="20">
        <v>0.0</v>
      </c>
      <c r="AI33" s="22" t="str">
        <f t="shared" si="10"/>
        <v>-</v>
      </c>
      <c r="AJ33" s="26"/>
      <c r="AK33" s="26"/>
      <c r="AL33" s="27" t="str">
        <f t="shared" si="11"/>
        <v>-</v>
      </c>
      <c r="AM33" s="27" t="str">
        <f t="shared" si="12"/>
        <v>-</v>
      </c>
      <c r="AN33" s="28" t="str">
        <f t="shared" si="13"/>
        <v>-</v>
      </c>
      <c r="AO33" s="27" t="str">
        <f t="shared" si="14"/>
        <v>-</v>
      </c>
      <c r="AP33" s="27" t="str">
        <f t="shared" si="15"/>
        <v>-</v>
      </c>
      <c r="AQ33" s="27" t="str">
        <f t="shared" ref="AQ33:AR33" si="46">iferror(AB33/$M33,"-")</f>
        <v>-</v>
      </c>
      <c r="AR33" s="27" t="str">
        <f t="shared" si="46"/>
        <v>-</v>
      </c>
      <c r="AS33" s="29" t="str">
        <f t="shared" si="17"/>
        <v>-</v>
      </c>
      <c r="AT33" s="29" t="str">
        <f t="shared" si="18"/>
        <v>-</v>
      </c>
      <c r="AU33" s="26"/>
      <c r="AV33" s="26"/>
      <c r="AW33" s="26"/>
      <c r="AX33" s="26"/>
    </row>
    <row r="34">
      <c r="B34" s="17">
        <v>31.0</v>
      </c>
      <c r="C34" s="18">
        <f t="shared" si="2"/>
        <v>2</v>
      </c>
      <c r="D34" s="19" t="s">
        <v>83</v>
      </c>
      <c r="E34" s="19" t="s">
        <v>85</v>
      </c>
      <c r="F34" s="19">
        <v>2.0</v>
      </c>
      <c r="G34" s="19" t="s">
        <v>52</v>
      </c>
      <c r="H34" s="19" t="s">
        <v>57</v>
      </c>
      <c r="I34" s="19">
        <v>174.0</v>
      </c>
      <c r="J34" s="19">
        <v>58.0</v>
      </c>
      <c r="K34" s="20">
        <v>2.0</v>
      </c>
      <c r="L34" s="20">
        <v>3.0</v>
      </c>
      <c r="M34" s="20">
        <v>9.0</v>
      </c>
      <c r="N34" s="20">
        <v>14.0</v>
      </c>
      <c r="O34" s="20">
        <v>1.0</v>
      </c>
      <c r="P34" s="20">
        <v>15.0</v>
      </c>
      <c r="Q34" s="20">
        <v>11.0</v>
      </c>
      <c r="R34" s="21">
        <f t="shared" si="3"/>
        <v>40</v>
      </c>
      <c r="S34" s="22">
        <f t="shared" si="4"/>
        <v>0.08</v>
      </c>
      <c r="T34" s="20">
        <v>1.0</v>
      </c>
      <c r="U34" s="20">
        <v>0.0</v>
      </c>
      <c r="V34" s="20">
        <v>1.0</v>
      </c>
      <c r="W34" s="20">
        <v>12.0</v>
      </c>
      <c r="X34" s="20">
        <v>2.0</v>
      </c>
      <c r="Y34" s="20">
        <v>5.0</v>
      </c>
      <c r="Z34" s="21">
        <f t="shared" si="5"/>
        <v>19</v>
      </c>
      <c r="AA34" s="20">
        <v>0.0</v>
      </c>
      <c r="AB34" s="21">
        <f t="shared" si="6"/>
        <v>17</v>
      </c>
      <c r="AC34" s="23">
        <f t="shared" si="7"/>
        <v>17.75</v>
      </c>
      <c r="AD34" s="21">
        <f t="shared" si="8"/>
        <v>18</v>
      </c>
      <c r="AE34" s="20">
        <v>16.0</v>
      </c>
      <c r="AF34" s="20">
        <v>2.0</v>
      </c>
      <c r="AG34" s="24">
        <f t="shared" si="9"/>
        <v>88.88888889</v>
      </c>
      <c r="AH34" s="20">
        <v>12.0</v>
      </c>
      <c r="AI34" s="22" t="str">
        <f t="shared" si="10"/>
        <v>1.33</v>
      </c>
      <c r="AJ34" s="26"/>
      <c r="AK34" s="26"/>
      <c r="AL34" s="27">
        <f t="shared" si="11"/>
        <v>1.555555556</v>
      </c>
      <c r="AM34" s="27">
        <f t="shared" si="12"/>
        <v>4.444444444</v>
      </c>
      <c r="AN34" s="28">
        <f t="shared" si="13"/>
        <v>0.35</v>
      </c>
      <c r="AO34" s="27">
        <f t="shared" si="14"/>
        <v>0.1111111111</v>
      </c>
      <c r="AP34" s="27">
        <f t="shared" si="15"/>
        <v>0.2222222222</v>
      </c>
      <c r="AQ34" s="27">
        <f t="shared" ref="AQ34:AR34" si="47">iferror(AB34/$M34,"-")</f>
        <v>1.888888889</v>
      </c>
      <c r="AR34" s="27">
        <f t="shared" si="47"/>
        <v>1.972222222</v>
      </c>
      <c r="AS34" s="29">
        <f t="shared" si="17"/>
        <v>0.2222222222</v>
      </c>
      <c r="AT34" s="29" t="str">
        <f t="shared" si="18"/>
        <v>1.33</v>
      </c>
      <c r="AU34" s="26"/>
      <c r="AV34" s="26"/>
      <c r="AW34" s="26"/>
      <c r="AX34" s="26"/>
    </row>
    <row r="35">
      <c r="B35" s="17">
        <v>32.0</v>
      </c>
      <c r="C35" s="18">
        <f t="shared" si="2"/>
        <v>3</v>
      </c>
      <c r="D35" s="19" t="s">
        <v>83</v>
      </c>
      <c r="E35" s="19" t="s">
        <v>86</v>
      </c>
      <c r="F35" s="19">
        <v>2.0</v>
      </c>
      <c r="G35" s="19" t="s">
        <v>57</v>
      </c>
      <c r="H35" s="19" t="s">
        <v>52</v>
      </c>
      <c r="I35" s="19">
        <v>172.0</v>
      </c>
      <c r="J35" s="19">
        <v>59.0</v>
      </c>
      <c r="K35" s="20">
        <v>3.0</v>
      </c>
      <c r="L35" s="20">
        <v>3.0</v>
      </c>
      <c r="M35" s="20">
        <v>6.0</v>
      </c>
      <c r="N35" s="20">
        <v>5.0</v>
      </c>
      <c r="O35" s="20">
        <v>1.0</v>
      </c>
      <c r="P35" s="20">
        <v>9.0</v>
      </c>
      <c r="Q35" s="20">
        <v>4.0</v>
      </c>
      <c r="R35" s="21">
        <f t="shared" si="3"/>
        <v>18</v>
      </c>
      <c r="S35" s="22">
        <f t="shared" si="4"/>
        <v>0.06</v>
      </c>
      <c r="T35" s="20">
        <v>1.0</v>
      </c>
      <c r="U35" s="20">
        <v>0.0</v>
      </c>
      <c r="V35" s="20">
        <v>0.0</v>
      </c>
      <c r="W35" s="20">
        <v>5.0</v>
      </c>
      <c r="X35" s="20">
        <v>1.0</v>
      </c>
      <c r="Y35" s="20">
        <v>0.0</v>
      </c>
      <c r="Z35" s="21">
        <f t="shared" si="5"/>
        <v>6</v>
      </c>
      <c r="AA35" s="20">
        <v>1.0</v>
      </c>
      <c r="AB35" s="21">
        <f t="shared" si="6"/>
        <v>7</v>
      </c>
      <c r="AC35" s="23">
        <f t="shared" si="7"/>
        <v>7</v>
      </c>
      <c r="AD35" s="21">
        <f t="shared" si="8"/>
        <v>13</v>
      </c>
      <c r="AE35" s="20">
        <v>11.0</v>
      </c>
      <c r="AF35" s="20">
        <v>2.0</v>
      </c>
      <c r="AG35" s="24">
        <f t="shared" si="9"/>
        <v>84.61538462</v>
      </c>
      <c r="AH35" s="20">
        <v>6.0</v>
      </c>
      <c r="AI35" s="22" t="str">
        <f t="shared" si="10"/>
        <v>1</v>
      </c>
      <c r="AJ35" s="26"/>
      <c r="AK35" s="26"/>
      <c r="AL35" s="27">
        <f t="shared" si="11"/>
        <v>0.8333333333</v>
      </c>
      <c r="AM35" s="27">
        <f t="shared" si="12"/>
        <v>3</v>
      </c>
      <c r="AN35" s="28">
        <f t="shared" si="13"/>
        <v>0.2777777778</v>
      </c>
      <c r="AO35" s="27">
        <f t="shared" si="14"/>
        <v>0.1666666667</v>
      </c>
      <c r="AP35" s="27">
        <f t="shared" si="15"/>
        <v>0.1666666667</v>
      </c>
      <c r="AQ35" s="27">
        <f t="shared" ref="AQ35:AR35" si="48">iferror(AB35/$M35,"-")</f>
        <v>1.166666667</v>
      </c>
      <c r="AR35" s="27">
        <f t="shared" si="48"/>
        <v>1.166666667</v>
      </c>
      <c r="AS35" s="29">
        <f t="shared" si="17"/>
        <v>0.3333333333</v>
      </c>
      <c r="AT35" s="29" t="str">
        <f t="shared" si="18"/>
        <v>1</v>
      </c>
      <c r="AU35" s="26"/>
      <c r="AV35" s="26"/>
      <c r="AW35" s="26"/>
      <c r="AX35" s="26"/>
    </row>
    <row r="36">
      <c r="B36" s="17">
        <v>33.0</v>
      </c>
      <c r="C36" s="18">
        <f t="shared" si="2"/>
        <v>4</v>
      </c>
      <c r="D36" s="19" t="s">
        <v>83</v>
      </c>
      <c r="E36" s="19" t="s">
        <v>87</v>
      </c>
      <c r="F36" s="19">
        <v>1.0</v>
      </c>
      <c r="G36" s="19" t="s">
        <v>52</v>
      </c>
      <c r="H36" s="19" t="s">
        <v>50</v>
      </c>
      <c r="I36" s="19">
        <v>164.0</v>
      </c>
      <c r="J36" s="19">
        <v>48.0</v>
      </c>
      <c r="K36" s="20">
        <v>4.0</v>
      </c>
      <c r="L36" s="20">
        <v>3.0</v>
      </c>
      <c r="M36" s="20">
        <v>4.0</v>
      </c>
      <c r="N36" s="20">
        <v>0.0</v>
      </c>
      <c r="O36" s="20">
        <v>1.0</v>
      </c>
      <c r="P36" s="20">
        <v>0.0</v>
      </c>
      <c r="Q36" s="20">
        <v>0.0</v>
      </c>
      <c r="R36" s="30" t="str">
        <f t="shared" si="3"/>
        <v>-</v>
      </c>
      <c r="S36" s="22" t="str">
        <f t="shared" si="4"/>
        <v>-</v>
      </c>
      <c r="T36" s="20">
        <v>0.0</v>
      </c>
      <c r="U36" s="20">
        <v>0.0</v>
      </c>
      <c r="V36" s="20">
        <v>0.0</v>
      </c>
      <c r="W36" s="20">
        <v>1.0</v>
      </c>
      <c r="X36" s="20">
        <v>0.0</v>
      </c>
      <c r="Y36" s="20">
        <v>0.0</v>
      </c>
      <c r="Z36" s="21">
        <f t="shared" si="5"/>
        <v>1</v>
      </c>
      <c r="AA36" s="20">
        <v>0.0</v>
      </c>
      <c r="AB36" s="30" t="str">
        <f t="shared" si="6"/>
        <v>-</v>
      </c>
      <c r="AC36" s="23">
        <f t="shared" si="7"/>
        <v>0</v>
      </c>
      <c r="AD36" s="21">
        <f t="shared" si="8"/>
        <v>10</v>
      </c>
      <c r="AE36" s="20">
        <v>10.0</v>
      </c>
      <c r="AF36" s="20">
        <v>0.0</v>
      </c>
      <c r="AG36" s="24">
        <f t="shared" si="9"/>
        <v>100</v>
      </c>
      <c r="AH36" s="20">
        <v>4.0</v>
      </c>
      <c r="AI36" s="22" t="str">
        <f t="shared" si="10"/>
        <v>1</v>
      </c>
      <c r="AJ36" s="26"/>
      <c r="AK36" s="26"/>
      <c r="AL36" s="27">
        <f t="shared" si="11"/>
        <v>0</v>
      </c>
      <c r="AM36" s="27" t="str">
        <f t="shared" si="12"/>
        <v>-</v>
      </c>
      <c r="AN36" s="28" t="str">
        <f t="shared" si="13"/>
        <v>-</v>
      </c>
      <c r="AO36" s="27">
        <f t="shared" si="14"/>
        <v>0</v>
      </c>
      <c r="AP36" s="27">
        <f t="shared" si="15"/>
        <v>0</v>
      </c>
      <c r="AQ36" s="27" t="str">
        <f t="shared" ref="AQ36:AR36" si="49">iferror(AB36/$M36,"-")</f>
        <v>-</v>
      </c>
      <c r="AR36" s="27">
        <f t="shared" si="49"/>
        <v>0</v>
      </c>
      <c r="AS36" s="29">
        <f t="shared" si="17"/>
        <v>0</v>
      </c>
      <c r="AT36" s="29" t="str">
        <f t="shared" si="18"/>
        <v>1</v>
      </c>
      <c r="AU36" s="26"/>
      <c r="AV36" s="26"/>
      <c r="AW36" s="26"/>
      <c r="AX36" s="26"/>
    </row>
    <row r="37">
      <c r="B37" s="17">
        <v>34.0</v>
      </c>
      <c r="C37" s="18">
        <f t="shared" si="2"/>
        <v>5</v>
      </c>
      <c r="D37" s="19" t="s">
        <v>83</v>
      </c>
      <c r="E37" s="19" t="s">
        <v>88</v>
      </c>
      <c r="F37" s="19">
        <v>3.0</v>
      </c>
      <c r="G37" s="19" t="s">
        <v>52</v>
      </c>
      <c r="H37" s="19" t="s">
        <v>57</v>
      </c>
      <c r="I37" s="19">
        <v>179.0</v>
      </c>
      <c r="J37" s="19">
        <v>58.0</v>
      </c>
      <c r="K37" s="20">
        <v>5.0</v>
      </c>
      <c r="L37" s="20">
        <v>3.0</v>
      </c>
      <c r="M37" s="20">
        <v>8.0</v>
      </c>
      <c r="N37" s="20">
        <v>14.0</v>
      </c>
      <c r="O37" s="20">
        <v>1.0</v>
      </c>
      <c r="P37" s="20">
        <v>23.0</v>
      </c>
      <c r="Q37" s="20">
        <v>14.0</v>
      </c>
      <c r="R37" s="21">
        <f t="shared" si="3"/>
        <v>51</v>
      </c>
      <c r="S37" s="22" t="str">
        <f t="shared" si="4"/>
        <v>-</v>
      </c>
      <c r="T37" s="20">
        <v>1.0</v>
      </c>
      <c r="U37" s="20">
        <v>1.0</v>
      </c>
      <c r="V37" s="20">
        <v>1.0</v>
      </c>
      <c r="W37" s="20">
        <v>15.0</v>
      </c>
      <c r="X37" s="20">
        <v>2.0</v>
      </c>
      <c r="Y37" s="20">
        <v>6.0</v>
      </c>
      <c r="Z37" s="21">
        <f t="shared" si="5"/>
        <v>23</v>
      </c>
      <c r="AA37" s="20">
        <v>1.0</v>
      </c>
      <c r="AB37" s="21">
        <f t="shared" si="6"/>
        <v>17</v>
      </c>
      <c r="AC37" s="23">
        <f t="shared" si="7"/>
        <v>17.75</v>
      </c>
      <c r="AD37" s="21">
        <f t="shared" si="8"/>
        <v>17</v>
      </c>
      <c r="AE37" s="20">
        <v>15.0</v>
      </c>
      <c r="AF37" s="20">
        <v>2.0</v>
      </c>
      <c r="AG37" s="24">
        <f t="shared" si="9"/>
        <v>88.23529412</v>
      </c>
      <c r="AH37" s="20">
        <v>6.0</v>
      </c>
      <c r="AI37" s="22" t="str">
        <f t="shared" si="10"/>
        <v>0.75</v>
      </c>
      <c r="AJ37" s="26"/>
      <c r="AK37" s="26"/>
      <c r="AL37" s="27">
        <f t="shared" si="11"/>
        <v>1.75</v>
      </c>
      <c r="AM37" s="27">
        <f t="shared" si="12"/>
        <v>6.375</v>
      </c>
      <c r="AN37" s="28">
        <f t="shared" si="13"/>
        <v>0.2745098039</v>
      </c>
      <c r="AO37" s="27">
        <f t="shared" si="14"/>
        <v>0.125</v>
      </c>
      <c r="AP37" s="27">
        <f t="shared" si="15"/>
        <v>0.25</v>
      </c>
      <c r="AQ37" s="27">
        <f t="shared" ref="AQ37:AR37" si="50">iferror(AB37/$M37,"-")</f>
        <v>2.125</v>
      </c>
      <c r="AR37" s="27">
        <f t="shared" si="50"/>
        <v>2.21875</v>
      </c>
      <c r="AS37" s="29">
        <f t="shared" si="17"/>
        <v>0.25</v>
      </c>
      <c r="AT37" s="29" t="str">
        <f t="shared" si="18"/>
        <v>0.75</v>
      </c>
      <c r="AU37" s="26"/>
      <c r="AV37" s="26"/>
      <c r="AW37" s="26"/>
      <c r="AX37" s="26"/>
    </row>
    <row r="38">
      <c r="B38" s="17">
        <v>35.0</v>
      </c>
      <c r="C38" s="18">
        <f t="shared" si="2"/>
        <v>6</v>
      </c>
      <c r="D38" s="19" t="s">
        <v>83</v>
      </c>
      <c r="E38" s="19" t="s">
        <v>89</v>
      </c>
      <c r="F38" s="19">
        <v>1.0</v>
      </c>
      <c r="G38" s="19" t="s">
        <v>57</v>
      </c>
      <c r="H38" s="19" t="s">
        <v>50</v>
      </c>
      <c r="I38" s="19">
        <v>161.0</v>
      </c>
      <c r="J38" s="19">
        <v>50.0</v>
      </c>
      <c r="K38" s="20">
        <v>6.0</v>
      </c>
      <c r="L38" s="20">
        <v>2.0</v>
      </c>
      <c r="M38" s="20">
        <v>2.0</v>
      </c>
      <c r="N38" s="20">
        <v>0.0</v>
      </c>
      <c r="O38" s="20">
        <v>0.0</v>
      </c>
      <c r="P38" s="20">
        <v>0.0</v>
      </c>
      <c r="Q38" s="20">
        <v>0.0</v>
      </c>
      <c r="R38" s="30" t="str">
        <f t="shared" si="3"/>
        <v>-</v>
      </c>
      <c r="S38" s="22" t="str">
        <f t="shared" si="4"/>
        <v>-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1.0</v>
      </c>
      <c r="Z38" s="21">
        <f t="shared" si="5"/>
        <v>1</v>
      </c>
      <c r="AA38" s="20">
        <v>0.0</v>
      </c>
      <c r="AB38" s="30" t="str">
        <f t="shared" si="6"/>
        <v>-</v>
      </c>
      <c r="AC38" s="23">
        <f t="shared" si="7"/>
        <v>0</v>
      </c>
      <c r="AD38" s="21">
        <f t="shared" si="8"/>
        <v>3</v>
      </c>
      <c r="AE38" s="20">
        <v>3.0</v>
      </c>
      <c r="AF38" s="20">
        <v>0.0</v>
      </c>
      <c r="AG38" s="24">
        <f t="shared" si="9"/>
        <v>100</v>
      </c>
      <c r="AH38" s="20">
        <v>0.0</v>
      </c>
      <c r="AI38" s="22" t="str">
        <f t="shared" si="10"/>
        <v>0</v>
      </c>
      <c r="AJ38" s="26"/>
      <c r="AK38" s="26"/>
      <c r="AL38" s="27">
        <f t="shared" si="11"/>
        <v>0</v>
      </c>
      <c r="AM38" s="27" t="str">
        <f t="shared" si="12"/>
        <v>-</v>
      </c>
      <c r="AN38" s="28" t="str">
        <f t="shared" si="13"/>
        <v>-</v>
      </c>
      <c r="AO38" s="27">
        <f t="shared" si="14"/>
        <v>0</v>
      </c>
      <c r="AP38" s="27">
        <f t="shared" si="15"/>
        <v>0</v>
      </c>
      <c r="AQ38" s="27" t="str">
        <f t="shared" ref="AQ38:AR38" si="51">iferror(AB38/$M38,"-")</f>
        <v>-</v>
      </c>
      <c r="AR38" s="27">
        <f t="shared" si="51"/>
        <v>0</v>
      </c>
      <c r="AS38" s="29">
        <f t="shared" si="17"/>
        <v>0</v>
      </c>
      <c r="AT38" s="29" t="str">
        <f t="shared" si="18"/>
        <v>0</v>
      </c>
      <c r="AU38" s="26"/>
      <c r="AV38" s="26"/>
      <c r="AW38" s="26"/>
      <c r="AX38" s="26"/>
    </row>
    <row r="39">
      <c r="B39" s="17">
        <v>36.0</v>
      </c>
      <c r="C39" s="18">
        <f t="shared" si="2"/>
        <v>7</v>
      </c>
      <c r="D39" s="19" t="s">
        <v>83</v>
      </c>
      <c r="E39" s="19" t="s">
        <v>90</v>
      </c>
      <c r="F39" s="19">
        <v>3.0</v>
      </c>
      <c r="G39" s="19" t="s">
        <v>50</v>
      </c>
      <c r="H39" s="19" t="s">
        <v>48</v>
      </c>
      <c r="I39" s="19">
        <v>162.0</v>
      </c>
      <c r="J39" s="19">
        <v>56.0</v>
      </c>
      <c r="K39" s="20">
        <v>7.0</v>
      </c>
      <c r="L39" s="20">
        <v>3.0</v>
      </c>
      <c r="M39" s="20">
        <v>11.0</v>
      </c>
      <c r="N39" s="20">
        <v>0.0</v>
      </c>
      <c r="O39" s="20">
        <v>4.0</v>
      </c>
      <c r="P39" s="20">
        <v>0.0</v>
      </c>
      <c r="Q39" s="20">
        <v>0.0</v>
      </c>
      <c r="R39" s="30" t="str">
        <f t="shared" si="3"/>
        <v>-</v>
      </c>
      <c r="S39" s="22" t="str">
        <f t="shared" si="4"/>
        <v>-</v>
      </c>
      <c r="T39" s="20">
        <v>0.0</v>
      </c>
      <c r="U39" s="20">
        <v>0.0</v>
      </c>
      <c r="V39" s="20">
        <v>0.0</v>
      </c>
      <c r="W39" s="20">
        <v>0.0</v>
      </c>
      <c r="X39" s="20">
        <v>0.0</v>
      </c>
      <c r="Y39" s="20">
        <v>0.0</v>
      </c>
      <c r="Z39" s="30" t="str">
        <f t="shared" si="5"/>
        <v>-</v>
      </c>
      <c r="AA39" s="20">
        <v>0.0</v>
      </c>
      <c r="AB39" s="30" t="str">
        <f t="shared" si="6"/>
        <v>-</v>
      </c>
      <c r="AC39" s="23">
        <f t="shared" si="7"/>
        <v>0</v>
      </c>
      <c r="AD39" s="21">
        <f t="shared" si="8"/>
        <v>52</v>
      </c>
      <c r="AE39" s="20">
        <v>45.0</v>
      </c>
      <c r="AF39" s="20">
        <v>7.0</v>
      </c>
      <c r="AG39" s="24">
        <f t="shared" si="9"/>
        <v>86.53846154</v>
      </c>
      <c r="AH39" s="20">
        <v>36.0</v>
      </c>
      <c r="AI39" s="22" t="str">
        <f t="shared" si="10"/>
        <v>3.27</v>
      </c>
      <c r="AJ39" s="26"/>
      <c r="AK39" s="26"/>
      <c r="AL39" s="27">
        <f t="shared" si="11"/>
        <v>0</v>
      </c>
      <c r="AM39" s="27" t="str">
        <f t="shared" si="12"/>
        <v>-</v>
      </c>
      <c r="AN39" s="28" t="str">
        <f t="shared" si="13"/>
        <v>-</v>
      </c>
      <c r="AO39" s="27">
        <f t="shared" si="14"/>
        <v>0</v>
      </c>
      <c r="AP39" s="27">
        <f t="shared" si="15"/>
        <v>0</v>
      </c>
      <c r="AQ39" s="27" t="str">
        <f t="shared" ref="AQ39:AR39" si="52">iferror(AB39/$M39,"-")</f>
        <v>-</v>
      </c>
      <c r="AR39" s="27">
        <f t="shared" si="52"/>
        <v>0</v>
      </c>
      <c r="AS39" s="29">
        <f t="shared" si="17"/>
        <v>0.6363636364</v>
      </c>
      <c r="AT39" s="29" t="str">
        <f t="shared" si="18"/>
        <v>3.27</v>
      </c>
      <c r="AU39" s="26"/>
      <c r="AV39" s="26"/>
      <c r="AW39" s="26"/>
      <c r="AX39" s="26"/>
    </row>
    <row r="40">
      <c r="B40" s="17">
        <v>37.0</v>
      </c>
      <c r="C40" s="18">
        <f t="shared" si="2"/>
        <v>8</v>
      </c>
      <c r="D40" s="19" t="s">
        <v>83</v>
      </c>
      <c r="E40" s="19" t="s">
        <v>91</v>
      </c>
      <c r="F40" s="19">
        <v>1.0</v>
      </c>
      <c r="G40" s="19" t="s">
        <v>54</v>
      </c>
      <c r="H40" s="19" t="s">
        <v>57</v>
      </c>
      <c r="I40" s="19">
        <v>168.0</v>
      </c>
      <c r="J40" s="19">
        <v>59.0</v>
      </c>
      <c r="K40" s="20">
        <v>8.0</v>
      </c>
      <c r="L40" s="20">
        <v>1.0</v>
      </c>
      <c r="M40" s="20">
        <v>1.0</v>
      </c>
      <c r="N40" s="20">
        <v>0.0</v>
      </c>
      <c r="O40" s="20">
        <v>0.0</v>
      </c>
      <c r="P40" s="20">
        <v>0.0</v>
      </c>
      <c r="Q40" s="20">
        <v>0.0</v>
      </c>
      <c r="R40" s="30" t="str">
        <f t="shared" si="3"/>
        <v>-</v>
      </c>
      <c r="S40" s="22" t="str">
        <f t="shared" si="4"/>
        <v>-</v>
      </c>
      <c r="T40" s="20">
        <v>0.0</v>
      </c>
      <c r="U40" s="20">
        <v>0.0</v>
      </c>
      <c r="V40" s="20">
        <v>0.0</v>
      </c>
      <c r="W40" s="20">
        <v>2.0</v>
      </c>
      <c r="X40" s="20">
        <v>0.0</v>
      </c>
      <c r="Y40" s="20">
        <v>0.0</v>
      </c>
      <c r="Z40" s="21">
        <f t="shared" si="5"/>
        <v>2</v>
      </c>
      <c r="AA40" s="20">
        <v>0.0</v>
      </c>
      <c r="AB40" s="30" t="str">
        <f t="shared" si="6"/>
        <v>-</v>
      </c>
      <c r="AC40" s="23">
        <f t="shared" si="7"/>
        <v>0</v>
      </c>
      <c r="AD40" s="30" t="str">
        <f t="shared" si="8"/>
        <v>-</v>
      </c>
      <c r="AE40" s="20">
        <v>0.0</v>
      </c>
      <c r="AF40" s="20">
        <v>0.0</v>
      </c>
      <c r="AG40" s="24" t="str">
        <f t="shared" si="9"/>
        <v>-</v>
      </c>
      <c r="AH40" s="20">
        <v>0.0</v>
      </c>
      <c r="AI40" s="22" t="str">
        <f t="shared" si="10"/>
        <v>0</v>
      </c>
      <c r="AJ40" s="26"/>
      <c r="AK40" s="26"/>
      <c r="AL40" s="27">
        <f t="shared" si="11"/>
        <v>0</v>
      </c>
      <c r="AM40" s="27" t="str">
        <f t="shared" si="12"/>
        <v>-</v>
      </c>
      <c r="AN40" s="28" t="str">
        <f t="shared" si="13"/>
        <v>-</v>
      </c>
      <c r="AO40" s="27">
        <f t="shared" si="14"/>
        <v>0</v>
      </c>
      <c r="AP40" s="27">
        <f t="shared" si="15"/>
        <v>0</v>
      </c>
      <c r="AQ40" s="27" t="str">
        <f t="shared" ref="AQ40:AR40" si="53">iferror(AB40/$M40,"-")</f>
        <v>-</v>
      </c>
      <c r="AR40" s="27">
        <f t="shared" si="53"/>
        <v>0</v>
      </c>
      <c r="AS40" s="29">
        <f t="shared" si="17"/>
        <v>0</v>
      </c>
      <c r="AT40" s="29" t="str">
        <f t="shared" si="18"/>
        <v>0</v>
      </c>
      <c r="AU40" s="26"/>
      <c r="AV40" s="26"/>
      <c r="AW40" s="26"/>
      <c r="AX40" s="26"/>
    </row>
    <row r="41">
      <c r="B41" s="17">
        <v>38.0</v>
      </c>
      <c r="C41" s="18">
        <f t="shared" si="2"/>
        <v>9</v>
      </c>
      <c r="D41" s="19" t="s">
        <v>83</v>
      </c>
      <c r="E41" s="19" t="s">
        <v>92</v>
      </c>
      <c r="F41" s="19">
        <v>3.0</v>
      </c>
      <c r="G41" s="19" t="s">
        <v>54</v>
      </c>
      <c r="H41" s="19" t="s">
        <v>57</v>
      </c>
      <c r="I41" s="19">
        <v>167.0</v>
      </c>
      <c r="J41" s="19">
        <v>53.0</v>
      </c>
      <c r="K41" s="20">
        <v>9.0</v>
      </c>
      <c r="L41" s="20">
        <v>3.0</v>
      </c>
      <c r="M41" s="20">
        <v>4.0</v>
      </c>
      <c r="N41" s="20">
        <v>0.0</v>
      </c>
      <c r="O41" s="20">
        <v>15.0</v>
      </c>
      <c r="P41" s="20">
        <v>0.0</v>
      </c>
      <c r="Q41" s="20">
        <v>0.0</v>
      </c>
      <c r="R41" s="30" t="str">
        <f t="shared" si="3"/>
        <v>-</v>
      </c>
      <c r="S41" s="22" t="str">
        <f t="shared" si="4"/>
        <v>-</v>
      </c>
      <c r="T41" s="20">
        <v>0.0</v>
      </c>
      <c r="U41" s="20">
        <v>0.0</v>
      </c>
      <c r="V41" s="20">
        <v>0.0</v>
      </c>
      <c r="W41" s="20">
        <v>4.0</v>
      </c>
      <c r="X41" s="20">
        <v>0.0</v>
      </c>
      <c r="Y41" s="20">
        <v>0.0</v>
      </c>
      <c r="Z41" s="21">
        <f t="shared" si="5"/>
        <v>4</v>
      </c>
      <c r="AA41" s="20">
        <v>1.0</v>
      </c>
      <c r="AB41" s="30" t="str">
        <f t="shared" si="6"/>
        <v>-</v>
      </c>
      <c r="AC41" s="23">
        <f t="shared" si="7"/>
        <v>0</v>
      </c>
      <c r="AD41" s="21">
        <f t="shared" si="8"/>
        <v>2</v>
      </c>
      <c r="AE41" s="20">
        <v>1.0</v>
      </c>
      <c r="AF41" s="20">
        <v>1.0</v>
      </c>
      <c r="AG41" s="24">
        <f t="shared" si="9"/>
        <v>50</v>
      </c>
      <c r="AH41" s="20">
        <v>3.0</v>
      </c>
      <c r="AI41" s="22" t="str">
        <f t="shared" si="10"/>
        <v>0.75</v>
      </c>
      <c r="AJ41" s="26"/>
      <c r="AK41" s="26"/>
      <c r="AL41" s="27">
        <f t="shared" si="11"/>
        <v>0</v>
      </c>
      <c r="AM41" s="27" t="str">
        <f t="shared" si="12"/>
        <v>-</v>
      </c>
      <c r="AN41" s="28" t="str">
        <f t="shared" si="13"/>
        <v>-</v>
      </c>
      <c r="AO41" s="27">
        <f t="shared" si="14"/>
        <v>0</v>
      </c>
      <c r="AP41" s="27">
        <f t="shared" si="15"/>
        <v>0</v>
      </c>
      <c r="AQ41" s="27" t="str">
        <f t="shared" ref="AQ41:AR41" si="54">iferror(AB41/$M41,"-")</f>
        <v>-</v>
      </c>
      <c r="AR41" s="27">
        <f t="shared" si="54"/>
        <v>0</v>
      </c>
      <c r="AS41" s="29">
        <f t="shared" si="17"/>
        <v>0.25</v>
      </c>
      <c r="AT41" s="29" t="str">
        <f t="shared" si="18"/>
        <v>0.75</v>
      </c>
      <c r="AU41" s="26"/>
      <c r="AV41" s="26"/>
      <c r="AW41" s="26"/>
      <c r="AX41" s="26"/>
    </row>
    <row r="42">
      <c r="B42" s="17">
        <v>39.0</v>
      </c>
      <c r="C42" s="18">
        <f t="shared" si="2"/>
        <v>10</v>
      </c>
      <c r="D42" s="19" t="s">
        <v>83</v>
      </c>
      <c r="E42" s="19" t="s">
        <v>93</v>
      </c>
      <c r="F42" s="19">
        <v>1.0</v>
      </c>
      <c r="G42" s="19" t="s">
        <v>47</v>
      </c>
      <c r="H42" s="19" t="s">
        <v>52</v>
      </c>
      <c r="I42" s="19">
        <v>180.0</v>
      </c>
      <c r="J42" s="19">
        <v>67.0</v>
      </c>
      <c r="K42" s="20">
        <v>10.0</v>
      </c>
      <c r="L42" s="20">
        <v>3.0</v>
      </c>
      <c r="M42" s="20">
        <v>11.0</v>
      </c>
      <c r="N42" s="20">
        <v>8.0</v>
      </c>
      <c r="O42" s="20">
        <v>1.0</v>
      </c>
      <c r="P42" s="20">
        <v>10.0</v>
      </c>
      <c r="Q42" s="20">
        <v>4.0</v>
      </c>
      <c r="R42" s="21">
        <f t="shared" si="3"/>
        <v>22</v>
      </c>
      <c r="S42" s="22">
        <f t="shared" si="4"/>
        <v>0.18</v>
      </c>
      <c r="T42" s="20">
        <v>6.0</v>
      </c>
      <c r="U42" s="20">
        <v>1.0</v>
      </c>
      <c r="V42" s="20">
        <v>3.0</v>
      </c>
      <c r="W42" s="20">
        <v>27.0</v>
      </c>
      <c r="X42" s="20">
        <v>3.0</v>
      </c>
      <c r="Y42" s="20">
        <v>11.0</v>
      </c>
      <c r="Z42" s="21">
        <f t="shared" si="5"/>
        <v>41</v>
      </c>
      <c r="AA42" s="20">
        <v>0.0</v>
      </c>
      <c r="AB42" s="21">
        <f t="shared" si="6"/>
        <v>17</v>
      </c>
      <c r="AC42" s="23">
        <f t="shared" si="7"/>
        <v>19.25</v>
      </c>
      <c r="AD42" s="21">
        <f t="shared" si="8"/>
        <v>12</v>
      </c>
      <c r="AE42" s="20">
        <v>11.0</v>
      </c>
      <c r="AF42" s="20">
        <v>1.0</v>
      </c>
      <c r="AG42" s="24">
        <f t="shared" si="9"/>
        <v>91.66666667</v>
      </c>
      <c r="AH42" s="20">
        <v>6.0</v>
      </c>
      <c r="AI42" s="22" t="str">
        <f t="shared" si="10"/>
        <v>0.55</v>
      </c>
      <c r="AJ42" s="26"/>
      <c r="AK42" s="26"/>
      <c r="AL42" s="27">
        <f t="shared" si="11"/>
        <v>0.7272727273</v>
      </c>
      <c r="AM42" s="27">
        <f t="shared" si="12"/>
        <v>2</v>
      </c>
      <c r="AN42" s="28">
        <f t="shared" si="13"/>
        <v>0.3636363636</v>
      </c>
      <c r="AO42" s="27">
        <f t="shared" si="14"/>
        <v>0.5454545455</v>
      </c>
      <c r="AP42" s="27">
        <f t="shared" si="15"/>
        <v>0.2727272727</v>
      </c>
      <c r="AQ42" s="27">
        <f t="shared" ref="AQ42:AR42" si="55">iferror(AB42/$M42,"-")</f>
        <v>1.545454545</v>
      </c>
      <c r="AR42" s="27">
        <f t="shared" si="55"/>
        <v>1.75</v>
      </c>
      <c r="AS42" s="29">
        <f t="shared" si="17"/>
        <v>0.09090909091</v>
      </c>
      <c r="AT42" s="29" t="str">
        <f t="shared" si="18"/>
        <v>0.55</v>
      </c>
      <c r="AU42" s="26"/>
      <c r="AV42" s="26"/>
      <c r="AW42" s="26"/>
      <c r="AX42" s="26"/>
    </row>
    <row r="43">
      <c r="B43" s="17">
        <v>40.0</v>
      </c>
      <c r="C43" s="18">
        <f t="shared" si="2"/>
        <v>11</v>
      </c>
      <c r="D43" s="19" t="s">
        <v>83</v>
      </c>
      <c r="E43" s="19" t="s">
        <v>94</v>
      </c>
      <c r="F43" s="19">
        <v>3.0</v>
      </c>
      <c r="G43" s="19" t="s">
        <v>54</v>
      </c>
      <c r="H43" s="19" t="s">
        <v>48</v>
      </c>
      <c r="I43" s="19">
        <v>177.0</v>
      </c>
      <c r="J43" s="19">
        <v>72.0</v>
      </c>
      <c r="K43" s="20">
        <v>11.0</v>
      </c>
      <c r="L43" s="20">
        <v>3.0</v>
      </c>
      <c r="M43" s="20">
        <v>10.0</v>
      </c>
      <c r="N43" s="20">
        <v>0.0</v>
      </c>
      <c r="O43" s="20">
        <v>82.0</v>
      </c>
      <c r="P43" s="20">
        <v>3.0</v>
      </c>
      <c r="Q43" s="20">
        <v>0.0</v>
      </c>
      <c r="R43" s="21">
        <f t="shared" si="3"/>
        <v>3</v>
      </c>
      <c r="S43" s="22" t="str">
        <f t="shared" si="4"/>
        <v>-</v>
      </c>
      <c r="T43" s="20">
        <v>3.0</v>
      </c>
      <c r="U43" s="20">
        <v>0.0</v>
      </c>
      <c r="V43" s="20">
        <v>4.0</v>
      </c>
      <c r="W43" s="20">
        <v>27.0</v>
      </c>
      <c r="X43" s="20">
        <v>3.0</v>
      </c>
      <c r="Y43" s="20">
        <v>0.0</v>
      </c>
      <c r="Z43" s="21">
        <f t="shared" si="5"/>
        <v>30</v>
      </c>
      <c r="AA43" s="20">
        <v>2.0</v>
      </c>
      <c r="AB43" s="21">
        <f t="shared" si="6"/>
        <v>6</v>
      </c>
      <c r="AC43" s="23">
        <f t="shared" si="7"/>
        <v>9</v>
      </c>
      <c r="AD43" s="21">
        <f t="shared" si="8"/>
        <v>4</v>
      </c>
      <c r="AE43" s="20">
        <v>2.0</v>
      </c>
      <c r="AF43" s="20">
        <v>2.0</v>
      </c>
      <c r="AG43" s="24">
        <f t="shared" si="9"/>
        <v>50</v>
      </c>
      <c r="AH43" s="20">
        <v>9.0</v>
      </c>
      <c r="AI43" s="22" t="str">
        <f t="shared" si="10"/>
        <v>0.90</v>
      </c>
      <c r="AJ43" s="26"/>
      <c r="AK43" s="26"/>
      <c r="AL43" s="27">
        <f t="shared" si="11"/>
        <v>0</v>
      </c>
      <c r="AM43" s="27">
        <f t="shared" si="12"/>
        <v>0.3</v>
      </c>
      <c r="AN43" s="28">
        <f t="shared" si="13"/>
        <v>0</v>
      </c>
      <c r="AO43" s="27">
        <f t="shared" si="14"/>
        <v>0.3</v>
      </c>
      <c r="AP43" s="27">
        <f t="shared" si="15"/>
        <v>0.3</v>
      </c>
      <c r="AQ43" s="27">
        <f t="shared" ref="AQ43:AR43" si="56">iferror(AB43/$M43,"-")</f>
        <v>0.6</v>
      </c>
      <c r="AR43" s="27">
        <f t="shared" si="56"/>
        <v>0.9</v>
      </c>
      <c r="AS43" s="29">
        <f t="shared" si="17"/>
        <v>0.2</v>
      </c>
      <c r="AT43" s="29" t="str">
        <f t="shared" si="18"/>
        <v>0.90</v>
      </c>
      <c r="AU43" s="26"/>
      <c r="AV43" s="26"/>
      <c r="AW43" s="26"/>
      <c r="AX43" s="26"/>
    </row>
    <row r="44">
      <c r="B44" s="17">
        <v>41.0</v>
      </c>
      <c r="C44" s="18">
        <f t="shared" si="2"/>
        <v>12</v>
      </c>
      <c r="D44" s="19" t="s">
        <v>83</v>
      </c>
      <c r="E44" s="19" t="s">
        <v>95</v>
      </c>
      <c r="F44" s="19">
        <v>3.0</v>
      </c>
      <c r="G44" s="19" t="s">
        <v>52</v>
      </c>
      <c r="H44" s="19" t="s">
        <v>48</v>
      </c>
      <c r="I44" s="19">
        <v>178.0</v>
      </c>
      <c r="J44" s="19">
        <v>62.0</v>
      </c>
      <c r="K44" s="20">
        <v>15.0</v>
      </c>
      <c r="L44" s="20">
        <v>3.0</v>
      </c>
      <c r="M44" s="20">
        <v>11.0</v>
      </c>
      <c r="N44" s="20">
        <v>45.0</v>
      </c>
      <c r="O44" s="20">
        <v>1.0</v>
      </c>
      <c r="P44" s="20">
        <v>35.0</v>
      </c>
      <c r="Q44" s="20">
        <v>8.0</v>
      </c>
      <c r="R44" s="21">
        <f t="shared" si="3"/>
        <v>88</v>
      </c>
      <c r="S44" s="22">
        <f t="shared" si="4"/>
        <v>0.42</v>
      </c>
      <c r="T44" s="20">
        <v>1.0</v>
      </c>
      <c r="U44" s="20">
        <v>0.0</v>
      </c>
      <c r="V44" s="20">
        <v>1.0</v>
      </c>
      <c r="W44" s="20">
        <v>28.0</v>
      </c>
      <c r="X44" s="20">
        <v>4.0</v>
      </c>
      <c r="Y44" s="20">
        <v>6.0</v>
      </c>
      <c r="Z44" s="21">
        <f t="shared" si="5"/>
        <v>38</v>
      </c>
      <c r="AA44" s="20">
        <v>0.0</v>
      </c>
      <c r="AB44" s="21">
        <f t="shared" si="6"/>
        <v>50</v>
      </c>
      <c r="AC44" s="23">
        <f t="shared" si="7"/>
        <v>50.75</v>
      </c>
      <c r="AD44" s="21">
        <f t="shared" si="8"/>
        <v>31</v>
      </c>
      <c r="AE44" s="20">
        <v>25.0</v>
      </c>
      <c r="AF44" s="20">
        <v>6.0</v>
      </c>
      <c r="AG44" s="24">
        <f t="shared" si="9"/>
        <v>80.64516129</v>
      </c>
      <c r="AH44" s="20">
        <v>18.0</v>
      </c>
      <c r="AI44" s="22" t="str">
        <f t="shared" si="10"/>
        <v>1.64</v>
      </c>
      <c r="AJ44" s="26"/>
      <c r="AK44" s="26"/>
      <c r="AL44" s="27">
        <f t="shared" si="11"/>
        <v>4.090909091</v>
      </c>
      <c r="AM44" s="27">
        <f t="shared" si="12"/>
        <v>8</v>
      </c>
      <c r="AN44" s="28">
        <f t="shared" si="13"/>
        <v>0.5113636364</v>
      </c>
      <c r="AO44" s="27">
        <f t="shared" si="14"/>
        <v>0.09090909091</v>
      </c>
      <c r="AP44" s="27">
        <f t="shared" si="15"/>
        <v>0.3636363636</v>
      </c>
      <c r="AQ44" s="27">
        <f t="shared" ref="AQ44:AR44" si="57">iferror(AB44/$M44,"-")</f>
        <v>4.545454545</v>
      </c>
      <c r="AR44" s="27">
        <f t="shared" si="57"/>
        <v>4.613636364</v>
      </c>
      <c r="AS44" s="29">
        <f t="shared" si="17"/>
        <v>0.5454545455</v>
      </c>
      <c r="AT44" s="29" t="str">
        <f t="shared" si="18"/>
        <v>1.64</v>
      </c>
      <c r="AU44" s="26"/>
      <c r="AV44" s="26"/>
      <c r="AW44" s="26"/>
      <c r="AX44" s="26"/>
    </row>
    <row r="45">
      <c r="B45" s="17">
        <v>42.0</v>
      </c>
      <c r="C45" s="18">
        <f t="shared" si="2"/>
        <v>13</v>
      </c>
      <c r="D45" s="19" t="s">
        <v>83</v>
      </c>
      <c r="E45" s="19" t="s">
        <v>96</v>
      </c>
      <c r="F45" s="19">
        <v>1.0</v>
      </c>
      <c r="G45" s="19" t="s">
        <v>57</v>
      </c>
      <c r="H45" s="19" t="s">
        <v>48</v>
      </c>
      <c r="I45" s="19">
        <v>170.0</v>
      </c>
      <c r="J45" s="19">
        <v>73.0</v>
      </c>
      <c r="K45" s="20">
        <v>16.0</v>
      </c>
      <c r="L45" s="20">
        <v>0.0</v>
      </c>
      <c r="M45" s="20">
        <v>0.0</v>
      </c>
      <c r="N45" s="20">
        <v>0.0</v>
      </c>
      <c r="O45" s="20">
        <v>0.0</v>
      </c>
      <c r="P45" s="20">
        <v>0.0</v>
      </c>
      <c r="Q45" s="20">
        <v>0.0</v>
      </c>
      <c r="R45" s="30" t="str">
        <f t="shared" si="3"/>
        <v>-</v>
      </c>
      <c r="S45" s="22" t="str">
        <f t="shared" si="4"/>
        <v>-</v>
      </c>
      <c r="T45" s="20">
        <v>0.0</v>
      </c>
      <c r="U45" s="20">
        <v>0.0</v>
      </c>
      <c r="V45" s="20">
        <v>0.0</v>
      </c>
      <c r="W45" s="20">
        <v>0.0</v>
      </c>
      <c r="X45" s="20">
        <v>0.0</v>
      </c>
      <c r="Y45" s="20">
        <v>0.0</v>
      </c>
      <c r="Z45" s="30" t="str">
        <f t="shared" si="5"/>
        <v>-</v>
      </c>
      <c r="AA45" s="20">
        <v>0.0</v>
      </c>
      <c r="AB45" s="30" t="str">
        <f t="shared" si="6"/>
        <v>-</v>
      </c>
      <c r="AC45" s="23">
        <f t="shared" si="7"/>
        <v>0</v>
      </c>
      <c r="AD45" s="30" t="str">
        <f t="shared" si="8"/>
        <v>-</v>
      </c>
      <c r="AE45" s="20">
        <v>0.0</v>
      </c>
      <c r="AF45" s="20">
        <v>0.0</v>
      </c>
      <c r="AG45" s="24" t="str">
        <f t="shared" si="9"/>
        <v>-</v>
      </c>
      <c r="AH45" s="20">
        <v>0.0</v>
      </c>
      <c r="AI45" s="22" t="str">
        <f t="shared" si="10"/>
        <v>-</v>
      </c>
      <c r="AJ45" s="26"/>
      <c r="AK45" s="26"/>
      <c r="AL45" s="27" t="str">
        <f t="shared" si="11"/>
        <v>-</v>
      </c>
      <c r="AM45" s="27" t="str">
        <f t="shared" si="12"/>
        <v>-</v>
      </c>
      <c r="AN45" s="28" t="str">
        <f t="shared" si="13"/>
        <v>-</v>
      </c>
      <c r="AO45" s="27" t="str">
        <f t="shared" si="14"/>
        <v>-</v>
      </c>
      <c r="AP45" s="27" t="str">
        <f t="shared" si="15"/>
        <v>-</v>
      </c>
      <c r="AQ45" s="27" t="str">
        <f t="shared" ref="AQ45:AR45" si="58">iferror(AB45/$M45,"-")</f>
        <v>-</v>
      </c>
      <c r="AR45" s="27" t="str">
        <f t="shared" si="58"/>
        <v>-</v>
      </c>
      <c r="AS45" s="29" t="str">
        <f t="shared" si="17"/>
        <v>-</v>
      </c>
      <c r="AT45" s="29" t="str">
        <f t="shared" si="18"/>
        <v>-</v>
      </c>
      <c r="AU45" s="26"/>
      <c r="AV45" s="26"/>
      <c r="AW45" s="26"/>
      <c r="AX45" s="26"/>
    </row>
    <row r="46">
      <c r="B46" s="17">
        <v>43.0</v>
      </c>
      <c r="C46" s="18">
        <f t="shared" si="2"/>
        <v>14</v>
      </c>
      <c r="D46" s="19" t="s">
        <v>83</v>
      </c>
      <c r="E46" s="19" t="s">
        <v>97</v>
      </c>
      <c r="F46" s="19">
        <v>3.0</v>
      </c>
      <c r="G46" s="19" t="s">
        <v>47</v>
      </c>
      <c r="H46" s="19" t="s">
        <v>48</v>
      </c>
      <c r="I46" s="19">
        <v>174.0</v>
      </c>
      <c r="J46" s="19">
        <v>60.0</v>
      </c>
      <c r="K46" s="20">
        <v>17.0</v>
      </c>
      <c r="L46" s="20">
        <v>3.0</v>
      </c>
      <c r="M46" s="20">
        <v>11.0</v>
      </c>
      <c r="N46" s="20">
        <v>21.0</v>
      </c>
      <c r="O46" s="20">
        <v>2.0</v>
      </c>
      <c r="P46" s="20">
        <v>10.0</v>
      </c>
      <c r="Q46" s="20">
        <v>6.0</v>
      </c>
      <c r="R46" s="21">
        <f t="shared" si="3"/>
        <v>37</v>
      </c>
      <c r="S46" s="22">
        <f t="shared" si="4"/>
        <v>0.41</v>
      </c>
      <c r="T46" s="20">
        <v>2.0</v>
      </c>
      <c r="U46" s="20">
        <v>0.0</v>
      </c>
      <c r="V46" s="20">
        <v>4.0</v>
      </c>
      <c r="W46" s="20">
        <v>34.0</v>
      </c>
      <c r="X46" s="20">
        <v>6.0</v>
      </c>
      <c r="Y46" s="20">
        <v>2.0</v>
      </c>
      <c r="Z46" s="21">
        <f t="shared" si="5"/>
        <v>42</v>
      </c>
      <c r="AA46" s="20">
        <v>1.0</v>
      </c>
      <c r="AB46" s="21">
        <f t="shared" si="6"/>
        <v>29</v>
      </c>
      <c r="AC46" s="23">
        <f t="shared" si="7"/>
        <v>32</v>
      </c>
      <c r="AD46" s="21">
        <f t="shared" si="8"/>
        <v>2</v>
      </c>
      <c r="AE46" s="20">
        <v>1.0</v>
      </c>
      <c r="AF46" s="20">
        <v>1.0</v>
      </c>
      <c r="AG46" s="24">
        <f t="shared" si="9"/>
        <v>50</v>
      </c>
      <c r="AH46" s="20">
        <v>2.0</v>
      </c>
      <c r="AI46" s="22" t="str">
        <f t="shared" si="10"/>
        <v>0.18</v>
      </c>
      <c r="AJ46" s="26"/>
      <c r="AK46" s="26"/>
      <c r="AL46" s="27">
        <f t="shared" si="11"/>
        <v>1.909090909</v>
      </c>
      <c r="AM46" s="27">
        <f t="shared" si="12"/>
        <v>3.363636364</v>
      </c>
      <c r="AN46" s="28">
        <f t="shared" si="13"/>
        <v>0.5675675676</v>
      </c>
      <c r="AO46" s="27">
        <f t="shared" si="14"/>
        <v>0.1818181818</v>
      </c>
      <c r="AP46" s="27">
        <f t="shared" si="15"/>
        <v>0.5454545455</v>
      </c>
      <c r="AQ46" s="27">
        <f t="shared" ref="AQ46:AR46" si="59">iferror(AB46/$M46,"-")</f>
        <v>2.636363636</v>
      </c>
      <c r="AR46" s="27">
        <f t="shared" si="59"/>
        <v>2.909090909</v>
      </c>
      <c r="AS46" s="29">
        <f t="shared" si="17"/>
        <v>0.09090909091</v>
      </c>
      <c r="AT46" s="29" t="str">
        <f t="shared" si="18"/>
        <v>0.18</v>
      </c>
      <c r="AU46" s="26"/>
      <c r="AV46" s="26"/>
      <c r="AW46" s="26"/>
      <c r="AX46" s="26"/>
    </row>
    <row r="47">
      <c r="B47" s="17">
        <v>44.0</v>
      </c>
      <c r="C47" s="18">
        <f t="shared" si="2"/>
        <v>15</v>
      </c>
      <c r="D47" s="19" t="s">
        <v>83</v>
      </c>
      <c r="E47" s="19" t="s">
        <v>98</v>
      </c>
      <c r="F47" s="19">
        <v>1.0</v>
      </c>
      <c r="G47" s="19" t="s">
        <v>47</v>
      </c>
      <c r="H47" s="19" t="s">
        <v>48</v>
      </c>
      <c r="I47" s="19">
        <v>187.0</v>
      </c>
      <c r="J47" s="19">
        <v>68.0</v>
      </c>
      <c r="K47" s="20">
        <v>18.0</v>
      </c>
      <c r="L47" s="20">
        <v>2.0</v>
      </c>
      <c r="M47" s="20">
        <v>2.0</v>
      </c>
      <c r="N47" s="20">
        <v>0.0</v>
      </c>
      <c r="O47" s="20">
        <v>0.0</v>
      </c>
      <c r="P47" s="20">
        <v>0.0</v>
      </c>
      <c r="Q47" s="20">
        <v>0.0</v>
      </c>
      <c r="R47" s="30" t="str">
        <f t="shared" si="3"/>
        <v>-</v>
      </c>
      <c r="S47" s="22" t="str">
        <f t="shared" si="4"/>
        <v>-</v>
      </c>
      <c r="T47" s="20">
        <v>1.0</v>
      </c>
      <c r="U47" s="20">
        <v>0.0</v>
      </c>
      <c r="V47" s="20">
        <v>0.0</v>
      </c>
      <c r="W47" s="20">
        <v>0.0</v>
      </c>
      <c r="X47" s="20">
        <v>0.0</v>
      </c>
      <c r="Y47" s="20">
        <v>0.0</v>
      </c>
      <c r="Z47" s="30" t="str">
        <f t="shared" si="5"/>
        <v>-</v>
      </c>
      <c r="AA47" s="20">
        <v>0.0</v>
      </c>
      <c r="AB47" s="21">
        <f t="shared" si="6"/>
        <v>1</v>
      </c>
      <c r="AC47" s="23">
        <f t="shared" si="7"/>
        <v>1</v>
      </c>
      <c r="AD47" s="30" t="str">
        <f t="shared" si="8"/>
        <v>-</v>
      </c>
      <c r="AE47" s="20">
        <v>0.0</v>
      </c>
      <c r="AF47" s="20">
        <v>0.0</v>
      </c>
      <c r="AG47" s="24" t="str">
        <f t="shared" si="9"/>
        <v>-</v>
      </c>
      <c r="AH47" s="20">
        <v>1.0</v>
      </c>
      <c r="AI47" s="22" t="str">
        <f t="shared" si="10"/>
        <v>0.50</v>
      </c>
      <c r="AJ47" s="26"/>
      <c r="AK47" s="26"/>
      <c r="AL47" s="27">
        <f t="shared" si="11"/>
        <v>0</v>
      </c>
      <c r="AM47" s="27" t="str">
        <f t="shared" si="12"/>
        <v>-</v>
      </c>
      <c r="AN47" s="28" t="str">
        <f t="shared" si="13"/>
        <v>-</v>
      </c>
      <c r="AO47" s="27">
        <f t="shared" si="14"/>
        <v>0.5</v>
      </c>
      <c r="AP47" s="27">
        <f t="shared" si="15"/>
        <v>0</v>
      </c>
      <c r="AQ47" s="27">
        <f t="shared" ref="AQ47:AR47" si="60">iferror(AB47/$M47,"-")</f>
        <v>0.5</v>
      </c>
      <c r="AR47" s="27">
        <f t="shared" si="60"/>
        <v>0.5</v>
      </c>
      <c r="AS47" s="29">
        <f t="shared" si="17"/>
        <v>0</v>
      </c>
      <c r="AT47" s="29" t="str">
        <f t="shared" si="18"/>
        <v>0.50</v>
      </c>
      <c r="AU47" s="26"/>
      <c r="AV47" s="26"/>
      <c r="AW47" s="26"/>
      <c r="AX47" s="26"/>
    </row>
    <row r="48">
      <c r="B48" s="17">
        <v>45.0</v>
      </c>
      <c r="C48" s="18">
        <f t="shared" si="2"/>
        <v>16</v>
      </c>
      <c r="D48" s="19" t="s">
        <v>83</v>
      </c>
      <c r="E48" s="19" t="s">
        <v>99</v>
      </c>
      <c r="F48" s="19">
        <v>3.0</v>
      </c>
      <c r="G48" s="19" t="s">
        <v>57</v>
      </c>
      <c r="H48" s="19" t="s">
        <v>52</v>
      </c>
      <c r="I48" s="19">
        <v>177.0</v>
      </c>
      <c r="J48" s="19">
        <v>67.0</v>
      </c>
      <c r="K48" s="20">
        <v>19.0</v>
      </c>
      <c r="L48" s="20">
        <v>3.0</v>
      </c>
      <c r="M48" s="20">
        <v>10.0</v>
      </c>
      <c r="N48" s="20">
        <v>11.0</v>
      </c>
      <c r="O48" s="20">
        <v>2.0</v>
      </c>
      <c r="P48" s="20">
        <v>13.0</v>
      </c>
      <c r="Q48" s="20">
        <v>5.0</v>
      </c>
      <c r="R48" s="21">
        <f t="shared" si="3"/>
        <v>29</v>
      </c>
      <c r="S48" s="22">
        <f t="shared" si="4"/>
        <v>0.21</v>
      </c>
      <c r="T48" s="20">
        <v>1.0</v>
      </c>
      <c r="U48" s="20">
        <v>0.0</v>
      </c>
      <c r="V48" s="20">
        <v>1.0</v>
      </c>
      <c r="W48" s="20">
        <v>27.0</v>
      </c>
      <c r="X48" s="20">
        <v>7.0</v>
      </c>
      <c r="Y48" s="20">
        <v>3.0</v>
      </c>
      <c r="Z48" s="21">
        <f t="shared" si="5"/>
        <v>37</v>
      </c>
      <c r="AA48" s="20">
        <v>1.0</v>
      </c>
      <c r="AB48" s="21">
        <f t="shared" si="6"/>
        <v>19</v>
      </c>
      <c r="AC48" s="23">
        <f t="shared" si="7"/>
        <v>19.75</v>
      </c>
      <c r="AD48" s="21">
        <f t="shared" si="8"/>
        <v>30</v>
      </c>
      <c r="AE48" s="20">
        <v>27.0</v>
      </c>
      <c r="AF48" s="20">
        <v>3.0</v>
      </c>
      <c r="AG48" s="24">
        <f t="shared" si="9"/>
        <v>90</v>
      </c>
      <c r="AH48" s="20">
        <v>15.0</v>
      </c>
      <c r="AI48" s="22" t="str">
        <f t="shared" si="10"/>
        <v>1.50</v>
      </c>
      <c r="AJ48" s="26"/>
      <c r="AK48" s="26"/>
      <c r="AL48" s="27">
        <f t="shared" si="11"/>
        <v>1.1</v>
      </c>
      <c r="AM48" s="27">
        <f t="shared" si="12"/>
        <v>2.9</v>
      </c>
      <c r="AN48" s="28">
        <f t="shared" si="13"/>
        <v>0.3793103448</v>
      </c>
      <c r="AO48" s="27">
        <f t="shared" si="14"/>
        <v>0.1</v>
      </c>
      <c r="AP48" s="27">
        <f t="shared" si="15"/>
        <v>0.7</v>
      </c>
      <c r="AQ48" s="27">
        <f t="shared" ref="AQ48:AR48" si="61">iferror(AB48/$M48,"-")</f>
        <v>1.9</v>
      </c>
      <c r="AR48" s="27">
        <f t="shared" si="61"/>
        <v>1.975</v>
      </c>
      <c r="AS48" s="29">
        <f t="shared" si="17"/>
        <v>0.3</v>
      </c>
      <c r="AT48" s="29" t="str">
        <f t="shared" si="18"/>
        <v>1.50</v>
      </c>
      <c r="AU48" s="26"/>
      <c r="AV48" s="26"/>
      <c r="AW48" s="26"/>
      <c r="AX48" s="26"/>
    </row>
    <row r="49">
      <c r="B49" s="17">
        <v>46.0</v>
      </c>
      <c r="C49" s="18">
        <f t="shared" si="2"/>
        <v>1</v>
      </c>
      <c r="D49" s="18" t="s">
        <v>100</v>
      </c>
      <c r="E49" s="19" t="s">
        <v>101</v>
      </c>
      <c r="F49" s="19">
        <v>3.0</v>
      </c>
      <c r="G49" s="19" t="s">
        <v>50</v>
      </c>
      <c r="H49" s="19" t="s">
        <v>48</v>
      </c>
      <c r="I49" s="19">
        <v>164.0</v>
      </c>
      <c r="J49" s="19">
        <v>54.0</v>
      </c>
      <c r="K49" s="20">
        <v>1.0</v>
      </c>
      <c r="L49" s="20">
        <v>4.0</v>
      </c>
      <c r="M49" s="20">
        <v>16.0</v>
      </c>
      <c r="N49" s="20">
        <v>0.0</v>
      </c>
      <c r="O49" s="20">
        <v>9.0</v>
      </c>
      <c r="P49" s="20">
        <v>1.0</v>
      </c>
      <c r="Q49" s="20">
        <v>0.0</v>
      </c>
      <c r="R49" s="21">
        <f t="shared" si="3"/>
        <v>1</v>
      </c>
      <c r="S49" s="22" t="str">
        <f t="shared" si="4"/>
        <v>-</v>
      </c>
      <c r="T49" s="20">
        <v>0.0</v>
      </c>
      <c r="U49" s="20">
        <v>0.0</v>
      </c>
      <c r="V49" s="20">
        <v>0.0</v>
      </c>
      <c r="W49" s="20">
        <v>0.0</v>
      </c>
      <c r="X49" s="20">
        <v>0.0</v>
      </c>
      <c r="Y49" s="20">
        <v>0.0</v>
      </c>
      <c r="Z49" s="30" t="str">
        <f t="shared" si="5"/>
        <v>-</v>
      </c>
      <c r="AA49" s="20">
        <v>2.0</v>
      </c>
      <c r="AB49" s="30" t="str">
        <f t="shared" si="6"/>
        <v>-</v>
      </c>
      <c r="AC49" s="23">
        <f t="shared" si="7"/>
        <v>0</v>
      </c>
      <c r="AD49" s="21">
        <f t="shared" si="8"/>
        <v>105</v>
      </c>
      <c r="AE49" s="20">
        <v>98.0</v>
      </c>
      <c r="AF49" s="20">
        <v>7.0</v>
      </c>
      <c r="AG49" s="24">
        <f t="shared" si="9"/>
        <v>93.33333333</v>
      </c>
      <c r="AH49" s="20">
        <v>36.0</v>
      </c>
      <c r="AI49" s="22" t="str">
        <f t="shared" si="10"/>
        <v>2.25</v>
      </c>
      <c r="AJ49" s="26"/>
      <c r="AK49" s="26"/>
      <c r="AL49" s="27">
        <f t="shared" si="11"/>
        <v>0</v>
      </c>
      <c r="AM49" s="27">
        <f t="shared" si="12"/>
        <v>0.0625</v>
      </c>
      <c r="AN49" s="28">
        <f t="shared" si="13"/>
        <v>0</v>
      </c>
      <c r="AO49" s="27">
        <f t="shared" si="14"/>
        <v>0</v>
      </c>
      <c r="AP49" s="27">
        <f t="shared" si="15"/>
        <v>0</v>
      </c>
      <c r="AQ49" s="27" t="str">
        <f t="shared" ref="AQ49:AR49" si="62">iferror(AB49/$M49,"-")</f>
        <v>-</v>
      </c>
      <c r="AR49" s="27">
        <f t="shared" si="62"/>
        <v>0</v>
      </c>
      <c r="AS49" s="29">
        <f t="shared" si="17"/>
        <v>0.4375</v>
      </c>
      <c r="AT49" s="29" t="str">
        <f t="shared" si="18"/>
        <v>2.25</v>
      </c>
      <c r="AU49" s="26"/>
      <c r="AV49" s="26"/>
      <c r="AW49" s="26"/>
      <c r="AX49" s="26"/>
    </row>
    <row r="50">
      <c r="B50" s="17">
        <v>47.0</v>
      </c>
      <c r="C50" s="18">
        <f t="shared" si="2"/>
        <v>2</v>
      </c>
      <c r="D50" s="18" t="s">
        <v>100</v>
      </c>
      <c r="E50" s="19" t="s">
        <v>102</v>
      </c>
      <c r="F50" s="19">
        <v>2.0</v>
      </c>
      <c r="G50" s="19" t="s">
        <v>50</v>
      </c>
      <c r="H50" s="19" t="s">
        <v>52</v>
      </c>
      <c r="I50" s="19">
        <v>165.0</v>
      </c>
      <c r="J50" s="19">
        <v>55.0</v>
      </c>
      <c r="K50" s="20">
        <v>2.0</v>
      </c>
      <c r="L50" s="20">
        <v>4.0</v>
      </c>
      <c r="M50" s="20">
        <v>6.0</v>
      </c>
      <c r="N50" s="20">
        <v>0.0</v>
      </c>
      <c r="O50" s="20">
        <v>0.0</v>
      </c>
      <c r="P50" s="20">
        <v>0.0</v>
      </c>
      <c r="Q50" s="20">
        <v>0.0</v>
      </c>
      <c r="R50" s="30" t="str">
        <f t="shared" si="3"/>
        <v>-</v>
      </c>
      <c r="S50" s="22" t="str">
        <f t="shared" si="4"/>
        <v>-</v>
      </c>
      <c r="T50" s="20">
        <v>0.0</v>
      </c>
      <c r="U50" s="20">
        <v>0.0</v>
      </c>
      <c r="V50" s="20">
        <v>0.0</v>
      </c>
      <c r="W50" s="20">
        <v>5.0</v>
      </c>
      <c r="X50" s="20">
        <v>0.0</v>
      </c>
      <c r="Y50" s="20">
        <v>0.0</v>
      </c>
      <c r="Z50" s="21">
        <f t="shared" si="5"/>
        <v>5</v>
      </c>
      <c r="AA50" s="20">
        <v>0.0</v>
      </c>
      <c r="AB50" s="30" t="str">
        <f t="shared" si="6"/>
        <v>-</v>
      </c>
      <c r="AC50" s="23">
        <f t="shared" si="7"/>
        <v>0</v>
      </c>
      <c r="AD50" s="21">
        <f t="shared" si="8"/>
        <v>3</v>
      </c>
      <c r="AE50" s="20">
        <v>3.0</v>
      </c>
      <c r="AF50" s="20">
        <v>0.0</v>
      </c>
      <c r="AG50" s="24">
        <f t="shared" si="9"/>
        <v>100</v>
      </c>
      <c r="AH50" s="20">
        <v>2.0</v>
      </c>
      <c r="AI50" s="22" t="str">
        <f t="shared" si="10"/>
        <v>0.33</v>
      </c>
      <c r="AJ50" s="26"/>
      <c r="AK50" s="26"/>
      <c r="AL50" s="27">
        <f t="shared" si="11"/>
        <v>0</v>
      </c>
      <c r="AM50" s="27" t="str">
        <f t="shared" si="12"/>
        <v>-</v>
      </c>
      <c r="AN50" s="28" t="str">
        <f t="shared" si="13"/>
        <v>-</v>
      </c>
      <c r="AO50" s="27">
        <f t="shared" si="14"/>
        <v>0</v>
      </c>
      <c r="AP50" s="27">
        <f t="shared" si="15"/>
        <v>0</v>
      </c>
      <c r="AQ50" s="27" t="str">
        <f t="shared" ref="AQ50:AR50" si="63">iferror(AB50/$M50,"-")</f>
        <v>-</v>
      </c>
      <c r="AR50" s="27">
        <f t="shared" si="63"/>
        <v>0</v>
      </c>
      <c r="AS50" s="29">
        <f t="shared" si="17"/>
        <v>0</v>
      </c>
      <c r="AT50" s="29" t="str">
        <f t="shared" si="18"/>
        <v>0.33</v>
      </c>
      <c r="AU50" s="26"/>
      <c r="AV50" s="26"/>
      <c r="AW50" s="26"/>
      <c r="AX50" s="26"/>
    </row>
    <row r="51">
      <c r="B51" s="17">
        <v>48.0</v>
      </c>
      <c r="C51" s="18">
        <f t="shared" si="2"/>
        <v>3</v>
      </c>
      <c r="D51" s="18" t="s">
        <v>100</v>
      </c>
      <c r="E51" s="19" t="s">
        <v>103</v>
      </c>
      <c r="F51" s="19">
        <v>2.0</v>
      </c>
      <c r="G51" s="19" t="s">
        <v>52</v>
      </c>
      <c r="H51" s="19" t="s">
        <v>48</v>
      </c>
      <c r="I51" s="19">
        <v>164.0</v>
      </c>
      <c r="J51" s="19">
        <v>57.0</v>
      </c>
      <c r="K51" s="20">
        <v>3.0</v>
      </c>
      <c r="L51" s="20">
        <v>4.0</v>
      </c>
      <c r="M51" s="20">
        <v>14.0</v>
      </c>
      <c r="N51" s="20">
        <v>3.0</v>
      </c>
      <c r="O51" s="20">
        <v>0.0</v>
      </c>
      <c r="P51" s="20">
        <v>5.0</v>
      </c>
      <c r="Q51" s="20">
        <v>4.0</v>
      </c>
      <c r="R51" s="21">
        <f t="shared" si="3"/>
        <v>12</v>
      </c>
      <c r="S51" s="22">
        <f t="shared" si="4"/>
        <v>-0.08</v>
      </c>
      <c r="T51" s="20">
        <v>0.0</v>
      </c>
      <c r="U51" s="20">
        <v>0.0</v>
      </c>
      <c r="V51" s="20">
        <v>0.0</v>
      </c>
      <c r="W51" s="20">
        <v>14.0</v>
      </c>
      <c r="X51" s="20">
        <v>3.0</v>
      </c>
      <c r="Y51" s="20">
        <v>1.0</v>
      </c>
      <c r="Z51" s="21">
        <f t="shared" si="5"/>
        <v>18</v>
      </c>
      <c r="AA51" s="20">
        <v>0.0</v>
      </c>
      <c r="AB51" s="21">
        <f t="shared" si="6"/>
        <v>6</v>
      </c>
      <c r="AC51" s="23">
        <f t="shared" si="7"/>
        <v>6</v>
      </c>
      <c r="AD51" s="21">
        <f t="shared" si="8"/>
        <v>14</v>
      </c>
      <c r="AE51" s="20">
        <v>12.0</v>
      </c>
      <c r="AF51" s="20">
        <v>2.0</v>
      </c>
      <c r="AG51" s="24">
        <f t="shared" si="9"/>
        <v>85.71428571</v>
      </c>
      <c r="AH51" s="20">
        <v>9.0</v>
      </c>
      <c r="AI51" s="22" t="str">
        <f t="shared" si="10"/>
        <v>0.64</v>
      </c>
      <c r="AJ51" s="26"/>
      <c r="AK51" s="26"/>
      <c r="AL51" s="27">
        <f t="shared" si="11"/>
        <v>0.2142857143</v>
      </c>
      <c r="AM51" s="27">
        <f t="shared" si="12"/>
        <v>0.8571428571</v>
      </c>
      <c r="AN51" s="28">
        <f t="shared" si="13"/>
        <v>0.25</v>
      </c>
      <c r="AO51" s="27">
        <f t="shared" si="14"/>
        <v>0</v>
      </c>
      <c r="AP51" s="27">
        <f t="shared" si="15"/>
        <v>0.2142857143</v>
      </c>
      <c r="AQ51" s="27">
        <f t="shared" ref="AQ51:AR51" si="64">iferror(AB51/$M51,"-")</f>
        <v>0.4285714286</v>
      </c>
      <c r="AR51" s="27">
        <f t="shared" si="64"/>
        <v>0.4285714286</v>
      </c>
      <c r="AS51" s="29">
        <f t="shared" si="17"/>
        <v>0.1428571429</v>
      </c>
      <c r="AT51" s="29" t="str">
        <f t="shared" si="18"/>
        <v>0.64</v>
      </c>
      <c r="AU51" s="26"/>
      <c r="AV51" s="26"/>
      <c r="AW51" s="26"/>
      <c r="AX51" s="26"/>
    </row>
    <row r="52">
      <c r="B52" s="17">
        <v>49.0</v>
      </c>
      <c r="C52" s="18">
        <f t="shared" si="2"/>
        <v>4</v>
      </c>
      <c r="D52" s="18" t="s">
        <v>100</v>
      </c>
      <c r="E52" s="19" t="s">
        <v>104</v>
      </c>
      <c r="F52" s="19">
        <v>1.0</v>
      </c>
      <c r="G52" s="19" t="s">
        <v>57</v>
      </c>
      <c r="H52" s="19" t="s">
        <v>48</v>
      </c>
      <c r="I52" s="19">
        <v>179.0</v>
      </c>
      <c r="J52" s="19">
        <v>80.0</v>
      </c>
      <c r="K52" s="20">
        <v>6.0</v>
      </c>
      <c r="L52" s="20">
        <v>4.0</v>
      </c>
      <c r="M52" s="20">
        <v>11.0</v>
      </c>
      <c r="N52" s="20">
        <v>20.0</v>
      </c>
      <c r="O52" s="20">
        <v>1.0</v>
      </c>
      <c r="P52" s="20">
        <v>23.0</v>
      </c>
      <c r="Q52" s="20">
        <v>12.0</v>
      </c>
      <c r="R52" s="21">
        <f t="shared" si="3"/>
        <v>55</v>
      </c>
      <c r="S52" s="22">
        <f t="shared" si="4"/>
        <v>0.15</v>
      </c>
      <c r="T52" s="20">
        <v>4.0</v>
      </c>
      <c r="U52" s="20">
        <v>0.0</v>
      </c>
      <c r="V52" s="20">
        <v>7.0</v>
      </c>
      <c r="W52" s="20">
        <v>8.0</v>
      </c>
      <c r="X52" s="20">
        <v>1.0</v>
      </c>
      <c r="Y52" s="20">
        <v>4.0</v>
      </c>
      <c r="Z52" s="21">
        <f t="shared" si="5"/>
        <v>13</v>
      </c>
      <c r="AA52" s="20">
        <v>0.0</v>
      </c>
      <c r="AB52" s="21">
        <f t="shared" si="6"/>
        <v>25</v>
      </c>
      <c r="AC52" s="23">
        <f t="shared" si="7"/>
        <v>30.25</v>
      </c>
      <c r="AD52" s="30" t="str">
        <f t="shared" si="8"/>
        <v>-</v>
      </c>
      <c r="AE52" s="20">
        <v>0.0</v>
      </c>
      <c r="AF52" s="20">
        <v>0.0</v>
      </c>
      <c r="AG52" s="24" t="str">
        <f t="shared" si="9"/>
        <v>-</v>
      </c>
      <c r="AH52" s="20">
        <v>10.0</v>
      </c>
      <c r="AI52" s="22" t="str">
        <f t="shared" si="10"/>
        <v>0.91</v>
      </c>
      <c r="AJ52" s="26"/>
      <c r="AK52" s="26"/>
      <c r="AL52" s="27">
        <f t="shared" si="11"/>
        <v>1.818181818</v>
      </c>
      <c r="AM52" s="27">
        <f t="shared" si="12"/>
        <v>5</v>
      </c>
      <c r="AN52" s="28">
        <f t="shared" si="13"/>
        <v>0.3636363636</v>
      </c>
      <c r="AO52" s="27">
        <f t="shared" si="14"/>
        <v>0.3636363636</v>
      </c>
      <c r="AP52" s="27">
        <f t="shared" si="15"/>
        <v>0.09090909091</v>
      </c>
      <c r="AQ52" s="27">
        <f t="shared" ref="AQ52:AR52" si="65">iferror(AB52/$M52,"-")</f>
        <v>2.272727273</v>
      </c>
      <c r="AR52" s="27">
        <f t="shared" si="65"/>
        <v>2.75</v>
      </c>
      <c r="AS52" s="29">
        <f t="shared" si="17"/>
        <v>0</v>
      </c>
      <c r="AT52" s="29" t="str">
        <f t="shared" si="18"/>
        <v>0.91</v>
      </c>
      <c r="AU52" s="26"/>
      <c r="AV52" s="26"/>
      <c r="AW52" s="26"/>
      <c r="AX52" s="26"/>
    </row>
    <row r="53">
      <c r="B53" s="17">
        <v>50.0</v>
      </c>
      <c r="C53" s="18">
        <f t="shared" si="2"/>
        <v>5</v>
      </c>
      <c r="D53" s="18" t="s">
        <v>100</v>
      </c>
      <c r="E53" s="19" t="s">
        <v>105</v>
      </c>
      <c r="F53" s="19">
        <v>3.0</v>
      </c>
      <c r="G53" s="19" t="s">
        <v>54</v>
      </c>
      <c r="H53" s="19" t="s">
        <v>48</v>
      </c>
      <c r="I53" s="19">
        <v>175.0</v>
      </c>
      <c r="J53" s="19">
        <v>73.0</v>
      </c>
      <c r="K53" s="20">
        <v>7.0</v>
      </c>
      <c r="L53" s="20">
        <v>4.0</v>
      </c>
      <c r="M53" s="20">
        <v>15.0</v>
      </c>
      <c r="N53" s="20">
        <v>2.0</v>
      </c>
      <c r="O53" s="20">
        <v>135.0</v>
      </c>
      <c r="P53" s="20">
        <v>5.0</v>
      </c>
      <c r="Q53" s="20">
        <v>3.0</v>
      </c>
      <c r="R53" s="21">
        <f t="shared" si="3"/>
        <v>10</v>
      </c>
      <c r="S53" s="22">
        <f t="shared" si="4"/>
        <v>-0.1</v>
      </c>
      <c r="T53" s="20">
        <v>11.0</v>
      </c>
      <c r="U53" s="20">
        <v>0.0</v>
      </c>
      <c r="V53" s="20">
        <v>2.0</v>
      </c>
      <c r="W53" s="20">
        <v>36.0</v>
      </c>
      <c r="X53" s="20">
        <v>3.0</v>
      </c>
      <c r="Y53" s="20">
        <v>4.0</v>
      </c>
      <c r="Z53" s="21">
        <f t="shared" si="5"/>
        <v>43</v>
      </c>
      <c r="AA53" s="20">
        <v>2.0</v>
      </c>
      <c r="AB53" s="21">
        <f t="shared" si="6"/>
        <v>16</v>
      </c>
      <c r="AC53" s="23">
        <f t="shared" si="7"/>
        <v>17.5</v>
      </c>
      <c r="AD53" s="21">
        <f t="shared" si="8"/>
        <v>4</v>
      </c>
      <c r="AE53" s="20">
        <v>2.0</v>
      </c>
      <c r="AF53" s="20">
        <v>2.0</v>
      </c>
      <c r="AG53" s="24">
        <f t="shared" si="9"/>
        <v>50</v>
      </c>
      <c r="AH53" s="20">
        <v>27.0</v>
      </c>
      <c r="AI53" s="22" t="str">
        <f t="shared" si="10"/>
        <v>1.80</v>
      </c>
      <c r="AJ53" s="26"/>
      <c r="AK53" s="26"/>
      <c r="AL53" s="27">
        <f t="shared" si="11"/>
        <v>0.1333333333</v>
      </c>
      <c r="AM53" s="27">
        <f t="shared" si="12"/>
        <v>0.6666666667</v>
      </c>
      <c r="AN53" s="28">
        <f t="shared" si="13"/>
        <v>0.2</v>
      </c>
      <c r="AO53" s="27">
        <f t="shared" si="14"/>
        <v>0.7333333333</v>
      </c>
      <c r="AP53" s="27">
        <f t="shared" si="15"/>
        <v>0.2</v>
      </c>
      <c r="AQ53" s="27">
        <f t="shared" ref="AQ53:AR53" si="66">iferror(AB53/$M53,"-")</f>
        <v>1.066666667</v>
      </c>
      <c r="AR53" s="27">
        <f t="shared" si="66"/>
        <v>1.166666667</v>
      </c>
      <c r="AS53" s="29">
        <f t="shared" si="17"/>
        <v>0.1333333333</v>
      </c>
      <c r="AT53" s="29" t="str">
        <f t="shared" si="18"/>
        <v>1.80</v>
      </c>
      <c r="AU53" s="26"/>
      <c r="AV53" s="26"/>
      <c r="AW53" s="26"/>
      <c r="AX53" s="26"/>
    </row>
    <row r="54">
      <c r="B54" s="17">
        <v>51.0</v>
      </c>
      <c r="C54" s="18">
        <f t="shared" si="2"/>
        <v>6</v>
      </c>
      <c r="D54" s="18" t="s">
        <v>100</v>
      </c>
      <c r="E54" s="19" t="s">
        <v>106</v>
      </c>
      <c r="F54" s="19">
        <v>1.0</v>
      </c>
      <c r="G54" s="19" t="s">
        <v>47</v>
      </c>
      <c r="H54" s="19" t="s">
        <v>48</v>
      </c>
      <c r="I54" s="19">
        <v>178.0</v>
      </c>
      <c r="J54" s="19">
        <v>65.0</v>
      </c>
      <c r="K54" s="20">
        <v>8.0</v>
      </c>
      <c r="L54" s="20">
        <v>1.0</v>
      </c>
      <c r="M54" s="20">
        <v>1.0</v>
      </c>
      <c r="N54" s="20">
        <v>0.0</v>
      </c>
      <c r="O54" s="20">
        <v>0.0</v>
      </c>
      <c r="P54" s="20">
        <v>0.0</v>
      </c>
      <c r="Q54" s="20">
        <v>0.0</v>
      </c>
      <c r="R54" s="30" t="str">
        <f t="shared" si="3"/>
        <v>-</v>
      </c>
      <c r="S54" s="22" t="str">
        <f t="shared" si="4"/>
        <v>-</v>
      </c>
      <c r="T54" s="20">
        <v>0.0</v>
      </c>
      <c r="U54" s="20">
        <v>0.0</v>
      </c>
      <c r="V54" s="20">
        <v>1.0</v>
      </c>
      <c r="W54" s="20">
        <v>0.0</v>
      </c>
      <c r="X54" s="20">
        <v>0.0</v>
      </c>
      <c r="Y54" s="20">
        <v>0.0</v>
      </c>
      <c r="Z54" s="30" t="str">
        <f t="shared" si="5"/>
        <v>-</v>
      </c>
      <c r="AA54" s="20">
        <v>0.0</v>
      </c>
      <c r="AB54" s="30" t="str">
        <f t="shared" si="6"/>
        <v>-</v>
      </c>
      <c r="AC54" s="23">
        <f t="shared" si="7"/>
        <v>0.75</v>
      </c>
      <c r="AD54" s="30" t="str">
        <f t="shared" si="8"/>
        <v>-</v>
      </c>
      <c r="AE54" s="20">
        <v>0.0</v>
      </c>
      <c r="AF54" s="20">
        <v>0.0</v>
      </c>
      <c r="AG54" s="24" t="str">
        <f t="shared" si="9"/>
        <v>-</v>
      </c>
      <c r="AH54" s="20">
        <v>0.0</v>
      </c>
      <c r="AI54" s="22" t="str">
        <f t="shared" si="10"/>
        <v>0</v>
      </c>
      <c r="AJ54" s="26"/>
      <c r="AK54" s="26"/>
      <c r="AL54" s="27">
        <f t="shared" si="11"/>
        <v>0</v>
      </c>
      <c r="AM54" s="27" t="str">
        <f t="shared" si="12"/>
        <v>-</v>
      </c>
      <c r="AN54" s="28" t="str">
        <f t="shared" si="13"/>
        <v>-</v>
      </c>
      <c r="AO54" s="27">
        <f t="shared" si="14"/>
        <v>0</v>
      </c>
      <c r="AP54" s="27">
        <f t="shared" si="15"/>
        <v>0</v>
      </c>
      <c r="AQ54" s="27" t="str">
        <f t="shared" ref="AQ54:AR54" si="67">iferror(AB54/$M54,"-")</f>
        <v>-</v>
      </c>
      <c r="AR54" s="27">
        <f t="shared" si="67"/>
        <v>0.75</v>
      </c>
      <c r="AS54" s="29">
        <f t="shared" si="17"/>
        <v>0</v>
      </c>
      <c r="AT54" s="29" t="str">
        <f t="shared" si="18"/>
        <v>0</v>
      </c>
      <c r="AU54" s="26"/>
      <c r="AV54" s="26"/>
      <c r="AW54" s="26"/>
      <c r="AX54" s="26"/>
    </row>
    <row r="55">
      <c r="B55" s="17">
        <v>52.0</v>
      </c>
      <c r="C55" s="18">
        <f t="shared" si="2"/>
        <v>7</v>
      </c>
      <c r="D55" s="18" t="s">
        <v>100</v>
      </c>
      <c r="E55" s="18" t="s">
        <v>107</v>
      </c>
      <c r="F55" s="19">
        <v>2.0</v>
      </c>
      <c r="G55" s="19" t="s">
        <v>52</v>
      </c>
      <c r="H55" s="19" t="s">
        <v>48</v>
      </c>
      <c r="I55" s="19">
        <v>182.0</v>
      </c>
      <c r="J55" s="19">
        <v>72.0</v>
      </c>
      <c r="K55" s="20">
        <v>9.0</v>
      </c>
      <c r="L55" s="20">
        <v>4.0</v>
      </c>
      <c r="M55" s="20">
        <v>12.0</v>
      </c>
      <c r="N55" s="20">
        <v>29.0</v>
      </c>
      <c r="O55" s="20">
        <v>0.0</v>
      </c>
      <c r="P55" s="20">
        <v>35.0</v>
      </c>
      <c r="Q55" s="20">
        <v>18.0</v>
      </c>
      <c r="R55" s="21">
        <f t="shared" si="3"/>
        <v>82</v>
      </c>
      <c r="S55" s="22">
        <f t="shared" si="4"/>
        <v>0.13</v>
      </c>
      <c r="T55" s="20">
        <v>5.0</v>
      </c>
      <c r="U55" s="20">
        <v>1.0</v>
      </c>
      <c r="V55" s="20">
        <v>0.0</v>
      </c>
      <c r="W55" s="20">
        <v>18.0</v>
      </c>
      <c r="X55" s="20">
        <v>2.0</v>
      </c>
      <c r="Y55" s="20">
        <v>3.0</v>
      </c>
      <c r="Z55" s="21">
        <f t="shared" si="5"/>
        <v>23</v>
      </c>
      <c r="AA55" s="20">
        <v>0.0</v>
      </c>
      <c r="AB55" s="21">
        <f t="shared" si="6"/>
        <v>36</v>
      </c>
      <c r="AC55" s="23">
        <f t="shared" si="7"/>
        <v>36</v>
      </c>
      <c r="AD55" s="21">
        <f t="shared" si="8"/>
        <v>43</v>
      </c>
      <c r="AE55" s="20">
        <v>37.0</v>
      </c>
      <c r="AF55" s="20">
        <v>6.0</v>
      </c>
      <c r="AG55" s="24">
        <f t="shared" si="9"/>
        <v>86.04651163</v>
      </c>
      <c r="AH55" s="20">
        <v>10.0</v>
      </c>
      <c r="AI55" s="22" t="str">
        <f t="shared" si="10"/>
        <v>0.83</v>
      </c>
      <c r="AJ55" s="26"/>
      <c r="AK55" s="26"/>
      <c r="AL55" s="27">
        <f t="shared" si="11"/>
        <v>2.416666667</v>
      </c>
      <c r="AM55" s="27">
        <f t="shared" si="12"/>
        <v>6.833333333</v>
      </c>
      <c r="AN55" s="28">
        <f t="shared" si="13"/>
        <v>0.3536585366</v>
      </c>
      <c r="AO55" s="27">
        <f t="shared" si="14"/>
        <v>0.4166666667</v>
      </c>
      <c r="AP55" s="27">
        <f t="shared" si="15"/>
        <v>0.1666666667</v>
      </c>
      <c r="AQ55" s="27">
        <f t="shared" ref="AQ55:AR55" si="68">iferror(AB55/$M55,"-")</f>
        <v>3</v>
      </c>
      <c r="AR55" s="27">
        <f t="shared" si="68"/>
        <v>3</v>
      </c>
      <c r="AS55" s="29">
        <f t="shared" si="17"/>
        <v>0.5</v>
      </c>
      <c r="AT55" s="29" t="str">
        <f t="shared" si="18"/>
        <v>0.83</v>
      </c>
      <c r="AU55" s="26"/>
      <c r="AV55" s="26"/>
      <c r="AW55" s="26"/>
      <c r="AX55" s="26"/>
    </row>
    <row r="56">
      <c r="B56" s="17">
        <v>53.0</v>
      </c>
      <c r="C56" s="18">
        <f t="shared" si="2"/>
        <v>8</v>
      </c>
      <c r="D56" s="18" t="s">
        <v>100</v>
      </c>
      <c r="E56" s="19" t="s">
        <v>108</v>
      </c>
      <c r="F56" s="19">
        <v>3.0</v>
      </c>
      <c r="G56" s="19" t="s">
        <v>52</v>
      </c>
      <c r="H56" s="19" t="s">
        <v>57</v>
      </c>
      <c r="I56" s="19">
        <v>175.0</v>
      </c>
      <c r="J56" s="19">
        <v>80.0</v>
      </c>
      <c r="K56" s="20">
        <v>10.0</v>
      </c>
      <c r="L56" s="20">
        <v>4.0</v>
      </c>
      <c r="M56" s="20">
        <v>16.0</v>
      </c>
      <c r="N56" s="20">
        <v>57.0</v>
      </c>
      <c r="O56" s="20">
        <v>0.0</v>
      </c>
      <c r="P56" s="20">
        <v>51.0</v>
      </c>
      <c r="Q56" s="20">
        <v>12.0</v>
      </c>
      <c r="R56" s="21">
        <f t="shared" si="3"/>
        <v>120</v>
      </c>
      <c r="S56" s="22">
        <f t="shared" si="4"/>
        <v>0.38</v>
      </c>
      <c r="T56" s="20">
        <v>3.0</v>
      </c>
      <c r="U56" s="20">
        <v>0.0</v>
      </c>
      <c r="V56" s="20">
        <v>2.0</v>
      </c>
      <c r="W56" s="20">
        <v>53.0</v>
      </c>
      <c r="X56" s="20">
        <v>3.0</v>
      </c>
      <c r="Y56" s="20">
        <v>6.0</v>
      </c>
      <c r="Z56" s="21">
        <f t="shared" si="5"/>
        <v>62</v>
      </c>
      <c r="AA56" s="20">
        <v>0.0</v>
      </c>
      <c r="AB56" s="21">
        <f t="shared" si="6"/>
        <v>63</v>
      </c>
      <c r="AC56" s="23">
        <f t="shared" si="7"/>
        <v>64.5</v>
      </c>
      <c r="AD56" s="21">
        <f t="shared" si="8"/>
        <v>31</v>
      </c>
      <c r="AE56" s="20">
        <v>30.0</v>
      </c>
      <c r="AF56" s="20">
        <v>1.0</v>
      </c>
      <c r="AG56" s="24">
        <f t="shared" si="9"/>
        <v>96.77419355</v>
      </c>
      <c r="AH56" s="20">
        <v>28.0</v>
      </c>
      <c r="AI56" s="22" t="str">
        <f t="shared" si="10"/>
        <v>1.75</v>
      </c>
      <c r="AJ56" s="26"/>
      <c r="AK56" s="26"/>
      <c r="AL56" s="27">
        <f t="shared" si="11"/>
        <v>3.5625</v>
      </c>
      <c r="AM56" s="27">
        <f t="shared" si="12"/>
        <v>7.5</v>
      </c>
      <c r="AN56" s="28">
        <f t="shared" si="13"/>
        <v>0.475</v>
      </c>
      <c r="AO56" s="27">
        <f t="shared" si="14"/>
        <v>0.1875</v>
      </c>
      <c r="AP56" s="27">
        <f t="shared" si="15"/>
        <v>0.1875</v>
      </c>
      <c r="AQ56" s="27">
        <f t="shared" ref="AQ56:AR56" si="69">iferror(AB56/$M56,"-")</f>
        <v>3.9375</v>
      </c>
      <c r="AR56" s="27">
        <f t="shared" si="69"/>
        <v>4.03125</v>
      </c>
      <c r="AS56" s="29">
        <f t="shared" si="17"/>
        <v>0.0625</v>
      </c>
      <c r="AT56" s="29" t="str">
        <f t="shared" si="18"/>
        <v>1.75</v>
      </c>
      <c r="AU56" s="26"/>
      <c r="AV56" s="26"/>
      <c r="AW56" s="26"/>
      <c r="AX56" s="26"/>
    </row>
    <row r="57">
      <c r="B57" s="17">
        <v>54.0</v>
      </c>
      <c r="C57" s="18">
        <f t="shared" si="2"/>
        <v>9</v>
      </c>
      <c r="D57" s="18" t="s">
        <v>100</v>
      </c>
      <c r="E57" s="19" t="s">
        <v>109</v>
      </c>
      <c r="F57" s="19">
        <v>3.0</v>
      </c>
      <c r="G57" s="19" t="s">
        <v>47</v>
      </c>
      <c r="H57" s="19" t="s">
        <v>48</v>
      </c>
      <c r="I57" s="19">
        <v>174.0</v>
      </c>
      <c r="J57" s="19">
        <v>61.0</v>
      </c>
      <c r="K57" s="20">
        <v>11.0</v>
      </c>
      <c r="L57" s="20">
        <v>4.0</v>
      </c>
      <c r="M57" s="20">
        <v>16.0</v>
      </c>
      <c r="N57" s="20">
        <v>15.0</v>
      </c>
      <c r="O57" s="20">
        <v>1.0</v>
      </c>
      <c r="P57" s="20">
        <v>19.0</v>
      </c>
      <c r="Q57" s="20">
        <v>4.0</v>
      </c>
      <c r="R57" s="21">
        <f t="shared" si="3"/>
        <v>38</v>
      </c>
      <c r="S57" s="22">
        <f t="shared" si="4"/>
        <v>0.29</v>
      </c>
      <c r="T57" s="20">
        <v>4.0</v>
      </c>
      <c r="U57" s="20">
        <v>1.0</v>
      </c>
      <c r="V57" s="20">
        <v>9.0</v>
      </c>
      <c r="W57" s="20">
        <v>64.0</v>
      </c>
      <c r="X57" s="20">
        <v>6.0</v>
      </c>
      <c r="Y57" s="20">
        <v>3.0</v>
      </c>
      <c r="Z57" s="21">
        <f t="shared" si="5"/>
        <v>73</v>
      </c>
      <c r="AA57" s="20">
        <v>0.0</v>
      </c>
      <c r="AB57" s="21">
        <f t="shared" si="6"/>
        <v>25</v>
      </c>
      <c r="AC57" s="23">
        <f t="shared" si="7"/>
        <v>31.75</v>
      </c>
      <c r="AD57" s="21">
        <f t="shared" si="8"/>
        <v>5</v>
      </c>
      <c r="AE57" s="20">
        <v>5.0</v>
      </c>
      <c r="AF57" s="20">
        <v>0.0</v>
      </c>
      <c r="AG57" s="24">
        <f t="shared" si="9"/>
        <v>100</v>
      </c>
      <c r="AH57" s="20">
        <v>7.0</v>
      </c>
      <c r="AI57" s="22" t="str">
        <f t="shared" si="10"/>
        <v>0.44</v>
      </c>
      <c r="AJ57" s="26"/>
      <c r="AK57" s="26"/>
      <c r="AL57" s="27">
        <f t="shared" si="11"/>
        <v>0.9375</v>
      </c>
      <c r="AM57" s="27">
        <f t="shared" si="12"/>
        <v>2.375</v>
      </c>
      <c r="AN57" s="28">
        <f t="shared" si="13"/>
        <v>0.3947368421</v>
      </c>
      <c r="AO57" s="27">
        <f t="shared" si="14"/>
        <v>0.25</v>
      </c>
      <c r="AP57" s="27">
        <f t="shared" si="15"/>
        <v>0.375</v>
      </c>
      <c r="AQ57" s="27">
        <f t="shared" ref="AQ57:AR57" si="70">iferror(AB57/$M57,"-")</f>
        <v>1.5625</v>
      </c>
      <c r="AR57" s="27">
        <f t="shared" si="70"/>
        <v>1.984375</v>
      </c>
      <c r="AS57" s="29">
        <f t="shared" si="17"/>
        <v>0</v>
      </c>
      <c r="AT57" s="29" t="str">
        <f t="shared" si="18"/>
        <v>0.44</v>
      </c>
      <c r="AU57" s="26"/>
      <c r="AV57" s="26"/>
      <c r="AW57" s="26"/>
      <c r="AX57" s="26"/>
    </row>
    <row r="58">
      <c r="B58" s="17">
        <v>55.0</v>
      </c>
      <c r="C58" s="18">
        <f t="shared" si="2"/>
        <v>10</v>
      </c>
      <c r="D58" s="18" t="s">
        <v>100</v>
      </c>
      <c r="E58" s="19" t="s">
        <v>110</v>
      </c>
      <c r="F58" s="19">
        <v>1.0</v>
      </c>
      <c r="G58" s="19" t="s">
        <v>47</v>
      </c>
      <c r="H58" s="19" t="s">
        <v>52</v>
      </c>
      <c r="I58" s="19">
        <v>179.0</v>
      </c>
      <c r="J58" s="19">
        <v>66.0</v>
      </c>
      <c r="K58" s="20">
        <v>12.0</v>
      </c>
      <c r="L58" s="20">
        <v>2.0</v>
      </c>
      <c r="M58" s="20">
        <v>3.0</v>
      </c>
      <c r="N58" s="20">
        <v>3.0</v>
      </c>
      <c r="O58" s="20">
        <v>0.0</v>
      </c>
      <c r="P58" s="20">
        <v>7.0</v>
      </c>
      <c r="Q58" s="20">
        <v>0.0</v>
      </c>
      <c r="R58" s="21">
        <f t="shared" si="3"/>
        <v>10</v>
      </c>
      <c r="S58" s="22">
        <f t="shared" si="4"/>
        <v>0.3</v>
      </c>
      <c r="T58" s="20">
        <v>0.0</v>
      </c>
      <c r="U58" s="20">
        <v>0.0</v>
      </c>
      <c r="V58" s="20">
        <v>1.0</v>
      </c>
      <c r="W58" s="20">
        <v>2.0</v>
      </c>
      <c r="X58" s="20">
        <v>0.0</v>
      </c>
      <c r="Y58" s="20">
        <v>0.0</v>
      </c>
      <c r="Z58" s="21">
        <f t="shared" si="5"/>
        <v>2</v>
      </c>
      <c r="AA58" s="20">
        <v>0.0</v>
      </c>
      <c r="AB58" s="21">
        <f t="shared" si="6"/>
        <v>3</v>
      </c>
      <c r="AC58" s="23">
        <f t="shared" si="7"/>
        <v>3.75</v>
      </c>
      <c r="AD58" s="30" t="str">
        <f t="shared" si="8"/>
        <v>-</v>
      </c>
      <c r="AE58" s="20">
        <v>0.0</v>
      </c>
      <c r="AF58" s="20">
        <v>0.0</v>
      </c>
      <c r="AG58" s="24" t="str">
        <f t="shared" si="9"/>
        <v>-</v>
      </c>
      <c r="AH58" s="20">
        <v>3.0</v>
      </c>
      <c r="AI58" s="22" t="str">
        <f t="shared" si="10"/>
        <v>1</v>
      </c>
      <c r="AJ58" s="26"/>
      <c r="AK58" s="26"/>
      <c r="AL58" s="27">
        <f t="shared" si="11"/>
        <v>1</v>
      </c>
      <c r="AM58" s="27">
        <f t="shared" si="12"/>
        <v>3.333333333</v>
      </c>
      <c r="AN58" s="28">
        <f t="shared" si="13"/>
        <v>0.3</v>
      </c>
      <c r="AO58" s="27">
        <f t="shared" si="14"/>
        <v>0</v>
      </c>
      <c r="AP58" s="27">
        <f t="shared" si="15"/>
        <v>0</v>
      </c>
      <c r="AQ58" s="27">
        <f t="shared" ref="AQ58:AR58" si="71">iferror(AB58/$M58,"-")</f>
        <v>1</v>
      </c>
      <c r="AR58" s="27">
        <f t="shared" si="71"/>
        <v>1.25</v>
      </c>
      <c r="AS58" s="29">
        <f t="shared" si="17"/>
        <v>0</v>
      </c>
      <c r="AT58" s="29" t="str">
        <f t="shared" si="18"/>
        <v>1</v>
      </c>
      <c r="AU58" s="26"/>
      <c r="AV58" s="26"/>
      <c r="AW58" s="26"/>
      <c r="AX58" s="26"/>
    </row>
    <row r="59">
      <c r="B59" s="17">
        <v>56.0</v>
      </c>
      <c r="C59" s="18">
        <f t="shared" si="2"/>
        <v>11</v>
      </c>
      <c r="D59" s="18" t="s">
        <v>100</v>
      </c>
      <c r="E59" s="19" t="s">
        <v>111</v>
      </c>
      <c r="F59" s="19">
        <v>2.0</v>
      </c>
      <c r="G59" s="19" t="s">
        <v>52</v>
      </c>
      <c r="H59" s="19" t="s">
        <v>48</v>
      </c>
      <c r="I59" s="19">
        <v>170.0</v>
      </c>
      <c r="J59" s="19">
        <v>62.0</v>
      </c>
      <c r="K59" s="20">
        <v>13.0</v>
      </c>
      <c r="L59" s="20">
        <v>4.0</v>
      </c>
      <c r="M59" s="20">
        <v>16.0</v>
      </c>
      <c r="N59" s="20">
        <v>29.0</v>
      </c>
      <c r="O59" s="20">
        <v>4.0</v>
      </c>
      <c r="P59" s="20">
        <v>45.0</v>
      </c>
      <c r="Q59" s="20">
        <v>15.0</v>
      </c>
      <c r="R59" s="21">
        <f t="shared" si="3"/>
        <v>89</v>
      </c>
      <c r="S59" s="22">
        <f t="shared" si="4"/>
        <v>0.16</v>
      </c>
      <c r="T59" s="20">
        <v>2.0</v>
      </c>
      <c r="U59" s="20">
        <v>0.0</v>
      </c>
      <c r="V59" s="20">
        <v>1.0</v>
      </c>
      <c r="W59" s="20">
        <v>49.0</v>
      </c>
      <c r="X59" s="20">
        <v>4.0</v>
      </c>
      <c r="Y59" s="20">
        <v>2.0</v>
      </c>
      <c r="Z59" s="21">
        <f t="shared" si="5"/>
        <v>55</v>
      </c>
      <c r="AA59" s="20">
        <v>0.0</v>
      </c>
      <c r="AB59" s="21">
        <f t="shared" si="6"/>
        <v>35</v>
      </c>
      <c r="AC59" s="23">
        <f t="shared" si="7"/>
        <v>35.75</v>
      </c>
      <c r="AD59" s="21">
        <f t="shared" si="8"/>
        <v>80</v>
      </c>
      <c r="AE59" s="20">
        <v>73.0</v>
      </c>
      <c r="AF59" s="20">
        <v>7.0</v>
      </c>
      <c r="AG59" s="24">
        <f t="shared" si="9"/>
        <v>91.25</v>
      </c>
      <c r="AH59" s="20">
        <v>35.0</v>
      </c>
      <c r="AI59" s="22" t="str">
        <f t="shared" si="10"/>
        <v>2.19</v>
      </c>
      <c r="AJ59" s="26"/>
      <c r="AK59" s="26"/>
      <c r="AL59" s="27">
        <f t="shared" si="11"/>
        <v>1.8125</v>
      </c>
      <c r="AM59" s="27">
        <f t="shared" si="12"/>
        <v>5.5625</v>
      </c>
      <c r="AN59" s="28">
        <f t="shared" si="13"/>
        <v>0.3258426966</v>
      </c>
      <c r="AO59" s="27">
        <f t="shared" si="14"/>
        <v>0.125</v>
      </c>
      <c r="AP59" s="27">
        <f t="shared" si="15"/>
        <v>0.25</v>
      </c>
      <c r="AQ59" s="27">
        <f t="shared" ref="AQ59:AR59" si="72">iferror(AB59/$M59,"-")</f>
        <v>2.1875</v>
      </c>
      <c r="AR59" s="27">
        <f t="shared" si="72"/>
        <v>2.234375</v>
      </c>
      <c r="AS59" s="29">
        <f t="shared" si="17"/>
        <v>0.4375</v>
      </c>
      <c r="AT59" s="29" t="str">
        <f t="shared" si="18"/>
        <v>2.19</v>
      </c>
      <c r="AU59" s="26"/>
      <c r="AV59" s="26"/>
      <c r="AW59" s="26"/>
      <c r="AX59" s="26"/>
    </row>
    <row r="60">
      <c r="B60" s="17">
        <v>57.0</v>
      </c>
      <c r="C60" s="18">
        <f t="shared" si="2"/>
        <v>12</v>
      </c>
      <c r="D60" s="18" t="s">
        <v>100</v>
      </c>
      <c r="E60" s="19" t="s">
        <v>112</v>
      </c>
      <c r="F60" s="19">
        <v>2.0</v>
      </c>
      <c r="G60" s="19" t="s">
        <v>47</v>
      </c>
      <c r="H60" s="19" t="s">
        <v>48</v>
      </c>
      <c r="I60" s="19">
        <v>183.0</v>
      </c>
      <c r="J60" s="19">
        <v>71.0</v>
      </c>
      <c r="K60" s="20">
        <v>14.0</v>
      </c>
      <c r="L60" s="20">
        <v>4.0</v>
      </c>
      <c r="M60" s="20">
        <v>16.0</v>
      </c>
      <c r="N60" s="20">
        <v>35.0</v>
      </c>
      <c r="O60" s="20">
        <v>1.0</v>
      </c>
      <c r="P60" s="20">
        <v>34.0</v>
      </c>
      <c r="Q60" s="20">
        <v>7.0</v>
      </c>
      <c r="R60" s="21">
        <f t="shared" si="3"/>
        <v>76</v>
      </c>
      <c r="S60" s="22">
        <f t="shared" si="4"/>
        <v>0.37</v>
      </c>
      <c r="T60" s="20">
        <v>14.0</v>
      </c>
      <c r="U60" s="20">
        <v>1.0</v>
      </c>
      <c r="V60" s="20">
        <v>15.0</v>
      </c>
      <c r="W60" s="20">
        <v>41.0</v>
      </c>
      <c r="X60" s="20">
        <v>5.0</v>
      </c>
      <c r="Y60" s="20">
        <v>2.0</v>
      </c>
      <c r="Z60" s="21">
        <f t="shared" si="5"/>
        <v>48</v>
      </c>
      <c r="AA60" s="20">
        <v>0.0</v>
      </c>
      <c r="AB60" s="21">
        <f t="shared" si="6"/>
        <v>54</v>
      </c>
      <c r="AC60" s="23">
        <f t="shared" si="7"/>
        <v>65.25</v>
      </c>
      <c r="AD60" s="21">
        <f t="shared" si="8"/>
        <v>4</v>
      </c>
      <c r="AE60" s="20">
        <v>4.0</v>
      </c>
      <c r="AF60" s="20">
        <v>0.0</v>
      </c>
      <c r="AG60" s="24">
        <f t="shared" si="9"/>
        <v>100</v>
      </c>
      <c r="AH60" s="20">
        <v>14.0</v>
      </c>
      <c r="AI60" s="22" t="str">
        <f t="shared" si="10"/>
        <v>0.88</v>
      </c>
      <c r="AJ60" s="26"/>
      <c r="AK60" s="26"/>
      <c r="AL60" s="27">
        <f t="shared" si="11"/>
        <v>2.1875</v>
      </c>
      <c r="AM60" s="27">
        <f t="shared" si="12"/>
        <v>4.75</v>
      </c>
      <c r="AN60" s="28">
        <f t="shared" si="13"/>
        <v>0.4605263158</v>
      </c>
      <c r="AO60" s="27">
        <f t="shared" si="14"/>
        <v>0.875</v>
      </c>
      <c r="AP60" s="27">
        <f t="shared" si="15"/>
        <v>0.3125</v>
      </c>
      <c r="AQ60" s="27">
        <f t="shared" ref="AQ60:AR60" si="73">iferror(AB60/$M60,"-")</f>
        <v>3.375</v>
      </c>
      <c r="AR60" s="27">
        <f t="shared" si="73"/>
        <v>4.078125</v>
      </c>
      <c r="AS60" s="29">
        <f t="shared" si="17"/>
        <v>0</v>
      </c>
      <c r="AT60" s="29" t="str">
        <f t="shared" si="18"/>
        <v>0.88</v>
      </c>
      <c r="AU60" s="26"/>
      <c r="AV60" s="26"/>
      <c r="AW60" s="26"/>
      <c r="AX60" s="26"/>
    </row>
    <row r="61">
      <c r="B61" s="17">
        <v>58.0</v>
      </c>
      <c r="C61" s="18">
        <f t="shared" si="2"/>
        <v>13</v>
      </c>
      <c r="D61" s="18" t="s">
        <v>100</v>
      </c>
      <c r="E61" s="19" t="s">
        <v>113</v>
      </c>
      <c r="F61" s="19">
        <v>2.0</v>
      </c>
      <c r="G61" s="19" t="s">
        <v>54</v>
      </c>
      <c r="H61" s="19" t="s">
        <v>48</v>
      </c>
      <c r="I61" s="19">
        <v>177.0</v>
      </c>
      <c r="J61" s="19">
        <v>65.0</v>
      </c>
      <c r="K61" s="20">
        <v>17.0</v>
      </c>
      <c r="L61" s="20">
        <v>4.0</v>
      </c>
      <c r="M61" s="20">
        <v>7.0</v>
      </c>
      <c r="N61" s="20">
        <v>0.0</v>
      </c>
      <c r="O61" s="20">
        <v>24.0</v>
      </c>
      <c r="P61" s="20">
        <v>1.0</v>
      </c>
      <c r="Q61" s="20">
        <v>0.0</v>
      </c>
      <c r="R61" s="21">
        <f t="shared" si="3"/>
        <v>1</v>
      </c>
      <c r="S61" s="22" t="str">
        <f t="shared" si="4"/>
        <v>-</v>
      </c>
      <c r="T61" s="20">
        <v>2.0</v>
      </c>
      <c r="U61" s="20">
        <v>0.0</v>
      </c>
      <c r="V61" s="20">
        <v>1.0</v>
      </c>
      <c r="W61" s="20">
        <v>8.0</v>
      </c>
      <c r="X61" s="20">
        <v>1.0</v>
      </c>
      <c r="Y61" s="20">
        <v>0.0</v>
      </c>
      <c r="Z61" s="21">
        <f t="shared" si="5"/>
        <v>9</v>
      </c>
      <c r="AA61" s="20">
        <v>1.0</v>
      </c>
      <c r="AB61" s="21">
        <f t="shared" si="6"/>
        <v>3</v>
      </c>
      <c r="AC61" s="23">
        <f t="shared" si="7"/>
        <v>3.75</v>
      </c>
      <c r="AD61" s="21">
        <f t="shared" si="8"/>
        <v>1</v>
      </c>
      <c r="AE61" s="20">
        <v>0.0</v>
      </c>
      <c r="AF61" s="20">
        <v>1.0</v>
      </c>
      <c r="AG61" s="24">
        <f t="shared" si="9"/>
        <v>0</v>
      </c>
      <c r="AH61" s="20">
        <v>3.0</v>
      </c>
      <c r="AI61" s="22" t="str">
        <f t="shared" si="10"/>
        <v>0.43</v>
      </c>
      <c r="AJ61" s="26"/>
      <c r="AK61" s="26"/>
      <c r="AL61" s="27">
        <f t="shared" si="11"/>
        <v>0</v>
      </c>
      <c r="AM61" s="27">
        <f t="shared" si="12"/>
        <v>0.1428571429</v>
      </c>
      <c r="AN61" s="28">
        <f t="shared" si="13"/>
        <v>0</v>
      </c>
      <c r="AO61" s="27">
        <f t="shared" si="14"/>
        <v>0.2857142857</v>
      </c>
      <c r="AP61" s="27">
        <f t="shared" si="15"/>
        <v>0.1428571429</v>
      </c>
      <c r="AQ61" s="27">
        <f t="shared" ref="AQ61:AR61" si="74">iferror(AB61/$M61,"-")</f>
        <v>0.4285714286</v>
      </c>
      <c r="AR61" s="27">
        <f t="shared" si="74"/>
        <v>0.5357142857</v>
      </c>
      <c r="AS61" s="29">
        <f t="shared" si="17"/>
        <v>0.1428571429</v>
      </c>
      <c r="AT61" s="29" t="str">
        <f t="shared" si="18"/>
        <v>0.43</v>
      </c>
      <c r="AU61" s="26"/>
      <c r="AV61" s="26"/>
      <c r="AW61" s="26"/>
      <c r="AX61" s="26"/>
    </row>
    <row r="62">
      <c r="B62" s="17">
        <v>59.0</v>
      </c>
      <c r="C62" s="18">
        <f t="shared" si="2"/>
        <v>1</v>
      </c>
      <c r="D62" s="19" t="s">
        <v>114</v>
      </c>
      <c r="E62" s="19" t="s">
        <v>115</v>
      </c>
      <c r="F62" s="19">
        <v>3.0</v>
      </c>
      <c r="G62" s="19" t="s">
        <v>52</v>
      </c>
      <c r="H62" s="19" t="s">
        <v>57</v>
      </c>
      <c r="I62" s="19">
        <v>178.0</v>
      </c>
      <c r="J62" s="19">
        <v>65.0</v>
      </c>
      <c r="K62" s="20">
        <v>1.0</v>
      </c>
      <c r="L62" s="20">
        <v>3.0</v>
      </c>
      <c r="M62" s="20">
        <v>12.0</v>
      </c>
      <c r="N62" s="20">
        <v>53.0</v>
      </c>
      <c r="O62" s="20">
        <v>4.0</v>
      </c>
      <c r="P62" s="20">
        <v>65.0</v>
      </c>
      <c r="Q62" s="20">
        <v>26.0</v>
      </c>
      <c r="R62" s="21">
        <f t="shared" si="3"/>
        <v>144</v>
      </c>
      <c r="S62" s="22">
        <f t="shared" si="4"/>
        <v>0.19</v>
      </c>
      <c r="T62" s="20">
        <v>4.0</v>
      </c>
      <c r="U62" s="20">
        <v>0.0</v>
      </c>
      <c r="V62" s="20">
        <v>0.0</v>
      </c>
      <c r="W62" s="20">
        <v>33.0</v>
      </c>
      <c r="X62" s="20">
        <v>3.0</v>
      </c>
      <c r="Y62" s="20">
        <v>7.0</v>
      </c>
      <c r="Z62" s="21">
        <f t="shared" si="5"/>
        <v>43</v>
      </c>
      <c r="AA62" s="20">
        <v>1.0</v>
      </c>
      <c r="AB62" s="21">
        <f t="shared" si="6"/>
        <v>60</v>
      </c>
      <c r="AC62" s="23">
        <f t="shared" si="7"/>
        <v>60</v>
      </c>
      <c r="AD62" s="21">
        <f t="shared" si="8"/>
        <v>73</v>
      </c>
      <c r="AE62" s="20">
        <v>69.0</v>
      </c>
      <c r="AF62" s="20">
        <v>4.0</v>
      </c>
      <c r="AG62" s="24">
        <f t="shared" si="9"/>
        <v>94.52054795</v>
      </c>
      <c r="AH62" s="20">
        <v>33.0</v>
      </c>
      <c r="AI62" s="22" t="str">
        <f t="shared" si="10"/>
        <v>2.75</v>
      </c>
      <c r="AJ62" s="26"/>
      <c r="AK62" s="26"/>
      <c r="AL62" s="27">
        <f t="shared" si="11"/>
        <v>4.416666667</v>
      </c>
      <c r="AM62" s="27">
        <f t="shared" si="12"/>
        <v>12</v>
      </c>
      <c r="AN62" s="28">
        <f t="shared" si="13"/>
        <v>0.3680555556</v>
      </c>
      <c r="AO62" s="27">
        <f t="shared" si="14"/>
        <v>0.3333333333</v>
      </c>
      <c r="AP62" s="27">
        <f t="shared" si="15"/>
        <v>0.25</v>
      </c>
      <c r="AQ62" s="27">
        <f t="shared" ref="AQ62:AR62" si="75">iferror(AB62/$M62,"-")</f>
        <v>5</v>
      </c>
      <c r="AR62" s="27">
        <f t="shared" si="75"/>
        <v>5</v>
      </c>
      <c r="AS62" s="29">
        <f t="shared" si="17"/>
        <v>0.3333333333</v>
      </c>
      <c r="AT62" s="29" t="str">
        <f t="shared" si="18"/>
        <v>2.75</v>
      </c>
      <c r="AU62" s="26"/>
      <c r="AV62" s="26"/>
      <c r="AW62" s="26"/>
      <c r="AX62" s="26"/>
    </row>
    <row r="63">
      <c r="B63" s="17">
        <v>60.0</v>
      </c>
      <c r="C63" s="18">
        <f t="shared" si="2"/>
        <v>2</v>
      </c>
      <c r="D63" s="19" t="s">
        <v>114</v>
      </c>
      <c r="E63" s="19" t="s">
        <v>116</v>
      </c>
      <c r="F63" s="19">
        <v>3.0</v>
      </c>
      <c r="G63" s="19" t="s">
        <v>52</v>
      </c>
      <c r="H63" s="19" t="s">
        <v>50</v>
      </c>
      <c r="I63" s="19">
        <v>172.0</v>
      </c>
      <c r="J63" s="19">
        <v>65.0</v>
      </c>
      <c r="K63" s="20">
        <v>2.0</v>
      </c>
      <c r="L63" s="20">
        <v>3.0</v>
      </c>
      <c r="M63" s="20">
        <v>12.0</v>
      </c>
      <c r="N63" s="20">
        <v>34.0</v>
      </c>
      <c r="O63" s="20">
        <v>8.0</v>
      </c>
      <c r="P63" s="20">
        <v>46.0</v>
      </c>
      <c r="Q63" s="20">
        <v>21.0</v>
      </c>
      <c r="R63" s="21">
        <f t="shared" si="3"/>
        <v>101</v>
      </c>
      <c r="S63" s="22">
        <f t="shared" si="4"/>
        <v>0.13</v>
      </c>
      <c r="T63" s="20">
        <v>1.0</v>
      </c>
      <c r="U63" s="20">
        <v>1.0</v>
      </c>
      <c r="V63" s="20">
        <v>2.0</v>
      </c>
      <c r="W63" s="20">
        <v>46.0</v>
      </c>
      <c r="X63" s="20">
        <v>2.0</v>
      </c>
      <c r="Y63" s="20">
        <v>7.0</v>
      </c>
      <c r="Z63" s="21">
        <f t="shared" si="5"/>
        <v>55</v>
      </c>
      <c r="AA63" s="20">
        <v>2.0</v>
      </c>
      <c r="AB63" s="21">
        <f t="shared" si="6"/>
        <v>37</v>
      </c>
      <c r="AC63" s="23">
        <f t="shared" si="7"/>
        <v>38.5</v>
      </c>
      <c r="AD63" s="21">
        <f t="shared" si="8"/>
        <v>82</v>
      </c>
      <c r="AE63" s="20">
        <v>78.0</v>
      </c>
      <c r="AF63" s="20">
        <v>4.0</v>
      </c>
      <c r="AG63" s="24">
        <f t="shared" si="9"/>
        <v>95.12195122</v>
      </c>
      <c r="AH63" s="20">
        <v>31.0</v>
      </c>
      <c r="AI63" s="22" t="str">
        <f t="shared" si="10"/>
        <v>2.58</v>
      </c>
      <c r="AJ63" s="26"/>
      <c r="AK63" s="26"/>
      <c r="AL63" s="27">
        <f t="shared" si="11"/>
        <v>2.833333333</v>
      </c>
      <c r="AM63" s="27">
        <f t="shared" si="12"/>
        <v>8.416666667</v>
      </c>
      <c r="AN63" s="28">
        <f t="shared" si="13"/>
        <v>0.3366336634</v>
      </c>
      <c r="AO63" s="27">
        <f t="shared" si="14"/>
        <v>0.08333333333</v>
      </c>
      <c r="AP63" s="27">
        <f t="shared" si="15"/>
        <v>0.1666666667</v>
      </c>
      <c r="AQ63" s="27">
        <f t="shared" ref="AQ63:AR63" si="76">iferror(AB63/$M63,"-")</f>
        <v>3.083333333</v>
      </c>
      <c r="AR63" s="27">
        <f t="shared" si="76"/>
        <v>3.208333333</v>
      </c>
      <c r="AS63" s="29">
        <f t="shared" si="17"/>
        <v>0.3333333333</v>
      </c>
      <c r="AT63" s="29" t="str">
        <f t="shared" si="18"/>
        <v>2.58</v>
      </c>
      <c r="AU63" s="26"/>
      <c r="AV63" s="26"/>
      <c r="AW63" s="26"/>
      <c r="AX63" s="26"/>
    </row>
    <row r="64">
      <c r="B64" s="17">
        <v>61.0</v>
      </c>
      <c r="C64" s="18">
        <f t="shared" si="2"/>
        <v>3</v>
      </c>
      <c r="D64" s="19" t="s">
        <v>114</v>
      </c>
      <c r="E64" s="19" t="s">
        <v>117</v>
      </c>
      <c r="F64" s="19">
        <v>1.0</v>
      </c>
      <c r="G64" s="19" t="s">
        <v>50</v>
      </c>
      <c r="H64" s="19" t="s">
        <v>48</v>
      </c>
      <c r="I64" s="19">
        <v>169.0</v>
      </c>
      <c r="J64" s="19">
        <v>60.0</v>
      </c>
      <c r="K64" s="20">
        <v>3.0</v>
      </c>
      <c r="L64" s="20">
        <v>1.0</v>
      </c>
      <c r="M64" s="20">
        <v>3.0</v>
      </c>
      <c r="N64" s="20">
        <v>0.0</v>
      </c>
      <c r="O64" s="20">
        <v>0.0</v>
      </c>
      <c r="P64" s="20">
        <v>0.0</v>
      </c>
      <c r="Q64" s="20">
        <v>0.0</v>
      </c>
      <c r="R64" s="30" t="str">
        <f t="shared" si="3"/>
        <v>-</v>
      </c>
      <c r="S64" s="22" t="str">
        <f t="shared" si="4"/>
        <v>-</v>
      </c>
      <c r="T64" s="20">
        <v>0.0</v>
      </c>
      <c r="U64" s="20">
        <v>0.0</v>
      </c>
      <c r="V64" s="20">
        <v>0.0</v>
      </c>
      <c r="W64" s="20">
        <v>0.0</v>
      </c>
      <c r="X64" s="20">
        <v>0.0</v>
      </c>
      <c r="Y64" s="20">
        <v>0.0</v>
      </c>
      <c r="Z64" s="30" t="str">
        <f t="shared" si="5"/>
        <v>-</v>
      </c>
      <c r="AA64" s="20">
        <v>0.0</v>
      </c>
      <c r="AB64" s="30" t="str">
        <f t="shared" si="6"/>
        <v>-</v>
      </c>
      <c r="AC64" s="23">
        <f t="shared" si="7"/>
        <v>0</v>
      </c>
      <c r="AD64" s="21">
        <f t="shared" si="8"/>
        <v>25</v>
      </c>
      <c r="AE64" s="20">
        <v>21.0</v>
      </c>
      <c r="AF64" s="20">
        <v>4.0</v>
      </c>
      <c r="AG64" s="24">
        <f t="shared" si="9"/>
        <v>84</v>
      </c>
      <c r="AH64" s="20">
        <v>2.0</v>
      </c>
      <c r="AI64" s="22" t="str">
        <f t="shared" si="10"/>
        <v>0.67</v>
      </c>
      <c r="AJ64" s="26"/>
      <c r="AK64" s="26"/>
      <c r="AL64" s="27">
        <f t="shared" si="11"/>
        <v>0</v>
      </c>
      <c r="AM64" s="27" t="str">
        <f t="shared" si="12"/>
        <v>-</v>
      </c>
      <c r="AN64" s="28" t="str">
        <f t="shared" si="13"/>
        <v>-</v>
      </c>
      <c r="AO64" s="27">
        <f t="shared" si="14"/>
        <v>0</v>
      </c>
      <c r="AP64" s="27">
        <f t="shared" si="15"/>
        <v>0</v>
      </c>
      <c r="AQ64" s="27" t="str">
        <f t="shared" ref="AQ64:AR64" si="77">iferror(AB64/$M64,"-")</f>
        <v>-</v>
      </c>
      <c r="AR64" s="27">
        <f t="shared" si="77"/>
        <v>0</v>
      </c>
      <c r="AS64" s="29">
        <f t="shared" si="17"/>
        <v>1.333333333</v>
      </c>
      <c r="AT64" s="29" t="str">
        <f t="shared" si="18"/>
        <v>0.67</v>
      </c>
      <c r="AU64" s="26"/>
      <c r="AV64" s="26"/>
      <c r="AW64" s="26"/>
      <c r="AX64" s="26"/>
    </row>
    <row r="65">
      <c r="B65" s="17">
        <v>62.0</v>
      </c>
      <c r="C65" s="18">
        <f t="shared" si="2"/>
        <v>4</v>
      </c>
      <c r="D65" s="19" t="s">
        <v>114</v>
      </c>
      <c r="E65" s="19" t="s">
        <v>118</v>
      </c>
      <c r="F65" s="19">
        <v>1.0</v>
      </c>
      <c r="G65" s="19" t="s">
        <v>52</v>
      </c>
      <c r="H65" s="19" t="s">
        <v>57</v>
      </c>
      <c r="I65" s="19">
        <v>173.0</v>
      </c>
      <c r="J65" s="19">
        <v>66.0</v>
      </c>
      <c r="K65" s="20">
        <v>4.0</v>
      </c>
      <c r="L65" s="20">
        <v>3.0</v>
      </c>
      <c r="M65" s="20">
        <v>3.0</v>
      </c>
      <c r="N65" s="20">
        <v>0.0</v>
      </c>
      <c r="O65" s="20">
        <v>0.0</v>
      </c>
      <c r="P65" s="20">
        <v>0.0</v>
      </c>
      <c r="Q65" s="20">
        <v>0.0</v>
      </c>
      <c r="R65" s="30" t="str">
        <f t="shared" si="3"/>
        <v>-</v>
      </c>
      <c r="S65" s="22" t="str">
        <f t="shared" si="4"/>
        <v>-</v>
      </c>
      <c r="T65" s="20">
        <v>0.0</v>
      </c>
      <c r="U65" s="20">
        <v>0.0</v>
      </c>
      <c r="V65" s="20">
        <v>0.0</v>
      </c>
      <c r="W65" s="20">
        <v>4.0</v>
      </c>
      <c r="X65" s="20">
        <v>0.0</v>
      </c>
      <c r="Y65" s="20">
        <v>0.0</v>
      </c>
      <c r="Z65" s="21">
        <f t="shared" si="5"/>
        <v>4</v>
      </c>
      <c r="AA65" s="20">
        <v>0.0</v>
      </c>
      <c r="AB65" s="30" t="str">
        <f t="shared" si="6"/>
        <v>-</v>
      </c>
      <c r="AC65" s="23">
        <f t="shared" si="7"/>
        <v>0</v>
      </c>
      <c r="AD65" s="30" t="str">
        <f t="shared" si="8"/>
        <v>-</v>
      </c>
      <c r="AE65" s="20">
        <v>0.0</v>
      </c>
      <c r="AF65" s="20">
        <v>0.0</v>
      </c>
      <c r="AG65" s="24" t="str">
        <f t="shared" si="9"/>
        <v>-</v>
      </c>
      <c r="AH65" s="20">
        <v>0.0</v>
      </c>
      <c r="AI65" s="22" t="str">
        <f t="shared" si="10"/>
        <v>0</v>
      </c>
      <c r="AJ65" s="26"/>
      <c r="AK65" s="26"/>
      <c r="AL65" s="27">
        <f t="shared" si="11"/>
        <v>0</v>
      </c>
      <c r="AM65" s="27" t="str">
        <f t="shared" si="12"/>
        <v>-</v>
      </c>
      <c r="AN65" s="28" t="str">
        <f t="shared" si="13"/>
        <v>-</v>
      </c>
      <c r="AO65" s="27">
        <f t="shared" si="14"/>
        <v>0</v>
      </c>
      <c r="AP65" s="27">
        <f t="shared" si="15"/>
        <v>0</v>
      </c>
      <c r="AQ65" s="27" t="str">
        <f t="shared" ref="AQ65:AR65" si="78">iferror(AB65/$M65,"-")</f>
        <v>-</v>
      </c>
      <c r="AR65" s="27">
        <f t="shared" si="78"/>
        <v>0</v>
      </c>
      <c r="AS65" s="29">
        <f t="shared" si="17"/>
        <v>0</v>
      </c>
      <c r="AT65" s="29" t="str">
        <f t="shared" si="18"/>
        <v>0</v>
      </c>
      <c r="AU65" s="26"/>
      <c r="AV65" s="26"/>
      <c r="AW65" s="26"/>
      <c r="AX65" s="26"/>
    </row>
    <row r="66">
      <c r="B66" s="17">
        <v>63.0</v>
      </c>
      <c r="C66" s="18">
        <f t="shared" si="2"/>
        <v>5</v>
      </c>
      <c r="D66" s="19" t="s">
        <v>114</v>
      </c>
      <c r="E66" s="19" t="s">
        <v>119</v>
      </c>
      <c r="F66" s="19">
        <v>2.0</v>
      </c>
      <c r="G66" s="19" t="s">
        <v>54</v>
      </c>
      <c r="H66" s="19" t="s">
        <v>54</v>
      </c>
      <c r="I66" s="19">
        <v>172.0</v>
      </c>
      <c r="J66" s="19">
        <v>69.0</v>
      </c>
      <c r="K66" s="20">
        <v>6.0</v>
      </c>
      <c r="L66" s="20">
        <v>3.0</v>
      </c>
      <c r="M66" s="20">
        <v>12.0</v>
      </c>
      <c r="N66" s="20">
        <v>2.0</v>
      </c>
      <c r="O66" s="20">
        <v>119.0</v>
      </c>
      <c r="P66" s="20">
        <v>7.0</v>
      </c>
      <c r="Q66" s="20">
        <v>4.0</v>
      </c>
      <c r="R66" s="21">
        <f t="shared" si="3"/>
        <v>13</v>
      </c>
      <c r="S66" s="22">
        <f t="shared" si="4"/>
        <v>-0.15</v>
      </c>
      <c r="T66" s="20">
        <v>0.0</v>
      </c>
      <c r="U66" s="20">
        <v>1.0</v>
      </c>
      <c r="V66" s="20">
        <v>3.0</v>
      </c>
      <c r="W66" s="20">
        <v>31.0</v>
      </c>
      <c r="X66" s="20">
        <v>2.0</v>
      </c>
      <c r="Y66" s="20">
        <v>6.0</v>
      </c>
      <c r="Z66" s="21">
        <f t="shared" si="5"/>
        <v>39</v>
      </c>
      <c r="AA66" s="20">
        <v>7.0</v>
      </c>
      <c r="AB66" s="21">
        <f t="shared" si="6"/>
        <v>4</v>
      </c>
      <c r="AC66" s="23">
        <f t="shared" si="7"/>
        <v>6.25</v>
      </c>
      <c r="AD66" s="21">
        <f t="shared" si="8"/>
        <v>9</v>
      </c>
      <c r="AE66" s="20">
        <v>2.0</v>
      </c>
      <c r="AF66" s="20">
        <v>7.0</v>
      </c>
      <c r="AG66" s="24">
        <f t="shared" si="9"/>
        <v>22.22222222</v>
      </c>
      <c r="AH66" s="20">
        <v>30.0</v>
      </c>
      <c r="AI66" s="22" t="str">
        <f t="shared" si="10"/>
        <v>2.50</v>
      </c>
      <c r="AJ66" s="26"/>
      <c r="AK66" s="26"/>
      <c r="AL66" s="27">
        <f t="shared" si="11"/>
        <v>0.1666666667</v>
      </c>
      <c r="AM66" s="27">
        <f t="shared" si="12"/>
        <v>1.083333333</v>
      </c>
      <c r="AN66" s="28">
        <f t="shared" si="13"/>
        <v>0.1538461538</v>
      </c>
      <c r="AO66" s="27">
        <f t="shared" si="14"/>
        <v>0</v>
      </c>
      <c r="AP66" s="27">
        <f t="shared" si="15"/>
        <v>0.1666666667</v>
      </c>
      <c r="AQ66" s="27">
        <f t="shared" ref="AQ66:AR66" si="79">iferror(AB66/$M66,"-")</f>
        <v>0.3333333333</v>
      </c>
      <c r="AR66" s="27">
        <f t="shared" si="79"/>
        <v>0.5208333333</v>
      </c>
      <c r="AS66" s="29">
        <f t="shared" si="17"/>
        <v>0.5833333333</v>
      </c>
      <c r="AT66" s="29" t="str">
        <f t="shared" si="18"/>
        <v>2.50</v>
      </c>
      <c r="AU66" s="26"/>
      <c r="AV66" s="26"/>
      <c r="AW66" s="26"/>
      <c r="AX66" s="26"/>
    </row>
    <row r="67">
      <c r="B67" s="17">
        <v>64.0</v>
      </c>
      <c r="C67" s="18">
        <f t="shared" si="2"/>
        <v>6</v>
      </c>
      <c r="D67" s="19" t="s">
        <v>114</v>
      </c>
      <c r="E67" s="19" t="s">
        <v>120</v>
      </c>
      <c r="F67" s="19">
        <v>3.0</v>
      </c>
      <c r="G67" s="19" t="s">
        <v>54</v>
      </c>
      <c r="H67" s="19" t="s">
        <v>48</v>
      </c>
      <c r="I67" s="19">
        <v>175.0</v>
      </c>
      <c r="J67" s="19">
        <v>69.0</v>
      </c>
      <c r="K67" s="20">
        <v>7.0</v>
      </c>
      <c r="L67" s="20">
        <v>1.0</v>
      </c>
      <c r="M67" s="20">
        <v>2.0</v>
      </c>
      <c r="N67" s="20">
        <v>0.0</v>
      </c>
      <c r="O67" s="20">
        <v>0.0</v>
      </c>
      <c r="P67" s="20">
        <v>1.0</v>
      </c>
      <c r="Q67" s="20">
        <v>0.0</v>
      </c>
      <c r="R67" s="21">
        <f t="shared" si="3"/>
        <v>1</v>
      </c>
      <c r="S67" s="22" t="str">
        <f t="shared" si="4"/>
        <v>-</v>
      </c>
      <c r="T67" s="20">
        <v>0.0</v>
      </c>
      <c r="U67" s="20">
        <v>0.0</v>
      </c>
      <c r="V67" s="20">
        <v>0.0</v>
      </c>
      <c r="W67" s="20">
        <v>1.0</v>
      </c>
      <c r="X67" s="20">
        <v>0.0</v>
      </c>
      <c r="Y67" s="20">
        <v>0.0</v>
      </c>
      <c r="Z67" s="21">
        <f t="shared" si="5"/>
        <v>1</v>
      </c>
      <c r="AA67" s="20">
        <v>0.0</v>
      </c>
      <c r="AB67" s="30" t="str">
        <f t="shared" si="6"/>
        <v>-</v>
      </c>
      <c r="AC67" s="23">
        <f t="shared" si="7"/>
        <v>0</v>
      </c>
      <c r="AD67" s="30" t="str">
        <f t="shared" si="8"/>
        <v>-</v>
      </c>
      <c r="AE67" s="20">
        <v>0.0</v>
      </c>
      <c r="AF67" s="20">
        <v>0.0</v>
      </c>
      <c r="AG67" s="24" t="str">
        <f t="shared" si="9"/>
        <v>-</v>
      </c>
      <c r="AH67" s="20">
        <v>0.0</v>
      </c>
      <c r="AI67" s="22" t="str">
        <f t="shared" si="10"/>
        <v>0</v>
      </c>
      <c r="AJ67" s="26"/>
      <c r="AK67" s="26"/>
      <c r="AL67" s="27">
        <f t="shared" si="11"/>
        <v>0</v>
      </c>
      <c r="AM67" s="27">
        <f t="shared" si="12"/>
        <v>0.5</v>
      </c>
      <c r="AN67" s="28">
        <f t="shared" si="13"/>
        <v>0</v>
      </c>
      <c r="AO67" s="27">
        <f t="shared" si="14"/>
        <v>0</v>
      </c>
      <c r="AP67" s="27">
        <f t="shared" si="15"/>
        <v>0</v>
      </c>
      <c r="AQ67" s="27" t="str">
        <f t="shared" ref="AQ67:AR67" si="80">iferror(AB67/$M67,"-")</f>
        <v>-</v>
      </c>
      <c r="AR67" s="27">
        <f t="shared" si="80"/>
        <v>0</v>
      </c>
      <c r="AS67" s="29">
        <f t="shared" si="17"/>
        <v>0</v>
      </c>
      <c r="AT67" s="29" t="str">
        <f t="shared" si="18"/>
        <v>0</v>
      </c>
      <c r="AU67" s="26"/>
      <c r="AV67" s="26"/>
      <c r="AW67" s="26"/>
      <c r="AX67" s="26"/>
    </row>
    <row r="68">
      <c r="B68" s="17">
        <v>65.0</v>
      </c>
      <c r="C68" s="18">
        <f t="shared" si="2"/>
        <v>7</v>
      </c>
      <c r="D68" s="19" t="s">
        <v>114</v>
      </c>
      <c r="E68" s="19" t="s">
        <v>121</v>
      </c>
      <c r="F68" s="19">
        <v>1.0</v>
      </c>
      <c r="G68" s="19" t="s">
        <v>57</v>
      </c>
      <c r="H68" s="19" t="s">
        <v>47</v>
      </c>
      <c r="I68" s="19">
        <v>183.0</v>
      </c>
      <c r="J68" s="19">
        <v>84.0</v>
      </c>
      <c r="K68" s="20">
        <v>8.0</v>
      </c>
      <c r="L68" s="20">
        <v>3.0</v>
      </c>
      <c r="M68" s="20">
        <v>12.0</v>
      </c>
      <c r="N68" s="20">
        <v>19.0</v>
      </c>
      <c r="O68" s="20">
        <v>3.0</v>
      </c>
      <c r="P68" s="20">
        <v>14.0</v>
      </c>
      <c r="Q68" s="20">
        <v>6.0</v>
      </c>
      <c r="R68" s="21">
        <f t="shared" si="3"/>
        <v>39</v>
      </c>
      <c r="S68" s="22">
        <f t="shared" si="4"/>
        <v>0.33</v>
      </c>
      <c r="T68" s="20">
        <v>2.0</v>
      </c>
      <c r="U68" s="20">
        <v>0.0</v>
      </c>
      <c r="V68" s="20">
        <v>4.0</v>
      </c>
      <c r="W68" s="20">
        <v>35.0</v>
      </c>
      <c r="X68" s="20">
        <v>0.0</v>
      </c>
      <c r="Y68" s="20">
        <v>2.0</v>
      </c>
      <c r="Z68" s="21">
        <f t="shared" si="5"/>
        <v>37</v>
      </c>
      <c r="AA68" s="20">
        <v>3.0</v>
      </c>
      <c r="AB68" s="21">
        <f t="shared" si="6"/>
        <v>21</v>
      </c>
      <c r="AC68" s="23">
        <f t="shared" si="7"/>
        <v>24</v>
      </c>
      <c r="AD68" s="21">
        <f t="shared" si="8"/>
        <v>5</v>
      </c>
      <c r="AE68" s="20">
        <v>2.0</v>
      </c>
      <c r="AF68" s="20">
        <v>3.0</v>
      </c>
      <c r="AG68" s="24">
        <f t="shared" si="9"/>
        <v>40</v>
      </c>
      <c r="AH68" s="20">
        <v>6.0</v>
      </c>
      <c r="AI68" s="22" t="str">
        <f t="shared" si="10"/>
        <v>0.50</v>
      </c>
      <c r="AJ68" s="26"/>
      <c r="AK68" s="26"/>
      <c r="AL68" s="27">
        <f t="shared" si="11"/>
        <v>1.583333333</v>
      </c>
      <c r="AM68" s="27">
        <f t="shared" si="12"/>
        <v>3.25</v>
      </c>
      <c r="AN68" s="28">
        <f t="shared" si="13"/>
        <v>0.4871794872</v>
      </c>
      <c r="AO68" s="27">
        <f t="shared" si="14"/>
        <v>0.1666666667</v>
      </c>
      <c r="AP68" s="27">
        <f t="shared" si="15"/>
        <v>0</v>
      </c>
      <c r="AQ68" s="27">
        <f t="shared" ref="AQ68:AR68" si="81">iferror(AB68/$M68,"-")</f>
        <v>1.75</v>
      </c>
      <c r="AR68" s="27">
        <f t="shared" si="81"/>
        <v>2</v>
      </c>
      <c r="AS68" s="29">
        <f t="shared" si="17"/>
        <v>0.25</v>
      </c>
      <c r="AT68" s="29" t="str">
        <f t="shared" si="18"/>
        <v>0.50</v>
      </c>
      <c r="AU68" s="26"/>
      <c r="AV68" s="26"/>
      <c r="AW68" s="26"/>
      <c r="AX68" s="26"/>
    </row>
    <row r="69">
      <c r="B69" s="17">
        <v>66.0</v>
      </c>
      <c r="C69" s="18">
        <f t="shared" si="2"/>
        <v>8</v>
      </c>
      <c r="D69" s="19" t="s">
        <v>114</v>
      </c>
      <c r="E69" s="19" t="s">
        <v>122</v>
      </c>
      <c r="F69" s="19">
        <v>1.0</v>
      </c>
      <c r="G69" s="19" t="s">
        <v>52</v>
      </c>
      <c r="H69" s="19" t="s">
        <v>57</v>
      </c>
      <c r="I69" s="19">
        <v>174.0</v>
      </c>
      <c r="J69" s="19">
        <v>69.0</v>
      </c>
      <c r="K69" s="20">
        <v>9.0</v>
      </c>
      <c r="L69" s="20">
        <v>3.0</v>
      </c>
      <c r="M69" s="20">
        <v>4.0</v>
      </c>
      <c r="N69" s="20">
        <v>0.0</v>
      </c>
      <c r="O69" s="20">
        <v>0.0</v>
      </c>
      <c r="P69" s="20">
        <v>2.0</v>
      </c>
      <c r="Q69" s="20">
        <v>0.0</v>
      </c>
      <c r="R69" s="21">
        <f t="shared" si="3"/>
        <v>2</v>
      </c>
      <c r="S69" s="22" t="str">
        <f t="shared" si="4"/>
        <v>-</v>
      </c>
      <c r="T69" s="20">
        <v>0.0</v>
      </c>
      <c r="U69" s="20">
        <v>0.0</v>
      </c>
      <c r="V69" s="20">
        <v>0.0</v>
      </c>
      <c r="W69" s="20">
        <v>4.0</v>
      </c>
      <c r="X69" s="20">
        <v>0.0</v>
      </c>
      <c r="Y69" s="20">
        <v>1.0</v>
      </c>
      <c r="Z69" s="21">
        <f t="shared" si="5"/>
        <v>5</v>
      </c>
      <c r="AA69" s="20">
        <v>0.0</v>
      </c>
      <c r="AB69" s="30" t="str">
        <f t="shared" si="6"/>
        <v>-</v>
      </c>
      <c r="AC69" s="23">
        <f t="shared" si="7"/>
        <v>0</v>
      </c>
      <c r="AD69" s="21">
        <f t="shared" si="8"/>
        <v>1</v>
      </c>
      <c r="AE69" s="20">
        <v>1.0</v>
      </c>
      <c r="AF69" s="20">
        <v>0.0</v>
      </c>
      <c r="AG69" s="24">
        <f t="shared" si="9"/>
        <v>100</v>
      </c>
      <c r="AH69" s="20">
        <v>0.0</v>
      </c>
      <c r="AI69" s="22" t="str">
        <f t="shared" si="10"/>
        <v>0</v>
      </c>
      <c r="AJ69" s="26"/>
      <c r="AK69" s="26"/>
      <c r="AL69" s="27">
        <f t="shared" si="11"/>
        <v>0</v>
      </c>
      <c r="AM69" s="27">
        <f t="shared" si="12"/>
        <v>0.5</v>
      </c>
      <c r="AN69" s="28">
        <f t="shared" si="13"/>
        <v>0</v>
      </c>
      <c r="AO69" s="27">
        <f t="shared" si="14"/>
        <v>0</v>
      </c>
      <c r="AP69" s="27">
        <f t="shared" si="15"/>
        <v>0</v>
      </c>
      <c r="AQ69" s="27" t="str">
        <f t="shared" ref="AQ69:AR69" si="82">iferror(AB69/$M69,"-")</f>
        <v>-</v>
      </c>
      <c r="AR69" s="27">
        <f t="shared" si="82"/>
        <v>0</v>
      </c>
      <c r="AS69" s="29">
        <f t="shared" si="17"/>
        <v>0</v>
      </c>
      <c r="AT69" s="29" t="str">
        <f t="shared" si="18"/>
        <v>0</v>
      </c>
      <c r="AU69" s="26"/>
      <c r="AV69" s="26"/>
      <c r="AW69" s="26"/>
      <c r="AX69" s="26"/>
    </row>
    <row r="70">
      <c r="B70" s="17">
        <v>67.0</v>
      </c>
      <c r="C70" s="18">
        <f t="shared" si="2"/>
        <v>9</v>
      </c>
      <c r="D70" s="19" t="s">
        <v>114</v>
      </c>
      <c r="E70" s="19" t="s">
        <v>123</v>
      </c>
      <c r="F70" s="19">
        <v>3.0</v>
      </c>
      <c r="G70" s="19" t="s">
        <v>57</v>
      </c>
      <c r="H70" s="19" t="s">
        <v>52</v>
      </c>
      <c r="I70" s="19">
        <v>172.0</v>
      </c>
      <c r="J70" s="19">
        <v>70.0</v>
      </c>
      <c r="K70" s="20">
        <v>11.0</v>
      </c>
      <c r="L70" s="20">
        <v>3.0</v>
      </c>
      <c r="M70" s="20">
        <v>12.0</v>
      </c>
      <c r="N70" s="20">
        <v>37.0</v>
      </c>
      <c r="O70" s="20">
        <v>4.0</v>
      </c>
      <c r="P70" s="20">
        <v>38.0</v>
      </c>
      <c r="Q70" s="20">
        <v>21.0</v>
      </c>
      <c r="R70" s="21">
        <f t="shared" si="3"/>
        <v>96</v>
      </c>
      <c r="S70" s="22">
        <f t="shared" si="4"/>
        <v>0.17</v>
      </c>
      <c r="T70" s="20">
        <v>2.0</v>
      </c>
      <c r="U70" s="20">
        <v>0.0</v>
      </c>
      <c r="V70" s="20">
        <v>0.0</v>
      </c>
      <c r="W70" s="20">
        <v>37.0</v>
      </c>
      <c r="X70" s="20">
        <v>2.0</v>
      </c>
      <c r="Y70" s="20">
        <v>7.0</v>
      </c>
      <c r="Z70" s="21">
        <f t="shared" si="5"/>
        <v>46</v>
      </c>
      <c r="AA70" s="20">
        <v>3.0</v>
      </c>
      <c r="AB70" s="21">
        <f t="shared" si="6"/>
        <v>41</v>
      </c>
      <c r="AC70" s="23">
        <f t="shared" si="7"/>
        <v>41</v>
      </c>
      <c r="AD70" s="21">
        <f t="shared" si="8"/>
        <v>19</v>
      </c>
      <c r="AE70" s="20">
        <v>14.0</v>
      </c>
      <c r="AF70" s="20">
        <v>5.0</v>
      </c>
      <c r="AG70" s="24">
        <f t="shared" si="9"/>
        <v>73.68421053</v>
      </c>
      <c r="AH70" s="20">
        <v>19.0</v>
      </c>
      <c r="AI70" s="22" t="str">
        <f t="shared" si="10"/>
        <v>1.58</v>
      </c>
      <c r="AJ70" s="26"/>
      <c r="AK70" s="26"/>
      <c r="AL70" s="27">
        <f t="shared" si="11"/>
        <v>3.083333333</v>
      </c>
      <c r="AM70" s="27">
        <f t="shared" si="12"/>
        <v>8</v>
      </c>
      <c r="AN70" s="28">
        <f t="shared" si="13"/>
        <v>0.3854166667</v>
      </c>
      <c r="AO70" s="27">
        <f t="shared" si="14"/>
        <v>0.1666666667</v>
      </c>
      <c r="AP70" s="27">
        <f t="shared" si="15"/>
        <v>0.1666666667</v>
      </c>
      <c r="AQ70" s="27">
        <f t="shared" ref="AQ70:AR70" si="83">iferror(AB70/$M70,"-")</f>
        <v>3.416666667</v>
      </c>
      <c r="AR70" s="27">
        <f t="shared" si="83"/>
        <v>3.416666667</v>
      </c>
      <c r="AS70" s="29">
        <f t="shared" si="17"/>
        <v>0.4166666667</v>
      </c>
      <c r="AT70" s="29" t="str">
        <f t="shared" si="18"/>
        <v>1.58</v>
      </c>
      <c r="AU70" s="26"/>
      <c r="AV70" s="26"/>
      <c r="AW70" s="26"/>
      <c r="AX70" s="26"/>
    </row>
    <row r="71">
      <c r="B71" s="17">
        <v>68.0</v>
      </c>
      <c r="C71" s="18">
        <f t="shared" si="2"/>
        <v>10</v>
      </c>
      <c r="D71" s="19" t="s">
        <v>114</v>
      </c>
      <c r="E71" s="19" t="s">
        <v>124</v>
      </c>
      <c r="F71" s="19">
        <v>1.0</v>
      </c>
      <c r="G71" s="19" t="s">
        <v>50</v>
      </c>
      <c r="H71" s="19" t="s">
        <v>48</v>
      </c>
      <c r="I71" s="19">
        <v>159.0</v>
      </c>
      <c r="J71" s="19">
        <v>49.0</v>
      </c>
      <c r="K71" s="20">
        <v>12.0</v>
      </c>
      <c r="L71" s="20">
        <v>3.0</v>
      </c>
      <c r="M71" s="20">
        <v>11.0</v>
      </c>
      <c r="N71" s="20">
        <v>0.0</v>
      </c>
      <c r="O71" s="20">
        <v>2.0</v>
      </c>
      <c r="P71" s="20">
        <v>0.0</v>
      </c>
      <c r="Q71" s="20">
        <v>0.0</v>
      </c>
      <c r="R71" s="30" t="str">
        <f t="shared" si="3"/>
        <v>-</v>
      </c>
      <c r="S71" s="22" t="str">
        <f t="shared" si="4"/>
        <v>-</v>
      </c>
      <c r="T71" s="20">
        <v>0.0</v>
      </c>
      <c r="U71" s="20">
        <v>0.0</v>
      </c>
      <c r="V71" s="20">
        <v>0.0</v>
      </c>
      <c r="W71" s="20">
        <v>0.0</v>
      </c>
      <c r="X71" s="20">
        <v>0.0</v>
      </c>
      <c r="Y71" s="20">
        <v>0.0</v>
      </c>
      <c r="Z71" s="30" t="str">
        <f t="shared" si="5"/>
        <v>-</v>
      </c>
      <c r="AA71" s="20">
        <v>0.0</v>
      </c>
      <c r="AB71" s="30" t="str">
        <f t="shared" si="6"/>
        <v>-</v>
      </c>
      <c r="AC71" s="23">
        <f t="shared" si="7"/>
        <v>0</v>
      </c>
      <c r="AD71" s="21">
        <f t="shared" si="8"/>
        <v>58</v>
      </c>
      <c r="AE71" s="20">
        <v>55.0</v>
      </c>
      <c r="AF71" s="20">
        <v>3.0</v>
      </c>
      <c r="AG71" s="24">
        <f t="shared" si="9"/>
        <v>94.82758621</v>
      </c>
      <c r="AH71" s="20">
        <v>24.0</v>
      </c>
      <c r="AI71" s="22" t="str">
        <f t="shared" si="10"/>
        <v>2.18</v>
      </c>
      <c r="AJ71" s="26"/>
      <c r="AK71" s="26"/>
      <c r="AL71" s="27">
        <f t="shared" si="11"/>
        <v>0</v>
      </c>
      <c r="AM71" s="27" t="str">
        <f t="shared" si="12"/>
        <v>-</v>
      </c>
      <c r="AN71" s="28" t="str">
        <f t="shared" si="13"/>
        <v>-</v>
      </c>
      <c r="AO71" s="27">
        <f t="shared" si="14"/>
        <v>0</v>
      </c>
      <c r="AP71" s="27">
        <f t="shared" si="15"/>
        <v>0</v>
      </c>
      <c r="AQ71" s="27" t="str">
        <f t="shared" ref="AQ71:AR71" si="84">iferror(AB71/$M71,"-")</f>
        <v>-</v>
      </c>
      <c r="AR71" s="27">
        <f t="shared" si="84"/>
        <v>0</v>
      </c>
      <c r="AS71" s="29">
        <f t="shared" si="17"/>
        <v>0.2727272727</v>
      </c>
      <c r="AT71" s="29" t="str">
        <f t="shared" si="18"/>
        <v>2.18</v>
      </c>
      <c r="AU71" s="26"/>
      <c r="AV71" s="26"/>
      <c r="AW71" s="26"/>
      <c r="AX71" s="26"/>
    </row>
    <row r="72">
      <c r="B72" s="17">
        <v>69.0</v>
      </c>
      <c r="C72" s="18">
        <f t="shared" si="2"/>
        <v>11</v>
      </c>
      <c r="D72" s="19" t="s">
        <v>114</v>
      </c>
      <c r="E72" s="19" t="s">
        <v>125</v>
      </c>
      <c r="F72" s="19">
        <v>2.0</v>
      </c>
      <c r="G72" s="19" t="s">
        <v>52</v>
      </c>
      <c r="H72" s="19" t="s">
        <v>57</v>
      </c>
      <c r="I72" s="19">
        <v>176.0</v>
      </c>
      <c r="J72" s="19">
        <v>68.0</v>
      </c>
      <c r="K72" s="20">
        <v>13.0</v>
      </c>
      <c r="L72" s="20">
        <v>3.0</v>
      </c>
      <c r="M72" s="20">
        <v>5.0</v>
      </c>
      <c r="N72" s="20">
        <v>0.0</v>
      </c>
      <c r="O72" s="20">
        <v>0.0</v>
      </c>
      <c r="P72" s="20">
        <v>0.0</v>
      </c>
      <c r="Q72" s="20">
        <v>0.0</v>
      </c>
      <c r="R72" s="30" t="str">
        <f t="shared" si="3"/>
        <v>-</v>
      </c>
      <c r="S72" s="22" t="str">
        <f t="shared" si="4"/>
        <v>-</v>
      </c>
      <c r="T72" s="20">
        <v>0.0</v>
      </c>
      <c r="U72" s="20">
        <v>0.0</v>
      </c>
      <c r="V72" s="20">
        <v>0.0</v>
      </c>
      <c r="W72" s="20">
        <v>4.0</v>
      </c>
      <c r="X72" s="20">
        <v>2.0</v>
      </c>
      <c r="Y72" s="20">
        <v>2.0</v>
      </c>
      <c r="Z72" s="21">
        <f t="shared" si="5"/>
        <v>8</v>
      </c>
      <c r="AA72" s="20">
        <v>0.0</v>
      </c>
      <c r="AB72" s="21">
        <f t="shared" si="6"/>
        <v>2</v>
      </c>
      <c r="AC72" s="23">
        <f t="shared" si="7"/>
        <v>2</v>
      </c>
      <c r="AD72" s="30" t="str">
        <f t="shared" si="8"/>
        <v>-</v>
      </c>
      <c r="AE72" s="20">
        <v>0.0</v>
      </c>
      <c r="AF72" s="20">
        <v>0.0</v>
      </c>
      <c r="AG72" s="24" t="str">
        <f t="shared" si="9"/>
        <v>-</v>
      </c>
      <c r="AH72" s="20">
        <v>2.0</v>
      </c>
      <c r="AI72" s="22" t="str">
        <f t="shared" si="10"/>
        <v>0.40</v>
      </c>
      <c r="AJ72" s="26"/>
      <c r="AK72" s="26"/>
      <c r="AL72" s="27">
        <f t="shared" si="11"/>
        <v>0</v>
      </c>
      <c r="AM72" s="27" t="str">
        <f t="shared" si="12"/>
        <v>-</v>
      </c>
      <c r="AN72" s="28" t="str">
        <f t="shared" si="13"/>
        <v>-</v>
      </c>
      <c r="AO72" s="27">
        <f t="shared" si="14"/>
        <v>0</v>
      </c>
      <c r="AP72" s="27">
        <f t="shared" si="15"/>
        <v>0.4</v>
      </c>
      <c r="AQ72" s="27">
        <f t="shared" ref="AQ72:AR72" si="85">iferror(AB72/$M72,"-")</f>
        <v>0.4</v>
      </c>
      <c r="AR72" s="27">
        <f t="shared" si="85"/>
        <v>0.4</v>
      </c>
      <c r="AS72" s="29">
        <f t="shared" si="17"/>
        <v>0</v>
      </c>
      <c r="AT72" s="29" t="str">
        <f t="shared" si="18"/>
        <v>0.40</v>
      </c>
      <c r="AU72" s="26"/>
      <c r="AV72" s="26"/>
      <c r="AW72" s="26"/>
      <c r="AX72" s="26"/>
    </row>
    <row r="73">
      <c r="B73" s="17">
        <v>70.0</v>
      </c>
      <c r="C73" s="18">
        <f t="shared" si="2"/>
        <v>12</v>
      </c>
      <c r="D73" s="19" t="s">
        <v>114</v>
      </c>
      <c r="E73" s="19" t="s">
        <v>126</v>
      </c>
      <c r="F73" s="19">
        <v>2.0</v>
      </c>
      <c r="G73" s="19" t="s">
        <v>47</v>
      </c>
      <c r="H73" s="19" t="s">
        <v>48</v>
      </c>
      <c r="I73" s="19">
        <v>188.0</v>
      </c>
      <c r="J73" s="19">
        <v>73.0</v>
      </c>
      <c r="K73" s="20">
        <v>19.0</v>
      </c>
      <c r="L73" s="20">
        <v>3.0</v>
      </c>
      <c r="M73" s="20">
        <v>12.0</v>
      </c>
      <c r="N73" s="20">
        <v>6.0</v>
      </c>
      <c r="O73" s="20">
        <v>0.0</v>
      </c>
      <c r="P73" s="20">
        <v>15.0</v>
      </c>
      <c r="Q73" s="20">
        <v>6.0</v>
      </c>
      <c r="R73" s="21">
        <f t="shared" si="3"/>
        <v>27</v>
      </c>
      <c r="S73" s="22" t="str">
        <f t="shared" si="4"/>
        <v>-</v>
      </c>
      <c r="T73" s="20">
        <v>4.0</v>
      </c>
      <c r="U73" s="20">
        <v>4.0</v>
      </c>
      <c r="V73" s="20">
        <v>1.0</v>
      </c>
      <c r="W73" s="20">
        <v>20.0</v>
      </c>
      <c r="X73" s="20">
        <v>2.0</v>
      </c>
      <c r="Y73" s="20">
        <v>4.0</v>
      </c>
      <c r="Z73" s="21">
        <f t="shared" si="5"/>
        <v>26</v>
      </c>
      <c r="AA73" s="20">
        <v>0.0</v>
      </c>
      <c r="AB73" s="21">
        <f t="shared" si="6"/>
        <v>12</v>
      </c>
      <c r="AC73" s="23">
        <f t="shared" si="7"/>
        <v>12.75</v>
      </c>
      <c r="AD73" s="21">
        <f t="shared" si="8"/>
        <v>2</v>
      </c>
      <c r="AE73" s="20">
        <v>2.0</v>
      </c>
      <c r="AF73" s="20">
        <v>0.0</v>
      </c>
      <c r="AG73" s="24">
        <f t="shared" si="9"/>
        <v>100</v>
      </c>
      <c r="AH73" s="20">
        <v>4.0</v>
      </c>
      <c r="AI73" s="22" t="str">
        <f t="shared" si="10"/>
        <v>0.33</v>
      </c>
      <c r="AJ73" s="26"/>
      <c r="AK73" s="26"/>
      <c r="AL73" s="27">
        <f t="shared" si="11"/>
        <v>0.5</v>
      </c>
      <c r="AM73" s="27">
        <f t="shared" si="12"/>
        <v>2.25</v>
      </c>
      <c r="AN73" s="28">
        <f t="shared" si="13"/>
        <v>0.2222222222</v>
      </c>
      <c r="AO73" s="27">
        <f t="shared" si="14"/>
        <v>0.3333333333</v>
      </c>
      <c r="AP73" s="27">
        <f t="shared" si="15"/>
        <v>0.1666666667</v>
      </c>
      <c r="AQ73" s="27">
        <f t="shared" ref="AQ73:AR73" si="86">iferror(AB73/$M73,"-")</f>
        <v>1</v>
      </c>
      <c r="AR73" s="27">
        <f t="shared" si="86"/>
        <v>1.0625</v>
      </c>
      <c r="AS73" s="29">
        <f t="shared" si="17"/>
        <v>0</v>
      </c>
      <c r="AT73" s="29" t="str">
        <f t="shared" si="18"/>
        <v>0.33</v>
      </c>
      <c r="AU73" s="26"/>
      <c r="AV73" s="26"/>
      <c r="AW73" s="26"/>
      <c r="AX73" s="26"/>
    </row>
    <row r="74">
      <c r="B74" s="17">
        <v>71.0</v>
      </c>
      <c r="C74" s="18">
        <f t="shared" si="2"/>
        <v>1</v>
      </c>
      <c r="D74" s="19" t="s">
        <v>127</v>
      </c>
      <c r="E74" s="19" t="s">
        <v>128</v>
      </c>
      <c r="F74" s="19">
        <v>1.0</v>
      </c>
      <c r="G74" s="19" t="s">
        <v>52</v>
      </c>
      <c r="H74" s="19" t="s">
        <v>48</v>
      </c>
      <c r="I74" s="19">
        <v>173.0</v>
      </c>
      <c r="J74" s="19">
        <v>66.0</v>
      </c>
      <c r="K74" s="20">
        <v>6.0</v>
      </c>
      <c r="L74" s="20">
        <v>3.0</v>
      </c>
      <c r="M74" s="20">
        <v>6.0</v>
      </c>
      <c r="N74" s="20">
        <v>0.0</v>
      </c>
      <c r="O74" s="20">
        <v>0.0</v>
      </c>
      <c r="P74" s="20">
        <v>14.0</v>
      </c>
      <c r="Q74" s="20">
        <v>2.0</v>
      </c>
      <c r="R74" s="21">
        <f t="shared" si="3"/>
        <v>16</v>
      </c>
      <c r="S74" s="22">
        <f t="shared" si="4"/>
        <v>-0.13</v>
      </c>
      <c r="T74" s="20">
        <v>0.0</v>
      </c>
      <c r="U74" s="20">
        <v>0.0</v>
      </c>
      <c r="V74" s="20">
        <v>0.0</v>
      </c>
      <c r="W74" s="20">
        <v>6.0</v>
      </c>
      <c r="X74" s="20">
        <v>1.0</v>
      </c>
      <c r="Y74" s="20">
        <v>3.0</v>
      </c>
      <c r="Z74" s="21">
        <f t="shared" si="5"/>
        <v>10</v>
      </c>
      <c r="AA74" s="20">
        <v>0.0</v>
      </c>
      <c r="AB74" s="21">
        <f t="shared" si="6"/>
        <v>1</v>
      </c>
      <c r="AC74" s="23">
        <f t="shared" si="7"/>
        <v>1</v>
      </c>
      <c r="AD74" s="21">
        <f t="shared" si="8"/>
        <v>14</v>
      </c>
      <c r="AE74" s="20">
        <v>12.0</v>
      </c>
      <c r="AF74" s="20">
        <v>2.0</v>
      </c>
      <c r="AG74" s="24">
        <f t="shared" si="9"/>
        <v>85.71428571</v>
      </c>
      <c r="AH74" s="20">
        <v>6.0</v>
      </c>
      <c r="AI74" s="22" t="str">
        <f t="shared" si="10"/>
        <v>1</v>
      </c>
      <c r="AJ74" s="26"/>
      <c r="AK74" s="26"/>
      <c r="AL74" s="27">
        <f t="shared" si="11"/>
        <v>0</v>
      </c>
      <c r="AM74" s="27">
        <f t="shared" si="12"/>
        <v>2.666666667</v>
      </c>
      <c r="AN74" s="28">
        <f t="shared" si="13"/>
        <v>0</v>
      </c>
      <c r="AO74" s="27">
        <f t="shared" si="14"/>
        <v>0</v>
      </c>
      <c r="AP74" s="27">
        <f t="shared" si="15"/>
        <v>0.1666666667</v>
      </c>
      <c r="AQ74" s="27">
        <f t="shared" ref="AQ74:AR74" si="87">iferror(AB74/$M74,"-")</f>
        <v>0.1666666667</v>
      </c>
      <c r="AR74" s="27">
        <f t="shared" si="87"/>
        <v>0.1666666667</v>
      </c>
      <c r="AS74" s="29">
        <f t="shared" si="17"/>
        <v>0.3333333333</v>
      </c>
      <c r="AT74" s="29" t="str">
        <f t="shared" si="18"/>
        <v>1</v>
      </c>
      <c r="AU74" s="26"/>
      <c r="AV74" s="26"/>
      <c r="AW74" s="26"/>
      <c r="AX74" s="26"/>
    </row>
    <row r="75">
      <c r="B75" s="17">
        <v>72.0</v>
      </c>
      <c r="C75" s="18">
        <f t="shared" si="2"/>
        <v>2</v>
      </c>
      <c r="D75" s="19" t="s">
        <v>127</v>
      </c>
      <c r="E75" s="19" t="s">
        <v>129</v>
      </c>
      <c r="F75" s="19">
        <v>3.0</v>
      </c>
      <c r="G75" s="19" t="s">
        <v>57</v>
      </c>
      <c r="H75" s="19" t="s">
        <v>48</v>
      </c>
      <c r="I75" s="19">
        <v>172.0</v>
      </c>
      <c r="J75" s="19">
        <v>62.0</v>
      </c>
      <c r="K75" s="20">
        <v>7.0</v>
      </c>
      <c r="L75" s="20">
        <v>3.0</v>
      </c>
      <c r="M75" s="20">
        <v>13.0</v>
      </c>
      <c r="N75" s="20">
        <v>29.0</v>
      </c>
      <c r="O75" s="20">
        <v>7.0</v>
      </c>
      <c r="P75" s="20">
        <v>44.0</v>
      </c>
      <c r="Q75" s="20">
        <v>11.0</v>
      </c>
      <c r="R75" s="21">
        <f t="shared" si="3"/>
        <v>84</v>
      </c>
      <c r="S75" s="22">
        <f t="shared" si="4"/>
        <v>0.21</v>
      </c>
      <c r="T75" s="20">
        <v>1.0</v>
      </c>
      <c r="U75" s="20">
        <v>1.0</v>
      </c>
      <c r="V75" s="20">
        <v>0.0</v>
      </c>
      <c r="W75" s="20">
        <v>32.0</v>
      </c>
      <c r="X75" s="20">
        <v>5.0</v>
      </c>
      <c r="Y75" s="20">
        <v>1.0</v>
      </c>
      <c r="Z75" s="21">
        <f t="shared" si="5"/>
        <v>38</v>
      </c>
      <c r="AA75" s="20">
        <v>0.0</v>
      </c>
      <c r="AB75" s="21">
        <f t="shared" si="6"/>
        <v>35</v>
      </c>
      <c r="AC75" s="23">
        <f t="shared" si="7"/>
        <v>35</v>
      </c>
      <c r="AD75" s="21">
        <f t="shared" si="8"/>
        <v>18</v>
      </c>
      <c r="AE75" s="20">
        <v>15.0</v>
      </c>
      <c r="AF75" s="20">
        <v>3.0</v>
      </c>
      <c r="AG75" s="24">
        <f t="shared" si="9"/>
        <v>83.33333333</v>
      </c>
      <c r="AH75" s="20">
        <v>31.0</v>
      </c>
      <c r="AI75" s="22" t="str">
        <f t="shared" si="10"/>
        <v>2.38</v>
      </c>
      <c r="AJ75" s="26"/>
      <c r="AK75" s="26"/>
      <c r="AL75" s="27">
        <f t="shared" si="11"/>
        <v>2.230769231</v>
      </c>
      <c r="AM75" s="27">
        <f t="shared" si="12"/>
        <v>6.461538462</v>
      </c>
      <c r="AN75" s="28">
        <f t="shared" si="13"/>
        <v>0.3452380952</v>
      </c>
      <c r="AO75" s="27">
        <f t="shared" si="14"/>
        <v>0.07692307692</v>
      </c>
      <c r="AP75" s="27">
        <f t="shared" si="15"/>
        <v>0.3846153846</v>
      </c>
      <c r="AQ75" s="27">
        <f t="shared" ref="AQ75:AR75" si="88">iferror(AB75/$M75,"-")</f>
        <v>2.692307692</v>
      </c>
      <c r="AR75" s="27">
        <f t="shared" si="88"/>
        <v>2.692307692</v>
      </c>
      <c r="AS75" s="29">
        <f t="shared" si="17"/>
        <v>0.2307692308</v>
      </c>
      <c r="AT75" s="29" t="str">
        <f t="shared" si="18"/>
        <v>2.38</v>
      </c>
      <c r="AU75" s="26"/>
      <c r="AV75" s="26"/>
      <c r="AW75" s="26"/>
      <c r="AX75" s="26"/>
    </row>
    <row r="76">
      <c r="B76" s="17">
        <v>73.0</v>
      </c>
      <c r="C76" s="18">
        <f t="shared" si="2"/>
        <v>3</v>
      </c>
      <c r="D76" s="19" t="s">
        <v>127</v>
      </c>
      <c r="E76" s="19" t="s">
        <v>130</v>
      </c>
      <c r="F76" s="19">
        <v>1.0</v>
      </c>
      <c r="G76" s="19" t="s">
        <v>50</v>
      </c>
      <c r="H76" s="19" t="s">
        <v>48</v>
      </c>
      <c r="I76" s="19">
        <v>158.0</v>
      </c>
      <c r="J76" s="19">
        <v>53.0</v>
      </c>
      <c r="K76" s="20">
        <v>8.0</v>
      </c>
      <c r="L76" s="20">
        <v>1.0</v>
      </c>
      <c r="M76" s="20">
        <v>2.0</v>
      </c>
      <c r="N76" s="20">
        <v>0.0</v>
      </c>
      <c r="O76" s="20">
        <v>0.0</v>
      </c>
      <c r="P76" s="20">
        <v>0.0</v>
      </c>
      <c r="Q76" s="20">
        <v>0.0</v>
      </c>
      <c r="R76" s="30" t="str">
        <f t="shared" si="3"/>
        <v>-</v>
      </c>
      <c r="S76" s="22" t="str">
        <f t="shared" si="4"/>
        <v>-</v>
      </c>
      <c r="T76" s="20">
        <v>0.0</v>
      </c>
      <c r="U76" s="20">
        <v>0.0</v>
      </c>
      <c r="V76" s="20">
        <v>0.0</v>
      </c>
      <c r="W76" s="20">
        <v>0.0</v>
      </c>
      <c r="X76" s="20">
        <v>0.0</v>
      </c>
      <c r="Y76" s="20">
        <v>0.0</v>
      </c>
      <c r="Z76" s="30" t="str">
        <f t="shared" si="5"/>
        <v>-</v>
      </c>
      <c r="AA76" s="20">
        <v>0.0</v>
      </c>
      <c r="AB76" s="30" t="str">
        <f t="shared" si="6"/>
        <v>-</v>
      </c>
      <c r="AC76" s="23">
        <f t="shared" si="7"/>
        <v>0</v>
      </c>
      <c r="AD76" s="21">
        <f t="shared" si="8"/>
        <v>1</v>
      </c>
      <c r="AE76" s="20">
        <v>1.0</v>
      </c>
      <c r="AF76" s="20">
        <v>0.0</v>
      </c>
      <c r="AG76" s="24">
        <f t="shared" si="9"/>
        <v>100</v>
      </c>
      <c r="AH76" s="20">
        <v>1.0</v>
      </c>
      <c r="AI76" s="22" t="str">
        <f t="shared" si="10"/>
        <v>0.50</v>
      </c>
      <c r="AJ76" s="26"/>
      <c r="AK76" s="26"/>
      <c r="AL76" s="27">
        <f t="shared" si="11"/>
        <v>0</v>
      </c>
      <c r="AM76" s="27" t="str">
        <f t="shared" si="12"/>
        <v>-</v>
      </c>
      <c r="AN76" s="28" t="str">
        <f t="shared" si="13"/>
        <v>-</v>
      </c>
      <c r="AO76" s="27">
        <f t="shared" si="14"/>
        <v>0</v>
      </c>
      <c r="AP76" s="27">
        <f t="shared" si="15"/>
        <v>0</v>
      </c>
      <c r="AQ76" s="27" t="str">
        <f t="shared" ref="AQ76:AR76" si="89">iferror(AB76/$M76,"-")</f>
        <v>-</v>
      </c>
      <c r="AR76" s="27">
        <f t="shared" si="89"/>
        <v>0</v>
      </c>
      <c r="AS76" s="29">
        <f t="shared" si="17"/>
        <v>0</v>
      </c>
      <c r="AT76" s="29" t="str">
        <f t="shared" si="18"/>
        <v>0.50</v>
      </c>
      <c r="AU76" s="26"/>
      <c r="AV76" s="26"/>
      <c r="AW76" s="26"/>
      <c r="AX76" s="26"/>
    </row>
    <row r="77">
      <c r="B77" s="17">
        <v>74.0</v>
      </c>
      <c r="C77" s="18">
        <f t="shared" si="2"/>
        <v>4</v>
      </c>
      <c r="D77" s="19" t="s">
        <v>127</v>
      </c>
      <c r="E77" s="19" t="s">
        <v>131</v>
      </c>
      <c r="F77" s="19">
        <v>1.0</v>
      </c>
      <c r="G77" s="19" t="s">
        <v>54</v>
      </c>
      <c r="H77" s="19" t="s">
        <v>48</v>
      </c>
      <c r="I77" s="19">
        <v>165.0</v>
      </c>
      <c r="J77" s="19">
        <v>52.0</v>
      </c>
      <c r="K77" s="20">
        <v>9.0</v>
      </c>
      <c r="L77" s="20">
        <v>3.0</v>
      </c>
      <c r="M77" s="20">
        <v>9.0</v>
      </c>
      <c r="N77" s="20">
        <v>0.0</v>
      </c>
      <c r="O77" s="20">
        <v>10.0</v>
      </c>
      <c r="P77" s="20">
        <v>1.0</v>
      </c>
      <c r="Q77" s="20">
        <v>0.0</v>
      </c>
      <c r="R77" s="21">
        <f t="shared" si="3"/>
        <v>1</v>
      </c>
      <c r="S77" s="22" t="str">
        <f t="shared" si="4"/>
        <v>-</v>
      </c>
      <c r="T77" s="20">
        <v>0.0</v>
      </c>
      <c r="U77" s="20">
        <v>0.0</v>
      </c>
      <c r="V77" s="20">
        <v>0.0</v>
      </c>
      <c r="W77" s="20">
        <v>7.0</v>
      </c>
      <c r="X77" s="20">
        <v>0.0</v>
      </c>
      <c r="Y77" s="20">
        <v>0.0</v>
      </c>
      <c r="Z77" s="21">
        <f t="shared" si="5"/>
        <v>7</v>
      </c>
      <c r="AA77" s="20">
        <v>2.0</v>
      </c>
      <c r="AB77" s="30" t="str">
        <f t="shared" si="6"/>
        <v>-</v>
      </c>
      <c r="AC77" s="23">
        <f t="shared" si="7"/>
        <v>0</v>
      </c>
      <c r="AD77" s="21">
        <f t="shared" si="8"/>
        <v>2</v>
      </c>
      <c r="AE77" s="20">
        <v>0.0</v>
      </c>
      <c r="AF77" s="20">
        <v>2.0</v>
      </c>
      <c r="AG77" s="24">
        <f t="shared" si="9"/>
        <v>0</v>
      </c>
      <c r="AH77" s="20">
        <v>2.0</v>
      </c>
      <c r="AI77" s="22" t="str">
        <f t="shared" si="10"/>
        <v>0.22</v>
      </c>
      <c r="AJ77" s="26"/>
      <c r="AK77" s="26"/>
      <c r="AL77" s="27">
        <f t="shared" si="11"/>
        <v>0</v>
      </c>
      <c r="AM77" s="27">
        <f t="shared" si="12"/>
        <v>0.1111111111</v>
      </c>
      <c r="AN77" s="28">
        <f t="shared" si="13"/>
        <v>0</v>
      </c>
      <c r="AO77" s="27">
        <f t="shared" si="14"/>
        <v>0</v>
      </c>
      <c r="AP77" s="27">
        <f t="shared" si="15"/>
        <v>0</v>
      </c>
      <c r="AQ77" s="27" t="str">
        <f t="shared" ref="AQ77:AR77" si="90">iferror(AB77/$M77,"-")</f>
        <v>-</v>
      </c>
      <c r="AR77" s="27">
        <f t="shared" si="90"/>
        <v>0</v>
      </c>
      <c r="AS77" s="29">
        <f t="shared" si="17"/>
        <v>0.2222222222</v>
      </c>
      <c r="AT77" s="29" t="str">
        <f t="shared" si="18"/>
        <v>0.22</v>
      </c>
      <c r="AU77" s="26"/>
      <c r="AV77" s="26"/>
      <c r="AW77" s="26"/>
      <c r="AX77" s="26"/>
    </row>
    <row r="78">
      <c r="B78" s="17">
        <v>75.0</v>
      </c>
      <c r="C78" s="18">
        <f t="shared" si="2"/>
        <v>5</v>
      </c>
      <c r="D78" s="19" t="s">
        <v>127</v>
      </c>
      <c r="E78" s="19" t="s">
        <v>132</v>
      </c>
      <c r="F78" s="19">
        <v>3.0</v>
      </c>
      <c r="G78" s="19" t="s">
        <v>52</v>
      </c>
      <c r="H78" s="19" t="s">
        <v>48</v>
      </c>
      <c r="I78" s="19">
        <v>172.0</v>
      </c>
      <c r="J78" s="19">
        <v>68.0</v>
      </c>
      <c r="K78" s="20">
        <v>10.0</v>
      </c>
      <c r="L78" s="20">
        <v>3.0</v>
      </c>
      <c r="M78" s="20">
        <v>12.0</v>
      </c>
      <c r="N78" s="20">
        <v>1.0</v>
      </c>
      <c r="O78" s="20">
        <v>3.0</v>
      </c>
      <c r="P78" s="20">
        <v>7.0</v>
      </c>
      <c r="Q78" s="20">
        <v>2.0</v>
      </c>
      <c r="R78" s="21">
        <f t="shared" si="3"/>
        <v>10</v>
      </c>
      <c r="S78" s="22">
        <f t="shared" si="4"/>
        <v>-0.1</v>
      </c>
      <c r="T78" s="20">
        <v>1.0</v>
      </c>
      <c r="U78" s="20">
        <v>0.0</v>
      </c>
      <c r="V78" s="20">
        <v>2.0</v>
      </c>
      <c r="W78" s="20">
        <v>34.0</v>
      </c>
      <c r="X78" s="20">
        <v>3.0</v>
      </c>
      <c r="Y78" s="20">
        <v>1.0</v>
      </c>
      <c r="Z78" s="21">
        <f t="shared" si="5"/>
        <v>38</v>
      </c>
      <c r="AA78" s="20">
        <v>0.0</v>
      </c>
      <c r="AB78" s="21">
        <f t="shared" si="6"/>
        <v>5</v>
      </c>
      <c r="AC78" s="23">
        <f t="shared" si="7"/>
        <v>6.5</v>
      </c>
      <c r="AD78" s="21">
        <f t="shared" si="8"/>
        <v>3</v>
      </c>
      <c r="AE78" s="20">
        <v>2.0</v>
      </c>
      <c r="AF78" s="20">
        <v>1.0</v>
      </c>
      <c r="AG78" s="24">
        <f t="shared" si="9"/>
        <v>66.66666667</v>
      </c>
      <c r="AH78" s="20">
        <v>7.0</v>
      </c>
      <c r="AI78" s="22" t="str">
        <f t="shared" si="10"/>
        <v>0.58</v>
      </c>
      <c r="AJ78" s="26"/>
      <c r="AK78" s="26"/>
      <c r="AL78" s="27">
        <f t="shared" si="11"/>
        <v>0.08333333333</v>
      </c>
      <c r="AM78" s="27">
        <f t="shared" si="12"/>
        <v>0.8333333333</v>
      </c>
      <c r="AN78" s="28">
        <f t="shared" si="13"/>
        <v>0.1</v>
      </c>
      <c r="AO78" s="27">
        <f t="shared" si="14"/>
        <v>0.08333333333</v>
      </c>
      <c r="AP78" s="27">
        <f t="shared" si="15"/>
        <v>0.25</v>
      </c>
      <c r="AQ78" s="27">
        <f t="shared" ref="AQ78:AR78" si="91">iferror(AB78/$M78,"-")</f>
        <v>0.4166666667</v>
      </c>
      <c r="AR78" s="27">
        <f t="shared" si="91"/>
        <v>0.5416666667</v>
      </c>
      <c r="AS78" s="29">
        <f t="shared" si="17"/>
        <v>0.08333333333</v>
      </c>
      <c r="AT78" s="29" t="str">
        <f t="shared" si="18"/>
        <v>0.58</v>
      </c>
      <c r="AU78" s="26"/>
      <c r="AV78" s="26"/>
      <c r="AW78" s="26"/>
      <c r="AX78" s="26"/>
    </row>
    <row r="79">
      <c r="B79" s="17">
        <v>76.0</v>
      </c>
      <c r="C79" s="18">
        <f t="shared" si="2"/>
        <v>6</v>
      </c>
      <c r="D79" s="19" t="s">
        <v>127</v>
      </c>
      <c r="E79" s="19" t="s">
        <v>133</v>
      </c>
      <c r="F79" s="19">
        <v>2.0</v>
      </c>
      <c r="G79" s="19" t="s">
        <v>52</v>
      </c>
      <c r="H79" s="19" t="s">
        <v>48</v>
      </c>
      <c r="I79" s="19">
        <v>172.0</v>
      </c>
      <c r="J79" s="19">
        <v>60.0</v>
      </c>
      <c r="K79" s="20">
        <v>11.0</v>
      </c>
      <c r="L79" s="20">
        <v>3.0</v>
      </c>
      <c r="M79" s="20">
        <v>13.0</v>
      </c>
      <c r="N79" s="20">
        <v>24.0</v>
      </c>
      <c r="O79" s="20">
        <v>1.0</v>
      </c>
      <c r="P79" s="20">
        <v>38.0</v>
      </c>
      <c r="Q79" s="20">
        <v>6.0</v>
      </c>
      <c r="R79" s="21">
        <f t="shared" si="3"/>
        <v>68</v>
      </c>
      <c r="S79" s="22">
        <f t="shared" si="4"/>
        <v>0.26</v>
      </c>
      <c r="T79" s="20">
        <v>0.0</v>
      </c>
      <c r="U79" s="20">
        <v>0.0</v>
      </c>
      <c r="V79" s="20">
        <v>0.0</v>
      </c>
      <c r="W79" s="20">
        <v>39.0</v>
      </c>
      <c r="X79" s="20">
        <v>3.0</v>
      </c>
      <c r="Y79" s="20">
        <v>0.0</v>
      </c>
      <c r="Z79" s="21">
        <f t="shared" si="5"/>
        <v>42</v>
      </c>
      <c r="AA79" s="20">
        <v>0.0</v>
      </c>
      <c r="AB79" s="21">
        <f t="shared" si="6"/>
        <v>27</v>
      </c>
      <c r="AC79" s="23">
        <f t="shared" si="7"/>
        <v>27</v>
      </c>
      <c r="AD79" s="21">
        <f t="shared" si="8"/>
        <v>61</v>
      </c>
      <c r="AE79" s="20">
        <v>50.0</v>
      </c>
      <c r="AF79" s="20">
        <v>11.0</v>
      </c>
      <c r="AG79" s="24">
        <f t="shared" si="9"/>
        <v>81.96721311</v>
      </c>
      <c r="AH79" s="20">
        <v>23.0</v>
      </c>
      <c r="AI79" s="22" t="str">
        <f t="shared" si="10"/>
        <v>1.77</v>
      </c>
      <c r="AJ79" s="26"/>
      <c r="AK79" s="26"/>
      <c r="AL79" s="27">
        <f t="shared" si="11"/>
        <v>1.846153846</v>
      </c>
      <c r="AM79" s="27">
        <f t="shared" si="12"/>
        <v>5.230769231</v>
      </c>
      <c r="AN79" s="28">
        <f t="shared" si="13"/>
        <v>0.3529411765</v>
      </c>
      <c r="AO79" s="27">
        <f t="shared" si="14"/>
        <v>0</v>
      </c>
      <c r="AP79" s="27">
        <f t="shared" si="15"/>
        <v>0.2307692308</v>
      </c>
      <c r="AQ79" s="27">
        <f t="shared" ref="AQ79:AR79" si="92">iferror(AB79/$M79,"-")</f>
        <v>2.076923077</v>
      </c>
      <c r="AR79" s="27">
        <f t="shared" si="92"/>
        <v>2.076923077</v>
      </c>
      <c r="AS79" s="29">
        <f t="shared" si="17"/>
        <v>0.8461538462</v>
      </c>
      <c r="AT79" s="29" t="str">
        <f t="shared" si="18"/>
        <v>1.77</v>
      </c>
      <c r="AU79" s="26"/>
      <c r="AV79" s="26"/>
      <c r="AW79" s="26"/>
      <c r="AX79" s="26"/>
    </row>
    <row r="80">
      <c r="B80" s="17">
        <v>77.0</v>
      </c>
      <c r="C80" s="18">
        <f t="shared" si="2"/>
        <v>7</v>
      </c>
      <c r="D80" s="19" t="s">
        <v>127</v>
      </c>
      <c r="E80" s="19" t="s">
        <v>134</v>
      </c>
      <c r="F80" s="19">
        <v>2.0</v>
      </c>
      <c r="G80" s="19" t="s">
        <v>47</v>
      </c>
      <c r="H80" s="19" t="s">
        <v>48</v>
      </c>
      <c r="I80" s="19">
        <v>179.0</v>
      </c>
      <c r="J80" s="19">
        <v>75.0</v>
      </c>
      <c r="K80" s="20">
        <v>13.0</v>
      </c>
      <c r="L80" s="20">
        <v>3.0</v>
      </c>
      <c r="M80" s="20">
        <v>13.0</v>
      </c>
      <c r="N80" s="20">
        <v>28.0</v>
      </c>
      <c r="O80" s="20">
        <v>1.0</v>
      </c>
      <c r="P80" s="20">
        <v>33.0</v>
      </c>
      <c r="Q80" s="20">
        <v>13.0</v>
      </c>
      <c r="R80" s="21">
        <f t="shared" si="3"/>
        <v>74</v>
      </c>
      <c r="S80" s="22">
        <f t="shared" si="4"/>
        <v>0.2</v>
      </c>
      <c r="T80" s="20">
        <v>0.0</v>
      </c>
      <c r="U80" s="20">
        <v>0.0</v>
      </c>
      <c r="V80" s="20">
        <v>3.0</v>
      </c>
      <c r="W80" s="20">
        <v>32.0</v>
      </c>
      <c r="X80" s="20">
        <v>4.0</v>
      </c>
      <c r="Y80" s="20">
        <v>10.0</v>
      </c>
      <c r="Z80" s="21">
        <f t="shared" si="5"/>
        <v>46</v>
      </c>
      <c r="AA80" s="20">
        <v>1.0</v>
      </c>
      <c r="AB80" s="21">
        <f t="shared" si="6"/>
        <v>32</v>
      </c>
      <c r="AC80" s="23">
        <f t="shared" si="7"/>
        <v>34.25</v>
      </c>
      <c r="AD80" s="21">
        <f t="shared" si="8"/>
        <v>3</v>
      </c>
      <c r="AE80" s="20">
        <v>2.0</v>
      </c>
      <c r="AF80" s="20">
        <v>1.0</v>
      </c>
      <c r="AG80" s="24">
        <f t="shared" si="9"/>
        <v>66.66666667</v>
      </c>
      <c r="AH80" s="20">
        <v>8.0</v>
      </c>
      <c r="AI80" s="22" t="str">
        <f t="shared" si="10"/>
        <v>0.62</v>
      </c>
      <c r="AJ80" s="26"/>
      <c r="AK80" s="26"/>
      <c r="AL80" s="27">
        <f t="shared" si="11"/>
        <v>2.153846154</v>
      </c>
      <c r="AM80" s="27">
        <f t="shared" si="12"/>
        <v>5.692307692</v>
      </c>
      <c r="AN80" s="28">
        <f t="shared" si="13"/>
        <v>0.3783783784</v>
      </c>
      <c r="AO80" s="27">
        <f t="shared" si="14"/>
        <v>0</v>
      </c>
      <c r="AP80" s="27">
        <f t="shared" si="15"/>
        <v>0.3076923077</v>
      </c>
      <c r="AQ80" s="27">
        <f t="shared" ref="AQ80:AR80" si="93">iferror(AB80/$M80,"-")</f>
        <v>2.461538462</v>
      </c>
      <c r="AR80" s="27">
        <f t="shared" si="93"/>
        <v>2.634615385</v>
      </c>
      <c r="AS80" s="29">
        <f t="shared" si="17"/>
        <v>0.07692307692</v>
      </c>
      <c r="AT80" s="29" t="str">
        <f t="shared" si="18"/>
        <v>0.62</v>
      </c>
      <c r="AU80" s="26"/>
      <c r="AV80" s="26"/>
      <c r="AW80" s="26"/>
      <c r="AX80" s="26"/>
    </row>
    <row r="81">
      <c r="B81" s="17">
        <v>78.0</v>
      </c>
      <c r="C81" s="18">
        <f t="shared" si="2"/>
        <v>8</v>
      </c>
      <c r="D81" s="19" t="s">
        <v>127</v>
      </c>
      <c r="E81" s="19" t="s">
        <v>135</v>
      </c>
      <c r="F81" s="19">
        <v>2.0</v>
      </c>
      <c r="G81" s="19" t="s">
        <v>50</v>
      </c>
      <c r="H81" s="19" t="s">
        <v>48</v>
      </c>
      <c r="I81" s="19">
        <v>168.0</v>
      </c>
      <c r="J81" s="19">
        <v>62.0</v>
      </c>
      <c r="K81" s="20">
        <v>15.0</v>
      </c>
      <c r="L81" s="20">
        <v>3.0</v>
      </c>
      <c r="M81" s="20">
        <v>13.0</v>
      </c>
      <c r="N81" s="20">
        <v>0.0</v>
      </c>
      <c r="O81" s="20">
        <v>4.0</v>
      </c>
      <c r="P81" s="20">
        <v>0.0</v>
      </c>
      <c r="Q81" s="20">
        <v>0.0</v>
      </c>
      <c r="R81" s="30" t="str">
        <f t="shared" si="3"/>
        <v>-</v>
      </c>
      <c r="S81" s="22" t="str">
        <f t="shared" si="4"/>
        <v>-</v>
      </c>
      <c r="T81" s="20">
        <v>0.0</v>
      </c>
      <c r="U81" s="20">
        <v>0.0</v>
      </c>
      <c r="V81" s="20">
        <v>0.0</v>
      </c>
      <c r="W81" s="20">
        <v>0.0</v>
      </c>
      <c r="X81" s="20">
        <v>0.0</v>
      </c>
      <c r="Y81" s="20">
        <v>0.0</v>
      </c>
      <c r="Z81" s="30" t="str">
        <f t="shared" si="5"/>
        <v>-</v>
      </c>
      <c r="AA81" s="20">
        <v>1.0</v>
      </c>
      <c r="AB81" s="30" t="str">
        <f t="shared" si="6"/>
        <v>-</v>
      </c>
      <c r="AC81" s="23">
        <f t="shared" si="7"/>
        <v>0</v>
      </c>
      <c r="AD81" s="21">
        <f t="shared" si="8"/>
        <v>78</v>
      </c>
      <c r="AE81" s="20">
        <v>69.0</v>
      </c>
      <c r="AF81" s="20">
        <v>9.0</v>
      </c>
      <c r="AG81" s="24">
        <f t="shared" si="9"/>
        <v>88.46153846</v>
      </c>
      <c r="AH81" s="20">
        <v>34.0</v>
      </c>
      <c r="AI81" s="22" t="str">
        <f t="shared" si="10"/>
        <v>2.62</v>
      </c>
      <c r="AJ81" s="26"/>
      <c r="AK81" s="26"/>
      <c r="AL81" s="27">
        <f t="shared" si="11"/>
        <v>0</v>
      </c>
      <c r="AM81" s="27" t="str">
        <f t="shared" si="12"/>
        <v>-</v>
      </c>
      <c r="AN81" s="28" t="str">
        <f t="shared" si="13"/>
        <v>-</v>
      </c>
      <c r="AO81" s="27">
        <f t="shared" si="14"/>
        <v>0</v>
      </c>
      <c r="AP81" s="27">
        <f t="shared" si="15"/>
        <v>0</v>
      </c>
      <c r="AQ81" s="27" t="str">
        <f t="shared" ref="AQ81:AR81" si="94">iferror(AB81/$M81,"-")</f>
        <v>-</v>
      </c>
      <c r="AR81" s="27">
        <f t="shared" si="94"/>
        <v>0</v>
      </c>
      <c r="AS81" s="29">
        <f t="shared" si="17"/>
        <v>0.6923076923</v>
      </c>
      <c r="AT81" s="29" t="str">
        <f t="shared" si="18"/>
        <v>2.62</v>
      </c>
      <c r="AU81" s="26"/>
      <c r="AV81" s="26"/>
      <c r="AW81" s="26"/>
      <c r="AX81" s="26"/>
    </row>
    <row r="82">
      <c r="B82" s="17">
        <v>79.0</v>
      </c>
      <c r="C82" s="18">
        <f t="shared" si="2"/>
        <v>9</v>
      </c>
      <c r="D82" s="19" t="s">
        <v>127</v>
      </c>
      <c r="E82" s="19" t="s">
        <v>136</v>
      </c>
      <c r="F82" s="19">
        <v>2.0</v>
      </c>
      <c r="G82" s="19" t="s">
        <v>54</v>
      </c>
      <c r="H82" s="19" t="s">
        <v>48</v>
      </c>
      <c r="I82" s="19">
        <v>164.0</v>
      </c>
      <c r="J82" s="19">
        <v>51.0</v>
      </c>
      <c r="K82" s="20">
        <v>17.0</v>
      </c>
      <c r="L82" s="20">
        <v>3.0</v>
      </c>
      <c r="M82" s="20">
        <v>13.0</v>
      </c>
      <c r="N82" s="20">
        <v>1.0</v>
      </c>
      <c r="O82" s="20">
        <v>112.0</v>
      </c>
      <c r="P82" s="20">
        <v>3.0</v>
      </c>
      <c r="Q82" s="20">
        <v>3.0</v>
      </c>
      <c r="R82" s="21">
        <f t="shared" si="3"/>
        <v>7</v>
      </c>
      <c r="S82" s="22">
        <f t="shared" si="4"/>
        <v>-0.29</v>
      </c>
      <c r="T82" s="20">
        <v>0.0</v>
      </c>
      <c r="U82" s="20">
        <v>0.0</v>
      </c>
      <c r="V82" s="20">
        <v>1.0</v>
      </c>
      <c r="W82" s="20">
        <v>34.0</v>
      </c>
      <c r="X82" s="20">
        <v>2.0</v>
      </c>
      <c r="Y82" s="20">
        <v>2.0</v>
      </c>
      <c r="Z82" s="21">
        <f t="shared" si="5"/>
        <v>38</v>
      </c>
      <c r="AA82" s="20">
        <v>1.0</v>
      </c>
      <c r="AB82" s="21">
        <f t="shared" si="6"/>
        <v>3</v>
      </c>
      <c r="AC82" s="23">
        <f t="shared" si="7"/>
        <v>3.75</v>
      </c>
      <c r="AD82" s="21">
        <f t="shared" si="8"/>
        <v>2</v>
      </c>
      <c r="AE82" s="20">
        <v>1.0</v>
      </c>
      <c r="AF82" s="20">
        <v>1.0</v>
      </c>
      <c r="AG82" s="24">
        <f t="shared" si="9"/>
        <v>50</v>
      </c>
      <c r="AH82" s="20">
        <v>27.0</v>
      </c>
      <c r="AI82" s="22" t="str">
        <f t="shared" si="10"/>
        <v>2.08</v>
      </c>
      <c r="AJ82" s="26"/>
      <c r="AK82" s="26"/>
      <c r="AL82" s="27">
        <f t="shared" si="11"/>
        <v>0.07692307692</v>
      </c>
      <c r="AM82" s="27">
        <f t="shared" si="12"/>
        <v>0.5384615385</v>
      </c>
      <c r="AN82" s="28">
        <f t="shared" si="13"/>
        <v>0.1428571429</v>
      </c>
      <c r="AO82" s="27">
        <f t="shared" si="14"/>
        <v>0</v>
      </c>
      <c r="AP82" s="27">
        <f t="shared" si="15"/>
        <v>0.1538461538</v>
      </c>
      <c r="AQ82" s="27">
        <f t="shared" ref="AQ82:AR82" si="95">iferror(AB82/$M82,"-")</f>
        <v>0.2307692308</v>
      </c>
      <c r="AR82" s="27">
        <f t="shared" si="95"/>
        <v>0.2884615385</v>
      </c>
      <c r="AS82" s="29">
        <f t="shared" si="17"/>
        <v>0.07692307692</v>
      </c>
      <c r="AT82" s="29" t="str">
        <f t="shared" si="18"/>
        <v>2.08</v>
      </c>
      <c r="AU82" s="26"/>
      <c r="AV82" s="26"/>
      <c r="AW82" s="26"/>
      <c r="AX82" s="26"/>
    </row>
    <row r="83">
      <c r="B83" s="17">
        <v>80.0</v>
      </c>
      <c r="C83" s="18">
        <f t="shared" si="2"/>
        <v>10</v>
      </c>
      <c r="D83" s="19" t="s">
        <v>127</v>
      </c>
      <c r="E83" s="19" t="s">
        <v>137</v>
      </c>
      <c r="F83" s="19">
        <v>2.0</v>
      </c>
      <c r="G83" s="19" t="s">
        <v>52</v>
      </c>
      <c r="H83" s="19" t="s">
        <v>48</v>
      </c>
      <c r="I83" s="19">
        <v>179.0</v>
      </c>
      <c r="J83" s="19">
        <v>67.0</v>
      </c>
      <c r="K83" s="20">
        <v>18.0</v>
      </c>
      <c r="L83" s="20">
        <v>3.0</v>
      </c>
      <c r="M83" s="20">
        <v>13.0</v>
      </c>
      <c r="N83" s="20">
        <v>68.0</v>
      </c>
      <c r="O83" s="20">
        <v>2.0</v>
      </c>
      <c r="P83" s="20">
        <v>68.0</v>
      </c>
      <c r="Q83" s="20">
        <v>22.0</v>
      </c>
      <c r="R83" s="21">
        <f t="shared" si="3"/>
        <v>158</v>
      </c>
      <c r="S83" s="22">
        <f t="shared" si="4"/>
        <v>0.29</v>
      </c>
      <c r="T83" s="20">
        <v>9.0</v>
      </c>
      <c r="U83" s="20">
        <v>0.0</v>
      </c>
      <c r="V83" s="20">
        <v>1.0</v>
      </c>
      <c r="W83" s="20">
        <v>33.0</v>
      </c>
      <c r="X83" s="20">
        <v>3.0</v>
      </c>
      <c r="Y83" s="20">
        <v>10.0</v>
      </c>
      <c r="Z83" s="21">
        <f t="shared" si="5"/>
        <v>46</v>
      </c>
      <c r="AA83" s="20">
        <v>1.0</v>
      </c>
      <c r="AB83" s="21">
        <f t="shared" si="6"/>
        <v>80</v>
      </c>
      <c r="AC83" s="23">
        <f t="shared" si="7"/>
        <v>80.75</v>
      </c>
      <c r="AD83" s="21">
        <f t="shared" si="8"/>
        <v>76</v>
      </c>
      <c r="AE83" s="20">
        <v>73.0</v>
      </c>
      <c r="AF83" s="20">
        <v>3.0</v>
      </c>
      <c r="AG83" s="24">
        <f t="shared" si="9"/>
        <v>96.05263158</v>
      </c>
      <c r="AH83" s="20">
        <v>47.0</v>
      </c>
      <c r="AI83" s="22" t="str">
        <f t="shared" si="10"/>
        <v>3.62</v>
      </c>
      <c r="AJ83" s="26"/>
      <c r="AK83" s="26"/>
      <c r="AL83" s="27">
        <f t="shared" si="11"/>
        <v>5.230769231</v>
      </c>
      <c r="AM83" s="27">
        <f t="shared" si="12"/>
        <v>12.15384615</v>
      </c>
      <c r="AN83" s="28">
        <f t="shared" si="13"/>
        <v>0.4303797468</v>
      </c>
      <c r="AO83" s="27">
        <f t="shared" si="14"/>
        <v>0.6923076923</v>
      </c>
      <c r="AP83" s="27">
        <f t="shared" si="15"/>
        <v>0.2307692308</v>
      </c>
      <c r="AQ83" s="27">
        <f t="shared" ref="AQ83:AR83" si="96">iferror(AB83/$M83,"-")</f>
        <v>6.153846154</v>
      </c>
      <c r="AR83" s="27">
        <f t="shared" si="96"/>
        <v>6.211538462</v>
      </c>
      <c r="AS83" s="29">
        <f t="shared" si="17"/>
        <v>0.2307692308</v>
      </c>
      <c r="AT83" s="29" t="str">
        <f t="shared" si="18"/>
        <v>3.62</v>
      </c>
      <c r="AU83" s="26"/>
      <c r="AV83" s="26"/>
      <c r="AW83" s="26"/>
      <c r="AX83" s="26"/>
    </row>
    <row r="84">
      <c r="B84" s="17">
        <v>81.0</v>
      </c>
      <c r="C84" s="18">
        <f t="shared" si="2"/>
        <v>1</v>
      </c>
      <c r="D84" s="19" t="s">
        <v>138</v>
      </c>
      <c r="E84" s="19" t="s">
        <v>139</v>
      </c>
      <c r="F84" s="19">
        <v>2.0</v>
      </c>
      <c r="G84" s="19" t="s">
        <v>52</v>
      </c>
      <c r="H84" s="19" t="s">
        <v>57</v>
      </c>
      <c r="I84" s="19">
        <v>170.0</v>
      </c>
      <c r="J84" s="19">
        <v>65.0</v>
      </c>
      <c r="K84" s="20">
        <v>1.0</v>
      </c>
      <c r="L84" s="20">
        <v>2.0</v>
      </c>
      <c r="M84" s="20">
        <v>7.0</v>
      </c>
      <c r="N84" s="20">
        <v>8.0</v>
      </c>
      <c r="O84" s="20">
        <v>4.0</v>
      </c>
      <c r="P84" s="20">
        <v>10.0</v>
      </c>
      <c r="Q84" s="20">
        <v>3.0</v>
      </c>
      <c r="R84" s="21">
        <f t="shared" si="3"/>
        <v>21</v>
      </c>
      <c r="S84" s="22">
        <f t="shared" si="4"/>
        <v>0.24</v>
      </c>
      <c r="T84" s="20">
        <v>1.0</v>
      </c>
      <c r="U84" s="20">
        <v>0.0</v>
      </c>
      <c r="V84" s="20">
        <v>2.0</v>
      </c>
      <c r="W84" s="20">
        <v>17.0</v>
      </c>
      <c r="X84" s="20">
        <v>1.0</v>
      </c>
      <c r="Y84" s="20">
        <v>1.0</v>
      </c>
      <c r="Z84" s="21">
        <f t="shared" si="5"/>
        <v>19</v>
      </c>
      <c r="AA84" s="20">
        <v>1.0</v>
      </c>
      <c r="AB84" s="21">
        <f t="shared" si="6"/>
        <v>10</v>
      </c>
      <c r="AC84" s="23">
        <f t="shared" si="7"/>
        <v>11.5</v>
      </c>
      <c r="AD84" s="21">
        <f t="shared" si="8"/>
        <v>47</v>
      </c>
      <c r="AE84" s="20">
        <v>45.0</v>
      </c>
      <c r="AF84" s="20">
        <v>2.0</v>
      </c>
      <c r="AG84" s="24">
        <f t="shared" si="9"/>
        <v>95.74468085</v>
      </c>
      <c r="AH84" s="20">
        <v>15.0</v>
      </c>
      <c r="AI84" s="22" t="str">
        <f t="shared" si="10"/>
        <v>2.14</v>
      </c>
      <c r="AJ84" s="26"/>
      <c r="AK84" s="26"/>
      <c r="AL84" s="27">
        <f t="shared" si="11"/>
        <v>1.142857143</v>
      </c>
      <c r="AM84" s="27">
        <f t="shared" si="12"/>
        <v>3</v>
      </c>
      <c r="AN84" s="28">
        <f t="shared" si="13"/>
        <v>0.380952381</v>
      </c>
      <c r="AO84" s="27">
        <f t="shared" si="14"/>
        <v>0.1428571429</v>
      </c>
      <c r="AP84" s="27">
        <f t="shared" si="15"/>
        <v>0.1428571429</v>
      </c>
      <c r="AQ84" s="27">
        <f t="shared" ref="AQ84:AR84" si="97">iferror(AB84/$M84,"-")</f>
        <v>1.428571429</v>
      </c>
      <c r="AR84" s="27">
        <f t="shared" si="97"/>
        <v>1.642857143</v>
      </c>
      <c r="AS84" s="29">
        <f t="shared" si="17"/>
        <v>0.2857142857</v>
      </c>
      <c r="AT84" s="29" t="str">
        <f t="shared" si="18"/>
        <v>2.14</v>
      </c>
      <c r="AU84" s="26"/>
      <c r="AV84" s="26"/>
      <c r="AW84" s="26"/>
      <c r="AX84" s="26"/>
    </row>
    <row r="85">
      <c r="B85" s="17">
        <v>82.0</v>
      </c>
      <c r="C85" s="18">
        <f t="shared" si="2"/>
        <v>2</v>
      </c>
      <c r="D85" s="19" t="s">
        <v>138</v>
      </c>
      <c r="E85" s="19" t="s">
        <v>140</v>
      </c>
      <c r="F85" s="31">
        <v>2.0</v>
      </c>
      <c r="G85" s="31" t="s">
        <v>52</v>
      </c>
      <c r="H85" s="31" t="s">
        <v>57</v>
      </c>
      <c r="I85" s="31">
        <v>170.0</v>
      </c>
      <c r="J85" s="31">
        <v>65.0</v>
      </c>
      <c r="K85" s="32">
        <v>3.0</v>
      </c>
      <c r="L85" s="32">
        <v>1.0</v>
      </c>
      <c r="M85" s="32">
        <v>1.0</v>
      </c>
      <c r="N85" s="32">
        <v>0.0</v>
      </c>
      <c r="O85" s="32">
        <v>0.0</v>
      </c>
      <c r="P85" s="32">
        <v>0.0</v>
      </c>
      <c r="Q85" s="32">
        <v>0.0</v>
      </c>
      <c r="R85" s="33" t="str">
        <f t="shared" si="3"/>
        <v>-</v>
      </c>
      <c r="S85" s="34" t="str">
        <f t="shared" si="4"/>
        <v>-</v>
      </c>
      <c r="T85" s="32">
        <v>0.0</v>
      </c>
      <c r="U85" s="32">
        <v>0.0</v>
      </c>
      <c r="V85" s="32">
        <v>0.0</v>
      </c>
      <c r="W85" s="32">
        <v>0.0</v>
      </c>
      <c r="X85" s="32">
        <v>0.0</v>
      </c>
      <c r="Y85" s="32">
        <v>0.0</v>
      </c>
      <c r="Z85" s="33" t="str">
        <f t="shared" si="5"/>
        <v>-</v>
      </c>
      <c r="AA85" s="32">
        <v>0.0</v>
      </c>
      <c r="AB85" s="33" t="str">
        <f t="shared" si="6"/>
        <v>-</v>
      </c>
      <c r="AC85" s="23">
        <f t="shared" si="7"/>
        <v>0</v>
      </c>
      <c r="AD85" s="35">
        <f t="shared" si="8"/>
        <v>1</v>
      </c>
      <c r="AE85" s="32">
        <v>1.0</v>
      </c>
      <c r="AF85" s="32">
        <v>0.0</v>
      </c>
      <c r="AG85" s="36">
        <f t="shared" si="9"/>
        <v>100</v>
      </c>
      <c r="AH85" s="32">
        <v>0.0</v>
      </c>
      <c r="AI85" s="34" t="str">
        <f t="shared" si="10"/>
        <v>0</v>
      </c>
      <c r="AJ85" s="14"/>
      <c r="AK85" s="14"/>
      <c r="AL85" s="27">
        <f t="shared" si="11"/>
        <v>0</v>
      </c>
      <c r="AM85" s="27" t="str">
        <f t="shared" si="12"/>
        <v>-</v>
      </c>
      <c r="AN85" s="28" t="str">
        <f t="shared" si="13"/>
        <v>-</v>
      </c>
      <c r="AO85" s="27">
        <f t="shared" si="14"/>
        <v>0</v>
      </c>
      <c r="AP85" s="27">
        <f t="shared" si="15"/>
        <v>0</v>
      </c>
      <c r="AQ85" s="27" t="str">
        <f t="shared" ref="AQ85:AR85" si="98">iferror(AB85/$M85,"-")</f>
        <v>-</v>
      </c>
      <c r="AR85" s="27">
        <f t="shared" si="98"/>
        <v>0</v>
      </c>
      <c r="AS85" s="29">
        <f t="shared" si="17"/>
        <v>0</v>
      </c>
      <c r="AT85" s="29" t="str">
        <f t="shared" si="18"/>
        <v>0</v>
      </c>
      <c r="AU85" s="14"/>
      <c r="AV85" s="14"/>
      <c r="AW85" s="14"/>
      <c r="AX85" s="14"/>
    </row>
    <row r="86">
      <c r="B86" s="17">
        <v>83.0</v>
      </c>
      <c r="C86" s="18">
        <f t="shared" si="2"/>
        <v>3</v>
      </c>
      <c r="D86" s="19" t="s">
        <v>138</v>
      </c>
      <c r="E86" s="19" t="s">
        <v>141</v>
      </c>
      <c r="F86" s="31">
        <v>3.0</v>
      </c>
      <c r="G86" s="31" t="s">
        <v>50</v>
      </c>
      <c r="H86" s="31" t="s">
        <v>48</v>
      </c>
      <c r="I86" s="31">
        <v>166.0</v>
      </c>
      <c r="J86" s="31">
        <v>65.0</v>
      </c>
      <c r="K86" s="32">
        <v>5.0</v>
      </c>
      <c r="L86" s="32">
        <v>0.0</v>
      </c>
      <c r="M86" s="32">
        <v>0.0</v>
      </c>
      <c r="N86" s="32">
        <v>0.0</v>
      </c>
      <c r="O86" s="32">
        <v>0.0</v>
      </c>
      <c r="P86" s="32">
        <v>0.0</v>
      </c>
      <c r="Q86" s="32">
        <v>0.0</v>
      </c>
      <c r="R86" s="33" t="str">
        <f t="shared" si="3"/>
        <v>-</v>
      </c>
      <c r="S86" s="34" t="str">
        <f t="shared" si="4"/>
        <v>-</v>
      </c>
      <c r="T86" s="32">
        <v>0.0</v>
      </c>
      <c r="U86" s="32">
        <v>0.0</v>
      </c>
      <c r="V86" s="32">
        <v>0.0</v>
      </c>
      <c r="W86" s="32">
        <v>0.0</v>
      </c>
      <c r="X86" s="32">
        <v>0.0</v>
      </c>
      <c r="Y86" s="32">
        <v>0.0</v>
      </c>
      <c r="Z86" s="33" t="str">
        <f t="shared" si="5"/>
        <v>-</v>
      </c>
      <c r="AA86" s="32">
        <v>0.0</v>
      </c>
      <c r="AB86" s="33" t="str">
        <f t="shared" si="6"/>
        <v>-</v>
      </c>
      <c r="AC86" s="23">
        <f t="shared" si="7"/>
        <v>0</v>
      </c>
      <c r="AD86" s="33" t="str">
        <f t="shared" si="8"/>
        <v>-</v>
      </c>
      <c r="AE86" s="32">
        <v>0.0</v>
      </c>
      <c r="AF86" s="32">
        <v>0.0</v>
      </c>
      <c r="AG86" s="36" t="str">
        <f t="shared" si="9"/>
        <v>-</v>
      </c>
      <c r="AH86" s="32">
        <v>0.0</v>
      </c>
      <c r="AI86" s="34" t="str">
        <f t="shared" si="10"/>
        <v>-</v>
      </c>
      <c r="AJ86" s="14"/>
      <c r="AK86" s="14"/>
      <c r="AL86" s="27" t="str">
        <f t="shared" si="11"/>
        <v>-</v>
      </c>
      <c r="AM86" s="27" t="str">
        <f t="shared" si="12"/>
        <v>-</v>
      </c>
      <c r="AN86" s="28" t="str">
        <f t="shared" si="13"/>
        <v>-</v>
      </c>
      <c r="AO86" s="27" t="str">
        <f t="shared" si="14"/>
        <v>-</v>
      </c>
      <c r="AP86" s="27" t="str">
        <f t="shared" si="15"/>
        <v>-</v>
      </c>
      <c r="AQ86" s="27" t="str">
        <f t="shared" ref="AQ86:AR86" si="99">iferror(AB86/$M86,"-")</f>
        <v>-</v>
      </c>
      <c r="AR86" s="27" t="str">
        <f t="shared" si="99"/>
        <v>-</v>
      </c>
      <c r="AS86" s="29" t="str">
        <f t="shared" si="17"/>
        <v>-</v>
      </c>
      <c r="AT86" s="29" t="str">
        <f t="shared" si="18"/>
        <v>-</v>
      </c>
      <c r="AU86" s="14"/>
      <c r="AV86" s="14"/>
      <c r="AW86" s="14"/>
      <c r="AX86" s="14"/>
    </row>
    <row r="87">
      <c r="B87" s="17">
        <v>84.0</v>
      </c>
      <c r="C87" s="18">
        <f t="shared" si="2"/>
        <v>4</v>
      </c>
      <c r="D87" s="19" t="s">
        <v>138</v>
      </c>
      <c r="E87" s="19" t="s">
        <v>142</v>
      </c>
      <c r="F87" s="31">
        <v>3.0</v>
      </c>
      <c r="G87" s="31" t="s">
        <v>54</v>
      </c>
      <c r="H87" s="31" t="s">
        <v>48</v>
      </c>
      <c r="I87" s="31">
        <v>169.0</v>
      </c>
      <c r="J87" s="31">
        <v>59.0</v>
      </c>
      <c r="K87" s="32">
        <v>6.0</v>
      </c>
      <c r="L87" s="32">
        <v>2.0</v>
      </c>
      <c r="M87" s="32">
        <v>7.0</v>
      </c>
      <c r="N87" s="32">
        <v>0.0</v>
      </c>
      <c r="O87" s="32">
        <v>55.0</v>
      </c>
      <c r="P87" s="32">
        <v>6.0</v>
      </c>
      <c r="Q87" s="32">
        <v>1.0</v>
      </c>
      <c r="R87" s="35">
        <f t="shared" si="3"/>
        <v>7</v>
      </c>
      <c r="S87" s="34">
        <f t="shared" si="4"/>
        <v>-0.14</v>
      </c>
      <c r="T87" s="32">
        <v>0.0</v>
      </c>
      <c r="U87" s="32">
        <v>0.0</v>
      </c>
      <c r="V87" s="32">
        <v>0.0</v>
      </c>
      <c r="W87" s="32">
        <v>22.0</v>
      </c>
      <c r="X87" s="32">
        <v>1.0</v>
      </c>
      <c r="Y87" s="32">
        <v>4.0</v>
      </c>
      <c r="Z87" s="35">
        <f t="shared" si="5"/>
        <v>27</v>
      </c>
      <c r="AA87" s="32">
        <v>5.0</v>
      </c>
      <c r="AB87" s="35">
        <f t="shared" si="6"/>
        <v>1</v>
      </c>
      <c r="AC87" s="23">
        <f t="shared" si="7"/>
        <v>1</v>
      </c>
      <c r="AD87" s="35">
        <f t="shared" si="8"/>
        <v>7</v>
      </c>
      <c r="AE87" s="32">
        <v>1.0</v>
      </c>
      <c r="AF87" s="32">
        <v>6.0</v>
      </c>
      <c r="AG87" s="36">
        <f t="shared" si="9"/>
        <v>14.28571429</v>
      </c>
      <c r="AH87" s="32">
        <v>16.0</v>
      </c>
      <c r="AI87" s="34" t="str">
        <f t="shared" si="10"/>
        <v>2.29</v>
      </c>
      <c r="AJ87" s="14"/>
      <c r="AK87" s="14"/>
      <c r="AL87" s="27">
        <f t="shared" si="11"/>
        <v>0</v>
      </c>
      <c r="AM87" s="27">
        <f t="shared" si="12"/>
        <v>1</v>
      </c>
      <c r="AN87" s="28">
        <f t="shared" si="13"/>
        <v>0</v>
      </c>
      <c r="AO87" s="27">
        <f t="shared" si="14"/>
        <v>0</v>
      </c>
      <c r="AP87" s="27">
        <f t="shared" si="15"/>
        <v>0.1428571429</v>
      </c>
      <c r="AQ87" s="27">
        <f t="shared" ref="AQ87:AR87" si="100">iferror(AB87/$M87,"-")</f>
        <v>0.1428571429</v>
      </c>
      <c r="AR87" s="27">
        <f t="shared" si="100"/>
        <v>0.1428571429</v>
      </c>
      <c r="AS87" s="29">
        <f t="shared" si="17"/>
        <v>0.8571428571</v>
      </c>
      <c r="AT87" s="29" t="str">
        <f t="shared" si="18"/>
        <v>2.29</v>
      </c>
      <c r="AU87" s="14"/>
      <c r="AV87" s="14"/>
      <c r="AW87" s="14"/>
      <c r="AX87" s="14"/>
    </row>
    <row r="88">
      <c r="B88" s="17">
        <v>85.0</v>
      </c>
      <c r="C88" s="18">
        <f t="shared" si="2"/>
        <v>5</v>
      </c>
      <c r="D88" s="19" t="s">
        <v>138</v>
      </c>
      <c r="E88" s="19" t="s">
        <v>143</v>
      </c>
      <c r="F88" s="31">
        <v>1.0</v>
      </c>
      <c r="G88" s="31" t="s">
        <v>57</v>
      </c>
      <c r="H88" s="31" t="s">
        <v>47</v>
      </c>
      <c r="I88" s="31">
        <v>182.0</v>
      </c>
      <c r="J88" s="31">
        <v>66.0</v>
      </c>
      <c r="K88" s="32">
        <v>7.0</v>
      </c>
      <c r="L88" s="32">
        <v>1.0</v>
      </c>
      <c r="M88" s="32">
        <v>2.0</v>
      </c>
      <c r="N88" s="32">
        <v>0.0</v>
      </c>
      <c r="O88" s="32">
        <v>1.0</v>
      </c>
      <c r="P88" s="32">
        <v>0.0</v>
      </c>
      <c r="Q88" s="32">
        <v>0.0</v>
      </c>
      <c r="R88" s="33" t="str">
        <f t="shared" si="3"/>
        <v>-</v>
      </c>
      <c r="S88" s="34" t="str">
        <f t="shared" si="4"/>
        <v>-</v>
      </c>
      <c r="T88" s="32">
        <v>0.0</v>
      </c>
      <c r="U88" s="32">
        <v>0.0</v>
      </c>
      <c r="V88" s="32">
        <v>0.0</v>
      </c>
      <c r="W88" s="32">
        <v>0.0</v>
      </c>
      <c r="X88" s="32">
        <v>0.0</v>
      </c>
      <c r="Y88" s="32">
        <v>0.0</v>
      </c>
      <c r="Z88" s="33" t="str">
        <f t="shared" si="5"/>
        <v>-</v>
      </c>
      <c r="AA88" s="32">
        <v>0.0</v>
      </c>
      <c r="AB88" s="33" t="str">
        <f t="shared" si="6"/>
        <v>-</v>
      </c>
      <c r="AC88" s="23">
        <f t="shared" si="7"/>
        <v>0</v>
      </c>
      <c r="AD88" s="33" t="str">
        <f t="shared" si="8"/>
        <v>-</v>
      </c>
      <c r="AE88" s="32">
        <v>0.0</v>
      </c>
      <c r="AF88" s="32">
        <v>0.0</v>
      </c>
      <c r="AG88" s="36" t="str">
        <f t="shared" si="9"/>
        <v>-</v>
      </c>
      <c r="AH88" s="32">
        <v>1.0</v>
      </c>
      <c r="AI88" s="34" t="str">
        <f t="shared" si="10"/>
        <v>0.50</v>
      </c>
      <c r="AJ88" s="14"/>
      <c r="AK88" s="14"/>
      <c r="AL88" s="27">
        <f t="shared" si="11"/>
        <v>0</v>
      </c>
      <c r="AM88" s="27" t="str">
        <f t="shared" si="12"/>
        <v>-</v>
      </c>
      <c r="AN88" s="28" t="str">
        <f t="shared" si="13"/>
        <v>-</v>
      </c>
      <c r="AO88" s="27">
        <f t="shared" si="14"/>
        <v>0</v>
      </c>
      <c r="AP88" s="27">
        <f t="shared" si="15"/>
        <v>0</v>
      </c>
      <c r="AQ88" s="27" t="str">
        <f t="shared" ref="AQ88:AR88" si="101">iferror(AB88/$M88,"-")</f>
        <v>-</v>
      </c>
      <c r="AR88" s="27">
        <f t="shared" si="101"/>
        <v>0</v>
      </c>
      <c r="AS88" s="29">
        <f t="shared" si="17"/>
        <v>0</v>
      </c>
      <c r="AT88" s="29" t="str">
        <f t="shared" si="18"/>
        <v>0.50</v>
      </c>
      <c r="AU88" s="14"/>
      <c r="AV88" s="14"/>
      <c r="AW88" s="14"/>
      <c r="AX88" s="14"/>
    </row>
    <row r="89">
      <c r="B89" s="17">
        <v>86.0</v>
      </c>
      <c r="C89" s="18">
        <f t="shared" si="2"/>
        <v>6</v>
      </c>
      <c r="D89" s="19" t="s">
        <v>138</v>
      </c>
      <c r="E89" s="19" t="s">
        <v>144</v>
      </c>
      <c r="F89" s="31">
        <v>3.0</v>
      </c>
      <c r="G89" s="31" t="s">
        <v>50</v>
      </c>
      <c r="H89" s="31" t="s">
        <v>57</v>
      </c>
      <c r="I89" s="31">
        <v>174.0</v>
      </c>
      <c r="J89" s="31">
        <v>63.0</v>
      </c>
      <c r="K89" s="32">
        <v>8.0</v>
      </c>
      <c r="L89" s="32">
        <v>2.0</v>
      </c>
      <c r="M89" s="32">
        <v>7.0</v>
      </c>
      <c r="N89" s="32">
        <v>0.0</v>
      </c>
      <c r="O89" s="32">
        <v>3.0</v>
      </c>
      <c r="P89" s="32">
        <v>0.0</v>
      </c>
      <c r="Q89" s="32">
        <v>0.0</v>
      </c>
      <c r="R89" s="33" t="str">
        <f t="shared" si="3"/>
        <v>-</v>
      </c>
      <c r="S89" s="34" t="str">
        <f t="shared" si="4"/>
        <v>-</v>
      </c>
      <c r="T89" s="32">
        <v>0.0</v>
      </c>
      <c r="U89" s="32">
        <v>0.0</v>
      </c>
      <c r="V89" s="32">
        <v>0.0</v>
      </c>
      <c r="W89" s="32">
        <v>0.0</v>
      </c>
      <c r="X89" s="32">
        <v>0.0</v>
      </c>
      <c r="Y89" s="32">
        <v>0.0</v>
      </c>
      <c r="Z89" s="33" t="str">
        <f t="shared" si="5"/>
        <v>-</v>
      </c>
      <c r="AA89" s="32">
        <v>0.0</v>
      </c>
      <c r="AB89" s="33" t="str">
        <f t="shared" si="6"/>
        <v>-</v>
      </c>
      <c r="AC89" s="23">
        <f t="shared" si="7"/>
        <v>0</v>
      </c>
      <c r="AD89" s="35">
        <f t="shared" si="8"/>
        <v>31</v>
      </c>
      <c r="AE89" s="32">
        <v>28.0</v>
      </c>
      <c r="AF89" s="32">
        <v>3.0</v>
      </c>
      <c r="AG89" s="36">
        <f t="shared" si="9"/>
        <v>90.32258065</v>
      </c>
      <c r="AH89" s="32">
        <v>20.0</v>
      </c>
      <c r="AI89" s="34" t="str">
        <f t="shared" si="10"/>
        <v>2.86</v>
      </c>
      <c r="AJ89" s="14"/>
      <c r="AK89" s="14"/>
      <c r="AL89" s="27">
        <f t="shared" si="11"/>
        <v>0</v>
      </c>
      <c r="AM89" s="27" t="str">
        <f t="shared" si="12"/>
        <v>-</v>
      </c>
      <c r="AN89" s="28" t="str">
        <f t="shared" si="13"/>
        <v>-</v>
      </c>
      <c r="AO89" s="27">
        <f t="shared" si="14"/>
        <v>0</v>
      </c>
      <c r="AP89" s="27">
        <f t="shared" si="15"/>
        <v>0</v>
      </c>
      <c r="AQ89" s="27" t="str">
        <f t="shared" ref="AQ89:AR89" si="102">iferror(AB89/$M89,"-")</f>
        <v>-</v>
      </c>
      <c r="AR89" s="27">
        <f t="shared" si="102"/>
        <v>0</v>
      </c>
      <c r="AS89" s="29">
        <f t="shared" si="17"/>
        <v>0.4285714286</v>
      </c>
      <c r="AT89" s="29" t="str">
        <f t="shared" si="18"/>
        <v>2.86</v>
      </c>
      <c r="AU89" s="14"/>
      <c r="AV89" s="14"/>
      <c r="AW89" s="14"/>
      <c r="AX89" s="14"/>
    </row>
    <row r="90">
      <c r="B90" s="17">
        <v>87.0</v>
      </c>
      <c r="C90" s="18">
        <f t="shared" si="2"/>
        <v>7</v>
      </c>
      <c r="D90" s="19" t="s">
        <v>138</v>
      </c>
      <c r="E90" s="19" t="s">
        <v>145</v>
      </c>
      <c r="F90" s="31">
        <v>2.0</v>
      </c>
      <c r="G90" s="31" t="s">
        <v>50</v>
      </c>
      <c r="H90" s="31" t="s">
        <v>48</v>
      </c>
      <c r="I90" s="31">
        <v>163.0</v>
      </c>
      <c r="J90" s="31">
        <v>63.0</v>
      </c>
      <c r="K90" s="32">
        <v>9.0</v>
      </c>
      <c r="L90" s="32">
        <v>2.0</v>
      </c>
      <c r="M90" s="32">
        <v>3.0</v>
      </c>
      <c r="N90" s="32">
        <v>0.0</v>
      </c>
      <c r="O90" s="32">
        <v>2.0</v>
      </c>
      <c r="P90" s="32">
        <v>0.0</v>
      </c>
      <c r="Q90" s="32">
        <v>0.0</v>
      </c>
      <c r="R90" s="33" t="str">
        <f t="shared" si="3"/>
        <v>-</v>
      </c>
      <c r="S90" s="34" t="str">
        <f t="shared" si="4"/>
        <v>-</v>
      </c>
      <c r="T90" s="32">
        <v>0.0</v>
      </c>
      <c r="U90" s="32">
        <v>0.0</v>
      </c>
      <c r="V90" s="32">
        <v>0.0</v>
      </c>
      <c r="W90" s="32">
        <v>0.0</v>
      </c>
      <c r="X90" s="32">
        <v>0.0</v>
      </c>
      <c r="Y90" s="32">
        <v>0.0</v>
      </c>
      <c r="Z90" s="33" t="str">
        <f t="shared" si="5"/>
        <v>-</v>
      </c>
      <c r="AA90" s="32">
        <v>0.0</v>
      </c>
      <c r="AB90" s="33" t="str">
        <f t="shared" si="6"/>
        <v>-</v>
      </c>
      <c r="AC90" s="23">
        <f t="shared" si="7"/>
        <v>0</v>
      </c>
      <c r="AD90" s="35">
        <f t="shared" si="8"/>
        <v>8</v>
      </c>
      <c r="AE90" s="32">
        <v>7.0</v>
      </c>
      <c r="AF90" s="32">
        <v>1.0</v>
      </c>
      <c r="AG90" s="36">
        <f t="shared" si="9"/>
        <v>87.5</v>
      </c>
      <c r="AH90" s="32">
        <v>2.0</v>
      </c>
      <c r="AI90" s="34" t="str">
        <f t="shared" si="10"/>
        <v>0.67</v>
      </c>
      <c r="AJ90" s="14"/>
      <c r="AK90" s="14"/>
      <c r="AL90" s="27">
        <f t="shared" si="11"/>
        <v>0</v>
      </c>
      <c r="AM90" s="27" t="str">
        <f t="shared" si="12"/>
        <v>-</v>
      </c>
      <c r="AN90" s="28" t="str">
        <f t="shared" si="13"/>
        <v>-</v>
      </c>
      <c r="AO90" s="27">
        <f t="shared" si="14"/>
        <v>0</v>
      </c>
      <c r="AP90" s="27">
        <f t="shared" si="15"/>
        <v>0</v>
      </c>
      <c r="AQ90" s="27" t="str">
        <f t="shared" ref="AQ90:AR90" si="103">iferror(AB90/$M90,"-")</f>
        <v>-</v>
      </c>
      <c r="AR90" s="27">
        <f t="shared" si="103"/>
        <v>0</v>
      </c>
      <c r="AS90" s="29">
        <f t="shared" si="17"/>
        <v>0.3333333333</v>
      </c>
      <c r="AT90" s="29" t="str">
        <f t="shared" si="18"/>
        <v>0.67</v>
      </c>
      <c r="AU90" s="14"/>
      <c r="AV90" s="14"/>
      <c r="AW90" s="14"/>
      <c r="AX90" s="14"/>
    </row>
    <row r="91">
      <c r="B91" s="17">
        <v>88.0</v>
      </c>
      <c r="C91" s="18">
        <f t="shared" si="2"/>
        <v>8</v>
      </c>
      <c r="D91" s="19" t="s">
        <v>138</v>
      </c>
      <c r="E91" s="19" t="s">
        <v>146</v>
      </c>
      <c r="F91" s="31">
        <v>2.0</v>
      </c>
      <c r="G91" s="31" t="s">
        <v>57</v>
      </c>
      <c r="H91" s="31" t="s">
        <v>47</v>
      </c>
      <c r="I91" s="31">
        <v>174.0</v>
      </c>
      <c r="J91" s="31">
        <v>65.0</v>
      </c>
      <c r="K91" s="32">
        <v>10.0</v>
      </c>
      <c r="L91" s="32">
        <v>2.0</v>
      </c>
      <c r="M91" s="32">
        <v>7.0</v>
      </c>
      <c r="N91" s="32">
        <v>24.0</v>
      </c>
      <c r="O91" s="32">
        <v>2.0</v>
      </c>
      <c r="P91" s="32">
        <v>35.0</v>
      </c>
      <c r="Q91" s="32">
        <v>8.0</v>
      </c>
      <c r="R91" s="35">
        <f t="shared" si="3"/>
        <v>67</v>
      </c>
      <c r="S91" s="34">
        <f t="shared" si="4"/>
        <v>0.24</v>
      </c>
      <c r="T91" s="32">
        <v>2.0</v>
      </c>
      <c r="U91" s="32">
        <v>0.0</v>
      </c>
      <c r="V91" s="32">
        <v>3.0</v>
      </c>
      <c r="W91" s="32">
        <v>22.0</v>
      </c>
      <c r="X91" s="32">
        <v>1.0</v>
      </c>
      <c r="Y91" s="32">
        <v>1.0</v>
      </c>
      <c r="Z91" s="35">
        <f t="shared" si="5"/>
        <v>24</v>
      </c>
      <c r="AA91" s="32">
        <v>2.0</v>
      </c>
      <c r="AB91" s="35">
        <f t="shared" si="6"/>
        <v>27</v>
      </c>
      <c r="AC91" s="23">
        <f t="shared" si="7"/>
        <v>29.25</v>
      </c>
      <c r="AD91" s="35">
        <f t="shared" si="8"/>
        <v>22</v>
      </c>
      <c r="AE91" s="32">
        <v>18.0</v>
      </c>
      <c r="AF91" s="32">
        <v>4.0</v>
      </c>
      <c r="AG91" s="36">
        <f t="shared" si="9"/>
        <v>81.81818182</v>
      </c>
      <c r="AH91" s="32">
        <v>4.0</v>
      </c>
      <c r="AI91" s="34" t="str">
        <f t="shared" si="10"/>
        <v>0.57</v>
      </c>
      <c r="AJ91" s="14"/>
      <c r="AK91" s="14"/>
      <c r="AL91" s="27">
        <f t="shared" si="11"/>
        <v>3.428571429</v>
      </c>
      <c r="AM91" s="27">
        <f t="shared" si="12"/>
        <v>9.571428571</v>
      </c>
      <c r="AN91" s="28">
        <f t="shared" si="13"/>
        <v>0.3582089552</v>
      </c>
      <c r="AO91" s="27">
        <f t="shared" si="14"/>
        <v>0.2857142857</v>
      </c>
      <c r="AP91" s="27">
        <f t="shared" si="15"/>
        <v>0.1428571429</v>
      </c>
      <c r="AQ91" s="27">
        <f t="shared" ref="AQ91:AR91" si="104">iferror(AB91/$M91,"-")</f>
        <v>3.857142857</v>
      </c>
      <c r="AR91" s="27">
        <f t="shared" si="104"/>
        <v>4.178571429</v>
      </c>
      <c r="AS91" s="29">
        <f t="shared" si="17"/>
        <v>0.5714285714</v>
      </c>
      <c r="AT91" s="29" t="str">
        <f t="shared" si="18"/>
        <v>0.57</v>
      </c>
      <c r="AU91" s="14"/>
      <c r="AV91" s="14"/>
      <c r="AW91" s="14"/>
      <c r="AX91" s="14"/>
    </row>
    <row r="92">
      <c r="B92" s="17">
        <v>89.0</v>
      </c>
      <c r="C92" s="18">
        <f t="shared" si="2"/>
        <v>9</v>
      </c>
      <c r="D92" s="19" t="s">
        <v>138</v>
      </c>
      <c r="E92" s="19" t="s">
        <v>147</v>
      </c>
      <c r="F92" s="31">
        <v>3.0</v>
      </c>
      <c r="G92" s="31" t="s">
        <v>52</v>
      </c>
      <c r="H92" s="31" t="s">
        <v>57</v>
      </c>
      <c r="I92" s="31">
        <v>170.0</v>
      </c>
      <c r="J92" s="31">
        <v>58.0</v>
      </c>
      <c r="K92" s="32">
        <v>14.0</v>
      </c>
      <c r="L92" s="32">
        <v>2.0</v>
      </c>
      <c r="M92" s="32">
        <v>7.0</v>
      </c>
      <c r="N92" s="32">
        <v>19.0</v>
      </c>
      <c r="O92" s="32">
        <v>0.0</v>
      </c>
      <c r="P92" s="32">
        <v>20.0</v>
      </c>
      <c r="Q92" s="32">
        <v>16.0</v>
      </c>
      <c r="R92" s="35">
        <f t="shared" si="3"/>
        <v>55</v>
      </c>
      <c r="S92" s="34">
        <f t="shared" si="4"/>
        <v>0.05</v>
      </c>
      <c r="T92" s="32">
        <v>2.0</v>
      </c>
      <c r="U92" s="32">
        <v>0.0</v>
      </c>
      <c r="V92" s="32">
        <v>1.0</v>
      </c>
      <c r="W92" s="32">
        <v>22.0</v>
      </c>
      <c r="X92" s="32">
        <v>1.0</v>
      </c>
      <c r="Y92" s="32">
        <v>2.0</v>
      </c>
      <c r="Z92" s="35">
        <f t="shared" si="5"/>
        <v>25</v>
      </c>
      <c r="AA92" s="32">
        <v>0.0</v>
      </c>
      <c r="AB92" s="35">
        <f t="shared" si="6"/>
        <v>22</v>
      </c>
      <c r="AC92" s="23">
        <f t="shared" si="7"/>
        <v>22.75</v>
      </c>
      <c r="AD92" s="35">
        <f t="shared" si="8"/>
        <v>30</v>
      </c>
      <c r="AE92" s="32">
        <v>30.0</v>
      </c>
      <c r="AF92" s="32">
        <v>0.0</v>
      </c>
      <c r="AG92" s="36">
        <f t="shared" si="9"/>
        <v>100</v>
      </c>
      <c r="AH92" s="32">
        <v>9.0</v>
      </c>
      <c r="AI92" s="34" t="str">
        <f t="shared" si="10"/>
        <v>1.29</v>
      </c>
      <c r="AJ92" s="14"/>
      <c r="AK92" s="14"/>
      <c r="AL92" s="27">
        <f t="shared" si="11"/>
        <v>2.714285714</v>
      </c>
      <c r="AM92" s="27">
        <f t="shared" si="12"/>
        <v>7.857142857</v>
      </c>
      <c r="AN92" s="28">
        <f t="shared" si="13"/>
        <v>0.3454545455</v>
      </c>
      <c r="AO92" s="27">
        <f t="shared" si="14"/>
        <v>0.2857142857</v>
      </c>
      <c r="AP92" s="27">
        <f t="shared" si="15"/>
        <v>0.1428571429</v>
      </c>
      <c r="AQ92" s="27">
        <f t="shared" ref="AQ92:AR92" si="105">iferror(AB92/$M92,"-")</f>
        <v>3.142857143</v>
      </c>
      <c r="AR92" s="27">
        <f t="shared" si="105"/>
        <v>3.25</v>
      </c>
      <c r="AS92" s="29">
        <f t="shared" si="17"/>
        <v>0</v>
      </c>
      <c r="AT92" s="29" t="str">
        <f t="shared" si="18"/>
        <v>1.29</v>
      </c>
      <c r="AU92" s="14"/>
      <c r="AV92" s="14"/>
      <c r="AW92" s="14"/>
      <c r="AX92" s="14"/>
    </row>
    <row r="93">
      <c r="B93" s="17">
        <v>90.0</v>
      </c>
      <c r="C93" s="18">
        <f t="shared" si="2"/>
        <v>10</v>
      </c>
      <c r="D93" s="19" t="s">
        <v>138</v>
      </c>
      <c r="E93" s="19" t="s">
        <v>148</v>
      </c>
      <c r="F93" s="31">
        <v>3.0</v>
      </c>
      <c r="G93" s="31" t="s">
        <v>52</v>
      </c>
      <c r="H93" s="31" t="s">
        <v>57</v>
      </c>
      <c r="I93" s="31">
        <v>178.0</v>
      </c>
      <c r="J93" s="31">
        <v>68.0</v>
      </c>
      <c r="K93" s="32">
        <v>17.0</v>
      </c>
      <c r="L93" s="32">
        <v>2.0</v>
      </c>
      <c r="M93" s="32">
        <v>7.0</v>
      </c>
      <c r="N93" s="32">
        <v>19.0</v>
      </c>
      <c r="O93" s="32">
        <v>0.0</v>
      </c>
      <c r="P93" s="32">
        <v>22.0</v>
      </c>
      <c r="Q93" s="32">
        <v>7.0</v>
      </c>
      <c r="R93" s="35">
        <f t="shared" si="3"/>
        <v>48</v>
      </c>
      <c r="S93" s="34">
        <f t="shared" si="4"/>
        <v>0.25</v>
      </c>
      <c r="T93" s="32">
        <v>6.0</v>
      </c>
      <c r="U93" s="32">
        <v>0.0</v>
      </c>
      <c r="V93" s="32">
        <v>0.0</v>
      </c>
      <c r="W93" s="32">
        <v>18.0</v>
      </c>
      <c r="X93" s="32">
        <v>3.0</v>
      </c>
      <c r="Y93" s="32">
        <v>6.0</v>
      </c>
      <c r="Z93" s="35">
        <f t="shared" si="5"/>
        <v>27</v>
      </c>
      <c r="AA93" s="32">
        <v>0.0</v>
      </c>
      <c r="AB93" s="35">
        <f t="shared" si="6"/>
        <v>28</v>
      </c>
      <c r="AC93" s="23">
        <f t="shared" si="7"/>
        <v>28</v>
      </c>
      <c r="AD93" s="33" t="str">
        <f t="shared" si="8"/>
        <v>-</v>
      </c>
      <c r="AE93" s="32">
        <v>0.0</v>
      </c>
      <c r="AF93" s="32">
        <v>0.0</v>
      </c>
      <c r="AG93" s="36" t="str">
        <f t="shared" si="9"/>
        <v>-</v>
      </c>
      <c r="AH93" s="32">
        <v>7.0</v>
      </c>
      <c r="AI93" s="34" t="str">
        <f t="shared" si="10"/>
        <v>1</v>
      </c>
      <c r="AJ93" s="14"/>
      <c r="AK93" s="14"/>
      <c r="AL93" s="27">
        <f t="shared" si="11"/>
        <v>2.714285714</v>
      </c>
      <c r="AM93" s="27">
        <f t="shared" si="12"/>
        <v>6.857142857</v>
      </c>
      <c r="AN93" s="28">
        <f t="shared" si="13"/>
        <v>0.3958333333</v>
      </c>
      <c r="AO93" s="27">
        <f t="shared" si="14"/>
        <v>0.8571428571</v>
      </c>
      <c r="AP93" s="27">
        <f t="shared" si="15"/>
        <v>0.4285714286</v>
      </c>
      <c r="AQ93" s="27">
        <f t="shared" ref="AQ93:AR93" si="106">iferror(AB93/$M93,"-")</f>
        <v>4</v>
      </c>
      <c r="AR93" s="27">
        <f t="shared" si="106"/>
        <v>4</v>
      </c>
      <c r="AS93" s="29">
        <f t="shared" si="17"/>
        <v>0</v>
      </c>
      <c r="AT93" s="29" t="str">
        <f t="shared" si="18"/>
        <v>1</v>
      </c>
      <c r="AU93" s="14"/>
      <c r="AV93" s="14"/>
      <c r="AW93" s="14"/>
      <c r="AX93" s="14"/>
    </row>
    <row r="94">
      <c r="B94" s="17">
        <v>91.0</v>
      </c>
      <c r="C94" s="18">
        <f t="shared" si="2"/>
        <v>11</v>
      </c>
      <c r="D94" s="19" t="s">
        <v>138</v>
      </c>
      <c r="E94" s="19" t="s">
        <v>149</v>
      </c>
      <c r="F94" s="31">
        <v>1.0</v>
      </c>
      <c r="G94" s="31" t="s">
        <v>52</v>
      </c>
      <c r="H94" s="31" t="s">
        <v>57</v>
      </c>
      <c r="I94" s="31">
        <v>167.0</v>
      </c>
      <c r="J94" s="31">
        <v>57.0</v>
      </c>
      <c r="K94" s="32">
        <v>18.0</v>
      </c>
      <c r="L94" s="20">
        <v>2.0</v>
      </c>
      <c r="M94" s="20">
        <v>7.0</v>
      </c>
      <c r="N94" s="20">
        <v>9.0</v>
      </c>
      <c r="O94" s="20">
        <v>0.0</v>
      </c>
      <c r="P94" s="20">
        <v>13.0</v>
      </c>
      <c r="Q94" s="20">
        <v>6.0</v>
      </c>
      <c r="R94" s="35">
        <f t="shared" si="3"/>
        <v>28</v>
      </c>
      <c r="S94" s="34">
        <f t="shared" si="4"/>
        <v>0.11</v>
      </c>
      <c r="T94" s="20">
        <v>1.0</v>
      </c>
      <c r="U94" s="20">
        <v>0.0</v>
      </c>
      <c r="V94" s="32">
        <v>0.0</v>
      </c>
      <c r="W94" s="32">
        <v>18.0</v>
      </c>
      <c r="X94" s="32">
        <v>4.0</v>
      </c>
      <c r="Y94" s="32">
        <v>4.0</v>
      </c>
      <c r="Z94" s="35">
        <f t="shared" si="5"/>
        <v>26</v>
      </c>
      <c r="AA94" s="32">
        <v>0.0</v>
      </c>
      <c r="AB94" s="35">
        <f t="shared" si="6"/>
        <v>14</v>
      </c>
      <c r="AC94" s="23">
        <f t="shared" si="7"/>
        <v>14</v>
      </c>
      <c r="AD94" s="35">
        <f t="shared" si="8"/>
        <v>2</v>
      </c>
      <c r="AE94" s="32">
        <v>2.0</v>
      </c>
      <c r="AF94" s="32">
        <v>0.0</v>
      </c>
      <c r="AG94" s="36">
        <f t="shared" si="9"/>
        <v>100</v>
      </c>
      <c r="AH94" s="20">
        <v>10.0</v>
      </c>
      <c r="AI94" s="34" t="str">
        <f t="shared" si="10"/>
        <v>1.43</v>
      </c>
      <c r="AJ94" s="14"/>
      <c r="AK94" s="14"/>
      <c r="AL94" s="27">
        <f t="shared" si="11"/>
        <v>1.285714286</v>
      </c>
      <c r="AM94" s="27">
        <f t="shared" si="12"/>
        <v>4</v>
      </c>
      <c r="AN94" s="28">
        <f t="shared" si="13"/>
        <v>0.3214285714</v>
      </c>
      <c r="AO94" s="27">
        <f t="shared" si="14"/>
        <v>0.1428571429</v>
      </c>
      <c r="AP94" s="27">
        <f t="shared" si="15"/>
        <v>0.5714285714</v>
      </c>
      <c r="AQ94" s="27">
        <f t="shared" ref="AQ94:AR94" si="107">iferror(AB94/$M94,"-")</f>
        <v>2</v>
      </c>
      <c r="AR94" s="27">
        <f t="shared" si="107"/>
        <v>2</v>
      </c>
      <c r="AS94" s="29">
        <f t="shared" si="17"/>
        <v>0</v>
      </c>
      <c r="AT94" s="29" t="str">
        <f t="shared" si="18"/>
        <v>1.43</v>
      </c>
      <c r="AU94" s="14"/>
      <c r="AV94" s="14"/>
      <c r="AW94" s="14"/>
      <c r="AX94" s="14"/>
    </row>
    <row r="95">
      <c r="B95" s="17">
        <v>92.0</v>
      </c>
      <c r="C95" s="18">
        <f t="shared" si="2"/>
        <v>12</v>
      </c>
      <c r="D95" s="19" t="s">
        <v>138</v>
      </c>
      <c r="E95" s="19" t="s">
        <v>150</v>
      </c>
      <c r="F95" s="31">
        <v>1.0</v>
      </c>
      <c r="G95" s="31" t="s">
        <v>54</v>
      </c>
      <c r="H95" s="31" t="s">
        <v>48</v>
      </c>
      <c r="I95" s="31">
        <v>162.0</v>
      </c>
      <c r="J95" s="31">
        <v>58.0</v>
      </c>
      <c r="K95" s="32">
        <v>19.0</v>
      </c>
      <c r="L95" s="20">
        <v>2.0</v>
      </c>
      <c r="M95" s="20">
        <v>4.0</v>
      </c>
      <c r="N95" s="20">
        <v>0.0</v>
      </c>
      <c r="O95" s="20">
        <v>3.0</v>
      </c>
      <c r="P95" s="20">
        <v>0.0</v>
      </c>
      <c r="Q95" s="20">
        <v>0.0</v>
      </c>
      <c r="R95" s="33" t="str">
        <f t="shared" si="3"/>
        <v>-</v>
      </c>
      <c r="S95" s="34" t="str">
        <f t="shared" si="4"/>
        <v>-</v>
      </c>
      <c r="T95" s="20">
        <v>0.0</v>
      </c>
      <c r="U95" s="20">
        <v>0.0</v>
      </c>
      <c r="V95" s="32">
        <v>0.0</v>
      </c>
      <c r="W95" s="32">
        <v>7.0</v>
      </c>
      <c r="X95" s="32">
        <v>1.0</v>
      </c>
      <c r="Y95" s="32">
        <v>0.0</v>
      </c>
      <c r="Z95" s="35">
        <f t="shared" si="5"/>
        <v>8</v>
      </c>
      <c r="AA95" s="32">
        <v>0.0</v>
      </c>
      <c r="AB95" s="35">
        <f t="shared" si="6"/>
        <v>1</v>
      </c>
      <c r="AC95" s="23">
        <f t="shared" si="7"/>
        <v>1</v>
      </c>
      <c r="AD95" s="33" t="str">
        <f t="shared" si="8"/>
        <v>-</v>
      </c>
      <c r="AE95" s="32">
        <v>0.0</v>
      </c>
      <c r="AF95" s="32">
        <v>0.0</v>
      </c>
      <c r="AG95" s="36" t="str">
        <f t="shared" si="9"/>
        <v>-</v>
      </c>
      <c r="AH95" s="20">
        <v>0.0</v>
      </c>
      <c r="AI95" s="34" t="str">
        <f t="shared" si="10"/>
        <v>0</v>
      </c>
      <c r="AJ95" s="14"/>
      <c r="AK95" s="14"/>
      <c r="AL95" s="27">
        <f t="shared" si="11"/>
        <v>0</v>
      </c>
      <c r="AM95" s="27" t="str">
        <f t="shared" si="12"/>
        <v>-</v>
      </c>
      <c r="AN95" s="28" t="str">
        <f t="shared" si="13"/>
        <v>-</v>
      </c>
      <c r="AO95" s="27">
        <f t="shared" si="14"/>
        <v>0</v>
      </c>
      <c r="AP95" s="27">
        <f t="shared" si="15"/>
        <v>0.25</v>
      </c>
      <c r="AQ95" s="27">
        <f t="shared" ref="AQ95:AR95" si="108">iferror(AB95/$M95,"-")</f>
        <v>0.25</v>
      </c>
      <c r="AR95" s="27">
        <f t="shared" si="108"/>
        <v>0.25</v>
      </c>
      <c r="AS95" s="29">
        <f t="shared" si="17"/>
        <v>0</v>
      </c>
      <c r="AT95" s="29" t="str">
        <f t="shared" si="18"/>
        <v>0</v>
      </c>
      <c r="AU95" s="14"/>
      <c r="AV95" s="14"/>
      <c r="AW95" s="14"/>
      <c r="AX95" s="14"/>
    </row>
    <row r="96">
      <c r="B96" s="17">
        <v>93.0</v>
      </c>
      <c r="C96" s="18">
        <f t="shared" si="2"/>
        <v>1</v>
      </c>
      <c r="D96" s="19" t="s">
        <v>151</v>
      </c>
      <c r="E96" s="19" t="s">
        <v>152</v>
      </c>
      <c r="F96" s="31">
        <v>1.0</v>
      </c>
      <c r="G96" s="31" t="s">
        <v>52</v>
      </c>
      <c r="H96" s="31" t="s">
        <v>57</v>
      </c>
      <c r="I96" s="31">
        <v>177.0</v>
      </c>
      <c r="J96" s="31">
        <v>69.0</v>
      </c>
      <c r="K96" s="32">
        <v>1.0</v>
      </c>
      <c r="L96" s="20">
        <v>2.0</v>
      </c>
      <c r="M96" s="20">
        <v>7.0</v>
      </c>
      <c r="N96" s="20">
        <v>10.0</v>
      </c>
      <c r="O96" s="20">
        <v>2.0</v>
      </c>
      <c r="P96" s="20">
        <v>31.0</v>
      </c>
      <c r="Q96" s="20">
        <v>6.0</v>
      </c>
      <c r="R96" s="35">
        <f t="shared" si="3"/>
        <v>47</v>
      </c>
      <c r="S96" s="34">
        <f t="shared" si="4"/>
        <v>0.09</v>
      </c>
      <c r="T96" s="20">
        <v>2.0</v>
      </c>
      <c r="U96" s="20">
        <v>1.0</v>
      </c>
      <c r="V96" s="32">
        <v>4.0</v>
      </c>
      <c r="W96" s="32">
        <v>18.0</v>
      </c>
      <c r="X96" s="32">
        <v>1.0</v>
      </c>
      <c r="Y96" s="32">
        <v>4.0</v>
      </c>
      <c r="Z96" s="35">
        <f t="shared" si="5"/>
        <v>23</v>
      </c>
      <c r="AA96" s="32">
        <v>0.0</v>
      </c>
      <c r="AB96" s="35">
        <f t="shared" si="6"/>
        <v>13</v>
      </c>
      <c r="AC96" s="23">
        <f t="shared" si="7"/>
        <v>16</v>
      </c>
      <c r="AD96" s="35">
        <f t="shared" si="8"/>
        <v>3</v>
      </c>
      <c r="AE96" s="32">
        <v>3.0</v>
      </c>
      <c r="AF96" s="32">
        <v>0.0</v>
      </c>
      <c r="AG96" s="36">
        <f t="shared" si="9"/>
        <v>100</v>
      </c>
      <c r="AH96" s="20">
        <v>20.0</v>
      </c>
      <c r="AI96" s="34" t="str">
        <f t="shared" si="10"/>
        <v>2.86</v>
      </c>
      <c r="AJ96" s="14"/>
      <c r="AK96" s="14"/>
      <c r="AL96" s="27">
        <f t="shared" si="11"/>
        <v>1.428571429</v>
      </c>
      <c r="AM96" s="27">
        <f t="shared" si="12"/>
        <v>6.714285714</v>
      </c>
      <c r="AN96" s="28">
        <f t="shared" si="13"/>
        <v>0.2127659574</v>
      </c>
      <c r="AO96" s="27">
        <f t="shared" si="14"/>
        <v>0.2857142857</v>
      </c>
      <c r="AP96" s="27">
        <f t="shared" si="15"/>
        <v>0.1428571429</v>
      </c>
      <c r="AQ96" s="27">
        <f t="shared" ref="AQ96:AR96" si="109">iferror(AB96/$M96,"-")</f>
        <v>1.857142857</v>
      </c>
      <c r="AR96" s="27">
        <f t="shared" si="109"/>
        <v>2.285714286</v>
      </c>
      <c r="AS96" s="29">
        <f t="shared" si="17"/>
        <v>0</v>
      </c>
      <c r="AT96" s="29" t="str">
        <f t="shared" si="18"/>
        <v>2.86</v>
      </c>
      <c r="AU96" s="14"/>
      <c r="AV96" s="14"/>
      <c r="AW96" s="14"/>
      <c r="AX96" s="14"/>
    </row>
    <row r="97">
      <c r="B97" s="17">
        <v>94.0</v>
      </c>
      <c r="C97" s="18">
        <f t="shared" si="2"/>
        <v>2</v>
      </c>
      <c r="D97" s="19" t="s">
        <v>151</v>
      </c>
      <c r="E97" s="19" t="s">
        <v>153</v>
      </c>
      <c r="F97" s="31">
        <v>3.0</v>
      </c>
      <c r="G97" s="31" t="s">
        <v>54</v>
      </c>
      <c r="H97" s="31" t="s">
        <v>48</v>
      </c>
      <c r="I97" s="31">
        <v>173.0</v>
      </c>
      <c r="J97" s="31">
        <v>64.0</v>
      </c>
      <c r="K97" s="32">
        <v>3.0</v>
      </c>
      <c r="L97" s="20">
        <v>2.0</v>
      </c>
      <c r="M97" s="20">
        <v>7.0</v>
      </c>
      <c r="N97" s="20">
        <v>0.0</v>
      </c>
      <c r="O97" s="20">
        <v>64.0</v>
      </c>
      <c r="P97" s="20">
        <v>8.0</v>
      </c>
      <c r="Q97" s="20">
        <v>1.0</v>
      </c>
      <c r="R97" s="35">
        <f t="shared" si="3"/>
        <v>9</v>
      </c>
      <c r="S97" s="34">
        <f t="shared" si="4"/>
        <v>-0.11</v>
      </c>
      <c r="T97" s="20">
        <v>1.0</v>
      </c>
      <c r="U97" s="20">
        <v>0.0</v>
      </c>
      <c r="V97" s="32">
        <v>3.0</v>
      </c>
      <c r="W97" s="32">
        <v>19.0</v>
      </c>
      <c r="X97" s="32">
        <v>1.0</v>
      </c>
      <c r="Y97" s="32">
        <v>2.0</v>
      </c>
      <c r="Z97" s="35">
        <f t="shared" si="5"/>
        <v>22</v>
      </c>
      <c r="AA97" s="32">
        <v>0.0</v>
      </c>
      <c r="AB97" s="35">
        <f t="shared" si="6"/>
        <v>2</v>
      </c>
      <c r="AC97" s="23">
        <f t="shared" si="7"/>
        <v>4.25</v>
      </c>
      <c r="AD97" s="35">
        <f t="shared" si="8"/>
        <v>1</v>
      </c>
      <c r="AE97" s="32">
        <v>1.0</v>
      </c>
      <c r="AF97" s="32">
        <v>0.0</v>
      </c>
      <c r="AG97" s="36">
        <f t="shared" si="9"/>
        <v>100</v>
      </c>
      <c r="AH97" s="20">
        <v>27.0</v>
      </c>
      <c r="AI97" s="34" t="str">
        <f t="shared" si="10"/>
        <v>3.86</v>
      </c>
      <c r="AJ97" s="14"/>
      <c r="AK97" s="14"/>
      <c r="AL97" s="27">
        <f t="shared" si="11"/>
        <v>0</v>
      </c>
      <c r="AM97" s="27">
        <f t="shared" si="12"/>
        <v>1.285714286</v>
      </c>
      <c r="AN97" s="28">
        <f t="shared" si="13"/>
        <v>0</v>
      </c>
      <c r="AO97" s="27">
        <f t="shared" si="14"/>
        <v>0.1428571429</v>
      </c>
      <c r="AP97" s="27">
        <f t="shared" si="15"/>
        <v>0.1428571429</v>
      </c>
      <c r="AQ97" s="27">
        <f t="shared" ref="AQ97:AR97" si="110">iferror(AB97/$M97,"-")</f>
        <v>0.2857142857</v>
      </c>
      <c r="AR97" s="27">
        <f t="shared" si="110"/>
        <v>0.6071428571</v>
      </c>
      <c r="AS97" s="29">
        <f t="shared" si="17"/>
        <v>0</v>
      </c>
      <c r="AT97" s="29" t="str">
        <f t="shared" si="18"/>
        <v>3.86</v>
      </c>
      <c r="AU97" s="14"/>
      <c r="AV97" s="14"/>
      <c r="AW97" s="14"/>
      <c r="AX97" s="14"/>
    </row>
    <row r="98">
      <c r="B98" s="17">
        <v>95.0</v>
      </c>
      <c r="C98" s="18">
        <f t="shared" si="2"/>
        <v>3</v>
      </c>
      <c r="D98" s="19" t="s">
        <v>151</v>
      </c>
      <c r="E98" s="19" t="s">
        <v>154</v>
      </c>
      <c r="F98" s="31">
        <v>1.0</v>
      </c>
      <c r="G98" s="31" t="s">
        <v>57</v>
      </c>
      <c r="H98" s="31" t="s">
        <v>50</v>
      </c>
      <c r="I98" s="31">
        <v>160.0</v>
      </c>
      <c r="J98" s="31">
        <v>58.0</v>
      </c>
      <c r="K98" s="32">
        <v>4.0</v>
      </c>
      <c r="L98" s="20">
        <v>2.0</v>
      </c>
      <c r="M98" s="20">
        <v>4.0</v>
      </c>
      <c r="N98" s="20">
        <v>0.0</v>
      </c>
      <c r="O98" s="20">
        <v>0.0</v>
      </c>
      <c r="P98" s="20">
        <v>0.0</v>
      </c>
      <c r="Q98" s="20">
        <v>0.0</v>
      </c>
      <c r="R98" s="33" t="str">
        <f t="shared" si="3"/>
        <v>-</v>
      </c>
      <c r="S98" s="34" t="str">
        <f t="shared" si="4"/>
        <v>-</v>
      </c>
      <c r="T98" s="20">
        <v>0.0</v>
      </c>
      <c r="U98" s="20">
        <v>0.0</v>
      </c>
      <c r="V98" s="32">
        <v>0.0</v>
      </c>
      <c r="W98" s="32">
        <v>8.0</v>
      </c>
      <c r="X98" s="32">
        <v>3.0</v>
      </c>
      <c r="Y98" s="32">
        <v>0.0</v>
      </c>
      <c r="Z98" s="35">
        <f t="shared" si="5"/>
        <v>11</v>
      </c>
      <c r="AA98" s="32">
        <v>0.0</v>
      </c>
      <c r="AB98" s="35">
        <f t="shared" si="6"/>
        <v>3</v>
      </c>
      <c r="AC98" s="23">
        <f t="shared" si="7"/>
        <v>3</v>
      </c>
      <c r="AD98" s="33" t="str">
        <f t="shared" si="8"/>
        <v>-</v>
      </c>
      <c r="AE98" s="32">
        <v>0.0</v>
      </c>
      <c r="AF98" s="32">
        <v>0.0</v>
      </c>
      <c r="AG98" s="36" t="str">
        <f t="shared" si="9"/>
        <v>-</v>
      </c>
      <c r="AH98" s="20">
        <v>1.0</v>
      </c>
      <c r="AI98" s="34" t="str">
        <f t="shared" si="10"/>
        <v>0.25</v>
      </c>
      <c r="AJ98" s="14"/>
      <c r="AK98" s="14"/>
      <c r="AL98" s="27">
        <f t="shared" si="11"/>
        <v>0</v>
      </c>
      <c r="AM98" s="27" t="str">
        <f t="shared" si="12"/>
        <v>-</v>
      </c>
      <c r="AN98" s="28" t="str">
        <f t="shared" si="13"/>
        <v>-</v>
      </c>
      <c r="AO98" s="27">
        <f t="shared" si="14"/>
        <v>0</v>
      </c>
      <c r="AP98" s="27">
        <f t="shared" si="15"/>
        <v>0.75</v>
      </c>
      <c r="AQ98" s="27">
        <f t="shared" ref="AQ98:AR98" si="111">iferror(AB98/$M98,"-")</f>
        <v>0.75</v>
      </c>
      <c r="AR98" s="27">
        <f t="shared" si="111"/>
        <v>0.75</v>
      </c>
      <c r="AS98" s="29">
        <f t="shared" si="17"/>
        <v>0</v>
      </c>
      <c r="AT98" s="29" t="str">
        <f t="shared" si="18"/>
        <v>0.25</v>
      </c>
      <c r="AU98" s="14"/>
      <c r="AV98" s="14"/>
      <c r="AW98" s="14"/>
      <c r="AX98" s="14"/>
    </row>
    <row r="99">
      <c r="B99" s="17">
        <v>96.0</v>
      </c>
      <c r="C99" s="18">
        <f t="shared" si="2"/>
        <v>4</v>
      </c>
      <c r="D99" s="19" t="s">
        <v>151</v>
      </c>
      <c r="E99" s="19" t="s">
        <v>155</v>
      </c>
      <c r="F99" s="31">
        <v>3.0</v>
      </c>
      <c r="G99" s="31" t="s">
        <v>52</v>
      </c>
      <c r="H99" s="31" t="s">
        <v>57</v>
      </c>
      <c r="I99" s="31">
        <v>175.0</v>
      </c>
      <c r="J99" s="31">
        <v>57.0</v>
      </c>
      <c r="K99" s="32">
        <v>5.0</v>
      </c>
      <c r="L99" s="20">
        <v>2.0</v>
      </c>
      <c r="M99" s="20">
        <v>7.0</v>
      </c>
      <c r="N99" s="20">
        <v>30.0</v>
      </c>
      <c r="O99" s="20">
        <v>2.0</v>
      </c>
      <c r="P99" s="20">
        <v>41.0</v>
      </c>
      <c r="Q99" s="20">
        <v>8.0</v>
      </c>
      <c r="R99" s="35">
        <f t="shared" si="3"/>
        <v>79</v>
      </c>
      <c r="S99" s="34">
        <f t="shared" si="4"/>
        <v>0.28</v>
      </c>
      <c r="T99" s="20">
        <v>1.0</v>
      </c>
      <c r="U99" s="20">
        <v>0.0</v>
      </c>
      <c r="V99" s="32">
        <v>1.0</v>
      </c>
      <c r="W99" s="32">
        <v>27.0</v>
      </c>
      <c r="X99" s="32">
        <v>3.0</v>
      </c>
      <c r="Y99" s="32">
        <v>1.0</v>
      </c>
      <c r="Z99" s="35">
        <f t="shared" si="5"/>
        <v>31</v>
      </c>
      <c r="AA99" s="32">
        <v>0.0</v>
      </c>
      <c r="AB99" s="35">
        <f t="shared" si="6"/>
        <v>34</v>
      </c>
      <c r="AC99" s="23">
        <f t="shared" si="7"/>
        <v>34.75</v>
      </c>
      <c r="AD99" s="35">
        <f t="shared" si="8"/>
        <v>58</v>
      </c>
      <c r="AE99" s="32">
        <v>50.0</v>
      </c>
      <c r="AF99" s="32">
        <v>8.0</v>
      </c>
      <c r="AG99" s="36">
        <f t="shared" si="9"/>
        <v>86.20689655</v>
      </c>
      <c r="AH99" s="20">
        <v>19.0</v>
      </c>
      <c r="AI99" s="34" t="str">
        <f t="shared" si="10"/>
        <v>2.71</v>
      </c>
      <c r="AJ99" s="14"/>
      <c r="AK99" s="14"/>
      <c r="AL99" s="27">
        <f t="shared" si="11"/>
        <v>4.285714286</v>
      </c>
      <c r="AM99" s="27">
        <f t="shared" si="12"/>
        <v>11.28571429</v>
      </c>
      <c r="AN99" s="28">
        <f t="shared" si="13"/>
        <v>0.3797468354</v>
      </c>
      <c r="AO99" s="27">
        <f t="shared" si="14"/>
        <v>0.1428571429</v>
      </c>
      <c r="AP99" s="27">
        <f t="shared" si="15"/>
        <v>0.4285714286</v>
      </c>
      <c r="AQ99" s="27">
        <f t="shared" ref="AQ99:AR99" si="112">iferror(AB99/$M99,"-")</f>
        <v>4.857142857</v>
      </c>
      <c r="AR99" s="27">
        <f t="shared" si="112"/>
        <v>4.964285714</v>
      </c>
      <c r="AS99" s="29">
        <f t="shared" si="17"/>
        <v>1.142857143</v>
      </c>
      <c r="AT99" s="29" t="str">
        <f t="shared" si="18"/>
        <v>2.71</v>
      </c>
      <c r="AU99" s="14"/>
      <c r="AV99" s="14"/>
      <c r="AW99" s="14"/>
      <c r="AX99" s="14"/>
    </row>
    <row r="100">
      <c r="B100" s="17">
        <v>97.0</v>
      </c>
      <c r="C100" s="18">
        <f t="shared" si="2"/>
        <v>5</v>
      </c>
      <c r="D100" s="19" t="s">
        <v>151</v>
      </c>
      <c r="E100" s="19" t="s">
        <v>156</v>
      </c>
      <c r="F100" s="31">
        <v>3.0</v>
      </c>
      <c r="G100" s="31" t="s">
        <v>50</v>
      </c>
      <c r="H100" s="31" t="s">
        <v>48</v>
      </c>
      <c r="I100" s="31">
        <v>166.0</v>
      </c>
      <c r="J100" s="31">
        <v>54.0</v>
      </c>
      <c r="K100" s="32">
        <v>8.0</v>
      </c>
      <c r="L100" s="20">
        <v>2.0</v>
      </c>
      <c r="M100" s="20">
        <v>7.0</v>
      </c>
      <c r="N100" s="20">
        <v>0.0</v>
      </c>
      <c r="O100" s="20">
        <v>10.0</v>
      </c>
      <c r="P100" s="20">
        <v>0.0</v>
      </c>
      <c r="Q100" s="20">
        <v>0.0</v>
      </c>
      <c r="R100" s="33" t="str">
        <f t="shared" si="3"/>
        <v>-</v>
      </c>
      <c r="S100" s="34" t="str">
        <f t="shared" si="4"/>
        <v>-</v>
      </c>
      <c r="T100" s="20">
        <v>0.0</v>
      </c>
      <c r="U100" s="20">
        <v>0.0</v>
      </c>
      <c r="V100" s="32">
        <v>0.0</v>
      </c>
      <c r="W100" s="32">
        <v>0.0</v>
      </c>
      <c r="X100" s="32">
        <v>0.0</v>
      </c>
      <c r="Y100" s="32">
        <v>0.0</v>
      </c>
      <c r="Z100" s="33" t="str">
        <f t="shared" si="5"/>
        <v>-</v>
      </c>
      <c r="AA100" s="32">
        <v>1.0</v>
      </c>
      <c r="AB100" s="33" t="str">
        <f t="shared" si="6"/>
        <v>-</v>
      </c>
      <c r="AC100" s="23">
        <f t="shared" si="7"/>
        <v>0</v>
      </c>
      <c r="AD100" s="35">
        <f t="shared" si="8"/>
        <v>30</v>
      </c>
      <c r="AE100" s="32">
        <v>29.0</v>
      </c>
      <c r="AF100" s="32">
        <v>1.0</v>
      </c>
      <c r="AG100" s="36">
        <f t="shared" si="9"/>
        <v>96.66666667</v>
      </c>
      <c r="AH100" s="20">
        <v>34.0</v>
      </c>
      <c r="AI100" s="34" t="str">
        <f t="shared" si="10"/>
        <v>4.86</v>
      </c>
      <c r="AJ100" s="14"/>
      <c r="AK100" s="14"/>
      <c r="AL100" s="27">
        <f t="shared" si="11"/>
        <v>0</v>
      </c>
      <c r="AM100" s="27" t="str">
        <f t="shared" si="12"/>
        <v>-</v>
      </c>
      <c r="AN100" s="28" t="str">
        <f t="shared" si="13"/>
        <v>-</v>
      </c>
      <c r="AO100" s="27">
        <f t="shared" si="14"/>
        <v>0</v>
      </c>
      <c r="AP100" s="27">
        <f t="shared" si="15"/>
        <v>0</v>
      </c>
      <c r="AQ100" s="27" t="str">
        <f t="shared" ref="AQ100:AR100" si="113">iferror(AB100/$M100,"-")</f>
        <v>-</v>
      </c>
      <c r="AR100" s="27">
        <f t="shared" si="113"/>
        <v>0</v>
      </c>
      <c r="AS100" s="29">
        <f t="shared" si="17"/>
        <v>0.1428571429</v>
      </c>
      <c r="AT100" s="29" t="str">
        <f t="shared" si="18"/>
        <v>4.86</v>
      </c>
      <c r="AU100" s="14"/>
      <c r="AV100" s="14"/>
      <c r="AW100" s="14"/>
      <c r="AX100" s="14"/>
    </row>
    <row r="101">
      <c r="B101" s="17">
        <v>98.0</v>
      </c>
      <c r="C101" s="18">
        <f t="shared" si="2"/>
        <v>6</v>
      </c>
      <c r="D101" s="19" t="s">
        <v>151</v>
      </c>
      <c r="E101" s="19" t="s">
        <v>157</v>
      </c>
      <c r="F101" s="31">
        <v>1.0</v>
      </c>
      <c r="G101" s="31" t="s">
        <v>47</v>
      </c>
      <c r="H101" s="31" t="s">
        <v>48</v>
      </c>
      <c r="I101" s="31">
        <v>181.0</v>
      </c>
      <c r="J101" s="31">
        <v>67.0</v>
      </c>
      <c r="K101" s="32">
        <v>11.0</v>
      </c>
      <c r="L101" s="20">
        <v>2.0</v>
      </c>
      <c r="M101" s="20">
        <v>7.0</v>
      </c>
      <c r="N101" s="20">
        <v>10.0</v>
      </c>
      <c r="O101" s="20">
        <v>0.0</v>
      </c>
      <c r="P101" s="20">
        <v>19.0</v>
      </c>
      <c r="Q101" s="20">
        <v>5.0</v>
      </c>
      <c r="R101" s="35">
        <f t="shared" si="3"/>
        <v>34</v>
      </c>
      <c r="S101" s="34">
        <f t="shared" si="4"/>
        <v>0.15</v>
      </c>
      <c r="T101" s="20">
        <v>8.0</v>
      </c>
      <c r="U101" s="20">
        <v>0.0</v>
      </c>
      <c r="V101" s="32">
        <v>2.0</v>
      </c>
      <c r="W101" s="32">
        <v>8.0</v>
      </c>
      <c r="X101" s="32">
        <v>1.0</v>
      </c>
      <c r="Y101" s="32">
        <v>3.0</v>
      </c>
      <c r="Z101" s="35">
        <f t="shared" si="5"/>
        <v>12</v>
      </c>
      <c r="AA101" s="32">
        <v>0.0</v>
      </c>
      <c r="AB101" s="35">
        <f t="shared" si="6"/>
        <v>19</v>
      </c>
      <c r="AC101" s="23">
        <f t="shared" si="7"/>
        <v>20.5</v>
      </c>
      <c r="AD101" s="35">
        <f t="shared" si="8"/>
        <v>10</v>
      </c>
      <c r="AE101" s="32">
        <v>8.0</v>
      </c>
      <c r="AF101" s="32">
        <v>2.0</v>
      </c>
      <c r="AG101" s="36">
        <f t="shared" si="9"/>
        <v>80</v>
      </c>
      <c r="AH101" s="20">
        <v>4.0</v>
      </c>
      <c r="AI101" s="34" t="str">
        <f t="shared" si="10"/>
        <v>0.57</v>
      </c>
      <c r="AJ101" s="14"/>
      <c r="AK101" s="14"/>
      <c r="AL101" s="27">
        <f t="shared" si="11"/>
        <v>1.428571429</v>
      </c>
      <c r="AM101" s="27">
        <f t="shared" si="12"/>
        <v>4.857142857</v>
      </c>
      <c r="AN101" s="28">
        <f t="shared" si="13"/>
        <v>0.2941176471</v>
      </c>
      <c r="AO101" s="27">
        <f t="shared" si="14"/>
        <v>1.142857143</v>
      </c>
      <c r="AP101" s="27">
        <f t="shared" si="15"/>
        <v>0.1428571429</v>
      </c>
      <c r="AQ101" s="27">
        <f t="shared" ref="AQ101:AR101" si="114">iferror(AB101/$M101,"-")</f>
        <v>2.714285714</v>
      </c>
      <c r="AR101" s="27">
        <f t="shared" si="114"/>
        <v>2.928571429</v>
      </c>
      <c r="AS101" s="29">
        <f t="shared" si="17"/>
        <v>0.2857142857</v>
      </c>
      <c r="AT101" s="29" t="str">
        <f t="shared" si="18"/>
        <v>0.57</v>
      </c>
      <c r="AU101" s="14"/>
      <c r="AV101" s="14"/>
      <c r="AW101" s="14"/>
      <c r="AX101" s="14"/>
    </row>
    <row r="102">
      <c r="B102" s="17">
        <v>99.0</v>
      </c>
      <c r="C102" s="18">
        <f t="shared" si="2"/>
        <v>7</v>
      </c>
      <c r="D102" s="19" t="s">
        <v>151</v>
      </c>
      <c r="E102" s="19" t="s">
        <v>158</v>
      </c>
      <c r="F102" s="31">
        <v>2.0</v>
      </c>
      <c r="G102" s="31" t="s">
        <v>47</v>
      </c>
      <c r="H102" s="31" t="s">
        <v>48</v>
      </c>
      <c r="I102" s="31">
        <v>182.0</v>
      </c>
      <c r="J102" s="31">
        <v>65.0</v>
      </c>
      <c r="K102" s="32">
        <v>12.0</v>
      </c>
      <c r="L102" s="20">
        <v>2.0</v>
      </c>
      <c r="M102" s="20">
        <v>7.0</v>
      </c>
      <c r="N102" s="20">
        <v>4.0</v>
      </c>
      <c r="O102" s="20">
        <v>0.0</v>
      </c>
      <c r="P102" s="20">
        <v>5.0</v>
      </c>
      <c r="Q102" s="20">
        <v>3.0</v>
      </c>
      <c r="R102" s="35">
        <f t="shared" si="3"/>
        <v>12</v>
      </c>
      <c r="S102" s="34">
        <f t="shared" si="4"/>
        <v>0.08</v>
      </c>
      <c r="T102" s="20">
        <v>3.0</v>
      </c>
      <c r="U102" s="20">
        <v>0.0</v>
      </c>
      <c r="V102" s="32">
        <v>1.0</v>
      </c>
      <c r="W102" s="32">
        <v>14.0</v>
      </c>
      <c r="X102" s="32">
        <v>1.0</v>
      </c>
      <c r="Y102" s="32">
        <v>2.0</v>
      </c>
      <c r="Z102" s="35">
        <f t="shared" si="5"/>
        <v>17</v>
      </c>
      <c r="AA102" s="32">
        <v>0.0</v>
      </c>
      <c r="AB102" s="35">
        <f t="shared" si="6"/>
        <v>8</v>
      </c>
      <c r="AC102" s="23">
        <f t="shared" si="7"/>
        <v>8.75</v>
      </c>
      <c r="AD102" s="35">
        <f t="shared" si="8"/>
        <v>1</v>
      </c>
      <c r="AE102" s="32">
        <v>1.0</v>
      </c>
      <c r="AF102" s="32">
        <v>0.0</v>
      </c>
      <c r="AG102" s="36">
        <f t="shared" si="9"/>
        <v>100</v>
      </c>
      <c r="AH102" s="20">
        <v>3.0</v>
      </c>
      <c r="AI102" s="34" t="str">
        <f t="shared" si="10"/>
        <v>0.43</v>
      </c>
      <c r="AJ102" s="14"/>
      <c r="AK102" s="14"/>
      <c r="AL102" s="27">
        <f t="shared" si="11"/>
        <v>0.5714285714</v>
      </c>
      <c r="AM102" s="27">
        <f t="shared" si="12"/>
        <v>1.714285714</v>
      </c>
      <c r="AN102" s="28">
        <f t="shared" si="13"/>
        <v>0.3333333333</v>
      </c>
      <c r="AO102" s="27">
        <f t="shared" si="14"/>
        <v>0.4285714286</v>
      </c>
      <c r="AP102" s="27">
        <f t="shared" si="15"/>
        <v>0.1428571429</v>
      </c>
      <c r="AQ102" s="27">
        <f t="shared" ref="AQ102:AR102" si="115">iferror(AB102/$M102,"-")</f>
        <v>1.142857143</v>
      </c>
      <c r="AR102" s="27">
        <f t="shared" si="115"/>
        <v>1.25</v>
      </c>
      <c r="AS102" s="29">
        <f t="shared" si="17"/>
        <v>0</v>
      </c>
      <c r="AT102" s="29" t="str">
        <f t="shared" si="18"/>
        <v>0.43</v>
      </c>
      <c r="AU102" s="14"/>
      <c r="AV102" s="14"/>
      <c r="AW102" s="14"/>
      <c r="AX102" s="14"/>
    </row>
    <row r="103">
      <c r="B103" s="17">
        <v>100.0</v>
      </c>
      <c r="C103" s="18">
        <f t="shared" si="2"/>
        <v>8</v>
      </c>
      <c r="D103" s="19" t="s">
        <v>151</v>
      </c>
      <c r="E103" s="19" t="s">
        <v>159</v>
      </c>
      <c r="F103" s="31">
        <v>2.0</v>
      </c>
      <c r="G103" s="31" t="s">
        <v>52</v>
      </c>
      <c r="H103" s="31" t="s">
        <v>57</v>
      </c>
      <c r="I103" s="31">
        <v>176.0</v>
      </c>
      <c r="J103" s="31">
        <v>65.0</v>
      </c>
      <c r="K103" s="32">
        <v>17.0</v>
      </c>
      <c r="L103" s="20">
        <v>2.0</v>
      </c>
      <c r="M103" s="20">
        <v>7.0</v>
      </c>
      <c r="N103" s="20">
        <v>30.0</v>
      </c>
      <c r="O103" s="20">
        <v>2.0</v>
      </c>
      <c r="P103" s="20">
        <v>53.0</v>
      </c>
      <c r="Q103" s="20">
        <v>16.0</v>
      </c>
      <c r="R103" s="35">
        <f t="shared" si="3"/>
        <v>99</v>
      </c>
      <c r="S103" s="34">
        <f t="shared" si="4"/>
        <v>0.14</v>
      </c>
      <c r="T103" s="20">
        <v>0.0</v>
      </c>
      <c r="U103" s="20">
        <v>0.0</v>
      </c>
      <c r="V103" s="32">
        <v>1.0</v>
      </c>
      <c r="W103" s="32">
        <v>23.0</v>
      </c>
      <c r="X103" s="32">
        <v>0.0</v>
      </c>
      <c r="Y103" s="32">
        <v>4.0</v>
      </c>
      <c r="Z103" s="35">
        <f t="shared" si="5"/>
        <v>27</v>
      </c>
      <c r="AA103" s="32">
        <v>0.0</v>
      </c>
      <c r="AB103" s="35">
        <f t="shared" si="6"/>
        <v>30</v>
      </c>
      <c r="AC103" s="23">
        <f t="shared" si="7"/>
        <v>30.75</v>
      </c>
      <c r="AD103" s="35">
        <f t="shared" si="8"/>
        <v>51</v>
      </c>
      <c r="AE103" s="32">
        <v>44.0</v>
      </c>
      <c r="AF103" s="32">
        <v>7.0</v>
      </c>
      <c r="AG103" s="36">
        <f t="shared" si="9"/>
        <v>86.2745098</v>
      </c>
      <c r="AH103" s="20">
        <v>28.0</v>
      </c>
      <c r="AI103" s="34" t="str">
        <f t="shared" si="10"/>
        <v>4</v>
      </c>
      <c r="AJ103" s="14"/>
      <c r="AK103" s="14"/>
      <c r="AL103" s="27">
        <f t="shared" si="11"/>
        <v>4.285714286</v>
      </c>
      <c r="AM103" s="27">
        <f t="shared" si="12"/>
        <v>14.14285714</v>
      </c>
      <c r="AN103" s="28">
        <f t="shared" si="13"/>
        <v>0.303030303</v>
      </c>
      <c r="AO103" s="27">
        <f t="shared" si="14"/>
        <v>0</v>
      </c>
      <c r="AP103" s="27">
        <f t="shared" si="15"/>
        <v>0</v>
      </c>
      <c r="AQ103" s="27">
        <f t="shared" ref="AQ103:AR103" si="116">iferror(AB103/$M103,"-")</f>
        <v>4.285714286</v>
      </c>
      <c r="AR103" s="27">
        <f t="shared" si="116"/>
        <v>4.392857143</v>
      </c>
      <c r="AS103" s="29">
        <f t="shared" si="17"/>
        <v>1</v>
      </c>
      <c r="AT103" s="29" t="str">
        <f t="shared" si="18"/>
        <v>4</v>
      </c>
      <c r="AU103" s="14"/>
      <c r="AV103" s="14"/>
      <c r="AW103" s="14"/>
      <c r="AX103" s="14"/>
    </row>
    <row r="104">
      <c r="B104" s="17">
        <v>101.0</v>
      </c>
      <c r="C104" s="18">
        <f t="shared" si="2"/>
        <v>9</v>
      </c>
      <c r="D104" s="19" t="s">
        <v>151</v>
      </c>
      <c r="E104" s="19" t="s">
        <v>160</v>
      </c>
      <c r="F104" s="31">
        <v>1.0</v>
      </c>
      <c r="G104" s="31" t="s">
        <v>52</v>
      </c>
      <c r="H104" s="31" t="s">
        <v>50</v>
      </c>
      <c r="I104" s="31">
        <v>165.0</v>
      </c>
      <c r="J104" s="31">
        <v>63.0</v>
      </c>
      <c r="K104" s="32">
        <v>18.0</v>
      </c>
      <c r="L104" s="32">
        <v>2.0</v>
      </c>
      <c r="M104" s="32">
        <v>6.0</v>
      </c>
      <c r="N104" s="32">
        <v>0.0</v>
      </c>
      <c r="O104" s="32">
        <v>0.0</v>
      </c>
      <c r="P104" s="32">
        <v>0.0</v>
      </c>
      <c r="Q104" s="32">
        <v>0.0</v>
      </c>
      <c r="R104" s="33" t="str">
        <f t="shared" si="3"/>
        <v>-</v>
      </c>
      <c r="S104" s="34" t="str">
        <f t="shared" si="4"/>
        <v>-</v>
      </c>
      <c r="T104" s="32">
        <v>0.0</v>
      </c>
      <c r="U104" s="32">
        <v>0.0</v>
      </c>
      <c r="V104" s="20">
        <v>0.0</v>
      </c>
      <c r="W104" s="32">
        <v>4.0</v>
      </c>
      <c r="X104" s="32">
        <v>0.0</v>
      </c>
      <c r="Y104" s="20">
        <v>2.0</v>
      </c>
      <c r="Z104" s="35">
        <f t="shared" si="5"/>
        <v>6</v>
      </c>
      <c r="AA104" s="32">
        <v>0.0</v>
      </c>
      <c r="AB104" s="33" t="str">
        <f t="shared" si="6"/>
        <v>-</v>
      </c>
      <c r="AC104" s="23">
        <f t="shared" si="7"/>
        <v>0</v>
      </c>
      <c r="AD104" s="35">
        <f t="shared" si="8"/>
        <v>1</v>
      </c>
      <c r="AE104" s="32">
        <v>1.0</v>
      </c>
      <c r="AF104" s="32">
        <v>0.0</v>
      </c>
      <c r="AG104" s="36">
        <f t="shared" si="9"/>
        <v>100</v>
      </c>
      <c r="AH104" s="20">
        <v>4.0</v>
      </c>
      <c r="AI104" s="34" t="str">
        <f t="shared" si="10"/>
        <v>0.67</v>
      </c>
      <c r="AJ104" s="14"/>
      <c r="AK104" s="14"/>
      <c r="AL104" s="27">
        <f t="shared" si="11"/>
        <v>0</v>
      </c>
      <c r="AM104" s="27" t="str">
        <f t="shared" si="12"/>
        <v>-</v>
      </c>
      <c r="AN104" s="28" t="str">
        <f t="shared" si="13"/>
        <v>-</v>
      </c>
      <c r="AO104" s="27">
        <f t="shared" si="14"/>
        <v>0</v>
      </c>
      <c r="AP104" s="27">
        <f t="shared" si="15"/>
        <v>0</v>
      </c>
      <c r="AQ104" s="27" t="str">
        <f t="shared" ref="AQ104:AR104" si="117">iferror(AB104/$M104,"-")</f>
        <v>-</v>
      </c>
      <c r="AR104" s="27">
        <f t="shared" si="117"/>
        <v>0</v>
      </c>
      <c r="AS104" s="29">
        <f t="shared" si="17"/>
        <v>0</v>
      </c>
      <c r="AT104" s="29" t="str">
        <f t="shared" si="18"/>
        <v>0.67</v>
      </c>
      <c r="AU104" s="14"/>
      <c r="AV104" s="14"/>
      <c r="AW104" s="14"/>
      <c r="AX104" s="14"/>
    </row>
    <row r="105">
      <c r="B105" s="17">
        <v>102.0</v>
      </c>
      <c r="C105" s="18">
        <f t="shared" si="2"/>
        <v>10</v>
      </c>
      <c r="D105" s="19" t="s">
        <v>151</v>
      </c>
      <c r="E105" s="19" t="s">
        <v>161</v>
      </c>
      <c r="F105" s="31">
        <v>1.0</v>
      </c>
      <c r="G105" s="31" t="s">
        <v>47</v>
      </c>
      <c r="H105" s="31" t="s">
        <v>48</v>
      </c>
      <c r="I105" s="31">
        <v>190.0</v>
      </c>
      <c r="J105" s="31">
        <v>96.0</v>
      </c>
      <c r="K105" s="32">
        <v>19.0</v>
      </c>
      <c r="L105" s="32">
        <v>0.0</v>
      </c>
      <c r="M105" s="32">
        <v>0.0</v>
      </c>
      <c r="N105" s="32">
        <v>0.0</v>
      </c>
      <c r="O105" s="32">
        <v>0.0</v>
      </c>
      <c r="P105" s="32">
        <v>0.0</v>
      </c>
      <c r="Q105" s="32">
        <v>0.0</v>
      </c>
      <c r="R105" s="33" t="str">
        <f t="shared" si="3"/>
        <v>-</v>
      </c>
      <c r="S105" s="34" t="str">
        <f t="shared" si="4"/>
        <v>-</v>
      </c>
      <c r="T105" s="32">
        <v>0.0</v>
      </c>
      <c r="U105" s="32">
        <v>0.0</v>
      </c>
      <c r="V105" s="20">
        <v>0.0</v>
      </c>
      <c r="W105" s="32">
        <v>0.0</v>
      </c>
      <c r="X105" s="32">
        <v>0.0</v>
      </c>
      <c r="Y105" s="20">
        <v>0.0</v>
      </c>
      <c r="Z105" s="33" t="str">
        <f t="shared" si="5"/>
        <v>-</v>
      </c>
      <c r="AA105" s="32">
        <v>0.0</v>
      </c>
      <c r="AB105" s="33" t="str">
        <f t="shared" si="6"/>
        <v>-</v>
      </c>
      <c r="AC105" s="23">
        <f t="shared" si="7"/>
        <v>0</v>
      </c>
      <c r="AD105" s="33" t="str">
        <f t="shared" si="8"/>
        <v>-</v>
      </c>
      <c r="AE105" s="32">
        <v>0.0</v>
      </c>
      <c r="AF105" s="32">
        <v>0.0</v>
      </c>
      <c r="AG105" s="36" t="str">
        <f t="shared" si="9"/>
        <v>-</v>
      </c>
      <c r="AH105" s="20">
        <v>0.0</v>
      </c>
      <c r="AI105" s="34" t="str">
        <f t="shared" si="10"/>
        <v>-</v>
      </c>
      <c r="AJ105" s="14"/>
      <c r="AK105" s="14"/>
      <c r="AL105" s="27" t="str">
        <f t="shared" si="11"/>
        <v>-</v>
      </c>
      <c r="AM105" s="27" t="str">
        <f t="shared" si="12"/>
        <v>-</v>
      </c>
      <c r="AN105" s="28" t="str">
        <f t="shared" si="13"/>
        <v>-</v>
      </c>
      <c r="AO105" s="27" t="str">
        <f t="shared" si="14"/>
        <v>-</v>
      </c>
      <c r="AP105" s="27" t="str">
        <f t="shared" si="15"/>
        <v>-</v>
      </c>
      <c r="AQ105" s="27" t="str">
        <f t="shared" ref="AQ105:AR105" si="118">iferror(AB105/$M105,"-")</f>
        <v>-</v>
      </c>
      <c r="AR105" s="27" t="str">
        <f t="shared" si="118"/>
        <v>-</v>
      </c>
      <c r="AS105" s="29" t="str">
        <f t="shared" si="17"/>
        <v>-</v>
      </c>
      <c r="AT105" s="29" t="str">
        <f t="shared" si="18"/>
        <v>-</v>
      </c>
      <c r="AU105" s="14"/>
      <c r="AV105" s="14"/>
      <c r="AW105" s="14"/>
      <c r="AX105" s="14"/>
    </row>
    <row r="106">
      <c r="B106" s="17">
        <v>103.0</v>
      </c>
      <c r="C106" s="18">
        <f t="shared" si="2"/>
        <v>1</v>
      </c>
      <c r="D106" s="19" t="s">
        <v>162</v>
      </c>
      <c r="E106" s="19" t="s">
        <v>163</v>
      </c>
      <c r="F106" s="31">
        <v>1.0</v>
      </c>
      <c r="G106" s="31" t="s">
        <v>57</v>
      </c>
      <c r="H106" s="31" t="s">
        <v>52</v>
      </c>
      <c r="I106" s="31">
        <v>170.0</v>
      </c>
      <c r="J106" s="31">
        <v>45.0</v>
      </c>
      <c r="K106" s="32">
        <v>1.0</v>
      </c>
      <c r="L106" s="32">
        <v>2.0</v>
      </c>
      <c r="M106" s="32">
        <v>6.0</v>
      </c>
      <c r="N106" s="32">
        <v>6.0</v>
      </c>
      <c r="O106" s="32">
        <v>1.0</v>
      </c>
      <c r="P106" s="32">
        <v>11.0</v>
      </c>
      <c r="Q106" s="32">
        <v>8.0</v>
      </c>
      <c r="R106" s="35">
        <f t="shared" si="3"/>
        <v>25</v>
      </c>
      <c r="S106" s="34">
        <f t="shared" si="4"/>
        <v>-0.08</v>
      </c>
      <c r="T106" s="32">
        <v>1.0</v>
      </c>
      <c r="U106" s="32">
        <v>0.0</v>
      </c>
      <c r="V106" s="20">
        <v>0.0</v>
      </c>
      <c r="W106" s="32">
        <v>12.0</v>
      </c>
      <c r="X106" s="32">
        <v>1.0</v>
      </c>
      <c r="Y106" s="20">
        <v>1.0</v>
      </c>
      <c r="Z106" s="35">
        <f t="shared" si="5"/>
        <v>14</v>
      </c>
      <c r="AA106" s="32">
        <v>0.0</v>
      </c>
      <c r="AB106" s="35">
        <f t="shared" si="6"/>
        <v>8</v>
      </c>
      <c r="AC106" s="23">
        <f t="shared" si="7"/>
        <v>8</v>
      </c>
      <c r="AD106" s="35">
        <f t="shared" si="8"/>
        <v>9</v>
      </c>
      <c r="AE106" s="32">
        <v>6.0</v>
      </c>
      <c r="AF106" s="32">
        <v>3.0</v>
      </c>
      <c r="AG106" s="36">
        <f t="shared" si="9"/>
        <v>66.66666667</v>
      </c>
      <c r="AH106" s="20">
        <v>4.0</v>
      </c>
      <c r="AI106" s="34" t="str">
        <f t="shared" si="10"/>
        <v>0.67</v>
      </c>
      <c r="AJ106" s="14"/>
      <c r="AK106" s="14"/>
      <c r="AL106" s="27">
        <f t="shared" si="11"/>
        <v>1</v>
      </c>
      <c r="AM106" s="27">
        <f t="shared" si="12"/>
        <v>4.166666667</v>
      </c>
      <c r="AN106" s="28">
        <f t="shared" si="13"/>
        <v>0.24</v>
      </c>
      <c r="AO106" s="27">
        <f t="shared" si="14"/>
        <v>0.1666666667</v>
      </c>
      <c r="AP106" s="27">
        <f t="shared" si="15"/>
        <v>0.1666666667</v>
      </c>
      <c r="AQ106" s="27">
        <f t="shared" ref="AQ106:AR106" si="119">iferror(AB106/$M106,"-")</f>
        <v>1.333333333</v>
      </c>
      <c r="AR106" s="27">
        <f t="shared" si="119"/>
        <v>1.333333333</v>
      </c>
      <c r="AS106" s="29">
        <f t="shared" si="17"/>
        <v>0.5</v>
      </c>
      <c r="AT106" s="29" t="str">
        <f t="shared" si="18"/>
        <v>0.67</v>
      </c>
      <c r="AU106" s="14"/>
      <c r="AV106" s="14"/>
      <c r="AW106" s="14"/>
      <c r="AX106" s="14"/>
    </row>
    <row r="107">
      <c r="B107" s="17">
        <v>104.0</v>
      </c>
      <c r="C107" s="18">
        <f t="shared" si="2"/>
        <v>2</v>
      </c>
      <c r="D107" s="19" t="s">
        <v>162</v>
      </c>
      <c r="E107" s="19" t="s">
        <v>164</v>
      </c>
      <c r="F107" s="31">
        <v>2.0</v>
      </c>
      <c r="G107" s="31" t="s">
        <v>47</v>
      </c>
      <c r="H107" s="31" t="s">
        <v>52</v>
      </c>
      <c r="I107" s="31">
        <v>175.0</v>
      </c>
      <c r="J107" s="31">
        <v>62.0</v>
      </c>
      <c r="K107" s="32">
        <v>2.0</v>
      </c>
      <c r="L107" s="32">
        <v>2.0</v>
      </c>
      <c r="M107" s="32">
        <v>6.0</v>
      </c>
      <c r="N107" s="32">
        <v>10.0</v>
      </c>
      <c r="O107" s="32">
        <v>1.0</v>
      </c>
      <c r="P107" s="32">
        <v>19.0</v>
      </c>
      <c r="Q107" s="32">
        <v>14.0</v>
      </c>
      <c r="R107" s="35">
        <f t="shared" si="3"/>
        <v>43</v>
      </c>
      <c r="S107" s="34">
        <f t="shared" si="4"/>
        <v>-0.09</v>
      </c>
      <c r="T107" s="32">
        <v>2.0</v>
      </c>
      <c r="U107" s="32">
        <v>0.0</v>
      </c>
      <c r="V107" s="20">
        <v>2.0</v>
      </c>
      <c r="W107" s="32">
        <v>12.0</v>
      </c>
      <c r="X107" s="32">
        <v>2.0</v>
      </c>
      <c r="Y107" s="20">
        <v>2.0</v>
      </c>
      <c r="Z107" s="35">
        <f t="shared" si="5"/>
        <v>16</v>
      </c>
      <c r="AA107" s="32">
        <v>0.0</v>
      </c>
      <c r="AB107" s="35">
        <f t="shared" si="6"/>
        <v>14</v>
      </c>
      <c r="AC107" s="23">
        <f t="shared" si="7"/>
        <v>15.5</v>
      </c>
      <c r="AD107" s="35">
        <f t="shared" si="8"/>
        <v>3</v>
      </c>
      <c r="AE107" s="32">
        <v>3.0</v>
      </c>
      <c r="AF107" s="32">
        <v>0.0</v>
      </c>
      <c r="AG107" s="36">
        <f t="shared" si="9"/>
        <v>100</v>
      </c>
      <c r="AH107" s="20">
        <v>1.0</v>
      </c>
      <c r="AI107" s="34" t="str">
        <f t="shared" si="10"/>
        <v>0.17</v>
      </c>
      <c r="AJ107" s="14"/>
      <c r="AK107" s="14"/>
      <c r="AL107" s="27">
        <f t="shared" si="11"/>
        <v>1.666666667</v>
      </c>
      <c r="AM107" s="27">
        <f t="shared" si="12"/>
        <v>7.166666667</v>
      </c>
      <c r="AN107" s="28">
        <f t="shared" si="13"/>
        <v>0.2325581395</v>
      </c>
      <c r="AO107" s="27">
        <f t="shared" si="14"/>
        <v>0.3333333333</v>
      </c>
      <c r="AP107" s="27">
        <f t="shared" si="15"/>
        <v>0.3333333333</v>
      </c>
      <c r="AQ107" s="27">
        <f t="shared" ref="AQ107:AR107" si="120">iferror(AB107/$M107,"-")</f>
        <v>2.333333333</v>
      </c>
      <c r="AR107" s="27">
        <f t="shared" si="120"/>
        <v>2.583333333</v>
      </c>
      <c r="AS107" s="29">
        <f t="shared" si="17"/>
        <v>0</v>
      </c>
      <c r="AT107" s="29" t="str">
        <f t="shared" si="18"/>
        <v>0.17</v>
      </c>
      <c r="AU107" s="14"/>
      <c r="AV107" s="14"/>
      <c r="AW107" s="14"/>
      <c r="AX107" s="14"/>
    </row>
    <row r="108">
      <c r="B108" s="17">
        <v>105.0</v>
      </c>
      <c r="C108" s="18">
        <f t="shared" si="2"/>
        <v>3</v>
      </c>
      <c r="D108" s="19" t="s">
        <v>162</v>
      </c>
      <c r="E108" s="19" t="s">
        <v>165</v>
      </c>
      <c r="F108" s="31">
        <v>2.0</v>
      </c>
      <c r="G108" s="31" t="s">
        <v>52</v>
      </c>
      <c r="H108" s="31" t="s">
        <v>57</v>
      </c>
      <c r="I108" s="31">
        <v>175.0</v>
      </c>
      <c r="J108" s="31">
        <v>65.0</v>
      </c>
      <c r="K108" s="32">
        <v>4.0</v>
      </c>
      <c r="L108" s="32">
        <v>2.0</v>
      </c>
      <c r="M108" s="32">
        <v>6.0</v>
      </c>
      <c r="N108" s="32">
        <v>9.0</v>
      </c>
      <c r="O108" s="32">
        <v>0.0</v>
      </c>
      <c r="P108" s="32">
        <v>17.0</v>
      </c>
      <c r="Q108" s="32">
        <v>16.0</v>
      </c>
      <c r="R108" s="35">
        <f t="shared" si="3"/>
        <v>42</v>
      </c>
      <c r="S108" s="34">
        <f t="shared" si="4"/>
        <v>-0.17</v>
      </c>
      <c r="T108" s="32">
        <v>1.0</v>
      </c>
      <c r="U108" s="32">
        <v>0.0</v>
      </c>
      <c r="V108" s="20">
        <v>0.0</v>
      </c>
      <c r="W108" s="32">
        <v>7.0</v>
      </c>
      <c r="X108" s="32">
        <v>2.0</v>
      </c>
      <c r="Y108" s="20">
        <v>4.0</v>
      </c>
      <c r="Z108" s="35">
        <f t="shared" si="5"/>
        <v>13</v>
      </c>
      <c r="AA108" s="32">
        <v>0.0</v>
      </c>
      <c r="AB108" s="35">
        <f t="shared" si="6"/>
        <v>12</v>
      </c>
      <c r="AC108" s="23">
        <f t="shared" si="7"/>
        <v>12</v>
      </c>
      <c r="AD108" s="35">
        <f t="shared" si="8"/>
        <v>25</v>
      </c>
      <c r="AE108" s="32">
        <v>18.0</v>
      </c>
      <c r="AF108" s="32">
        <v>7.0</v>
      </c>
      <c r="AG108" s="36">
        <f t="shared" si="9"/>
        <v>72</v>
      </c>
      <c r="AH108" s="20">
        <v>7.0</v>
      </c>
      <c r="AI108" s="34" t="str">
        <f t="shared" si="10"/>
        <v>1.17</v>
      </c>
      <c r="AJ108" s="14"/>
      <c r="AK108" s="14"/>
      <c r="AL108" s="27">
        <f t="shared" si="11"/>
        <v>1.5</v>
      </c>
      <c r="AM108" s="27">
        <f t="shared" si="12"/>
        <v>7</v>
      </c>
      <c r="AN108" s="28">
        <f t="shared" si="13"/>
        <v>0.2142857143</v>
      </c>
      <c r="AO108" s="27">
        <f t="shared" si="14"/>
        <v>0.1666666667</v>
      </c>
      <c r="AP108" s="27">
        <f t="shared" si="15"/>
        <v>0.3333333333</v>
      </c>
      <c r="AQ108" s="27">
        <f t="shared" ref="AQ108:AR108" si="121">iferror(AB108/$M108,"-")</f>
        <v>2</v>
      </c>
      <c r="AR108" s="27">
        <f t="shared" si="121"/>
        <v>2</v>
      </c>
      <c r="AS108" s="29">
        <f t="shared" si="17"/>
        <v>1.166666667</v>
      </c>
      <c r="AT108" s="29" t="str">
        <f t="shared" si="18"/>
        <v>1.17</v>
      </c>
      <c r="AU108" s="14"/>
      <c r="AV108" s="14"/>
      <c r="AW108" s="14"/>
      <c r="AX108" s="14"/>
    </row>
    <row r="109">
      <c r="B109" s="17">
        <v>106.0</v>
      </c>
      <c r="C109" s="18">
        <f t="shared" si="2"/>
        <v>4</v>
      </c>
      <c r="D109" s="19" t="s">
        <v>162</v>
      </c>
      <c r="E109" s="19" t="s">
        <v>166</v>
      </c>
      <c r="F109" s="31">
        <v>2.0</v>
      </c>
      <c r="G109" s="31" t="s">
        <v>52</v>
      </c>
      <c r="H109" s="31" t="s">
        <v>50</v>
      </c>
      <c r="I109" s="31">
        <v>168.0</v>
      </c>
      <c r="J109" s="31">
        <v>50.0</v>
      </c>
      <c r="K109" s="32">
        <v>5.0</v>
      </c>
      <c r="L109" s="32">
        <v>2.0</v>
      </c>
      <c r="M109" s="32">
        <v>6.0</v>
      </c>
      <c r="N109" s="32">
        <v>0.0</v>
      </c>
      <c r="O109" s="32">
        <v>0.0</v>
      </c>
      <c r="P109" s="32">
        <v>0.0</v>
      </c>
      <c r="Q109" s="32">
        <v>2.0</v>
      </c>
      <c r="R109" s="35">
        <f t="shared" si="3"/>
        <v>2</v>
      </c>
      <c r="S109" s="34">
        <f t="shared" si="4"/>
        <v>-1</v>
      </c>
      <c r="T109" s="32">
        <v>1.0</v>
      </c>
      <c r="U109" s="32">
        <v>0.0</v>
      </c>
      <c r="V109" s="20">
        <v>2.0</v>
      </c>
      <c r="W109" s="32">
        <v>12.0</v>
      </c>
      <c r="X109" s="32">
        <v>0.0</v>
      </c>
      <c r="Y109" s="20">
        <v>2.0</v>
      </c>
      <c r="Z109" s="35">
        <f t="shared" si="5"/>
        <v>14</v>
      </c>
      <c r="AA109" s="32">
        <v>1.0</v>
      </c>
      <c r="AB109" s="35">
        <f t="shared" si="6"/>
        <v>1</v>
      </c>
      <c r="AC109" s="23">
        <f t="shared" si="7"/>
        <v>2.5</v>
      </c>
      <c r="AD109" s="35">
        <f t="shared" si="8"/>
        <v>51</v>
      </c>
      <c r="AE109" s="32">
        <v>44.0</v>
      </c>
      <c r="AF109" s="32">
        <v>7.0</v>
      </c>
      <c r="AG109" s="36">
        <f t="shared" si="9"/>
        <v>86.2745098</v>
      </c>
      <c r="AH109" s="20">
        <v>10.0</v>
      </c>
      <c r="AI109" s="34" t="str">
        <f t="shared" si="10"/>
        <v>1.67</v>
      </c>
      <c r="AJ109" s="14"/>
      <c r="AK109" s="14"/>
      <c r="AL109" s="27">
        <f t="shared" si="11"/>
        <v>0</v>
      </c>
      <c r="AM109" s="27">
        <f t="shared" si="12"/>
        <v>0.3333333333</v>
      </c>
      <c r="AN109" s="28">
        <f t="shared" si="13"/>
        <v>0</v>
      </c>
      <c r="AO109" s="27">
        <f t="shared" si="14"/>
        <v>0.1666666667</v>
      </c>
      <c r="AP109" s="27">
        <f t="shared" si="15"/>
        <v>0</v>
      </c>
      <c r="AQ109" s="27">
        <f t="shared" ref="AQ109:AR109" si="122">iferror(AB109/$M109,"-")</f>
        <v>0.1666666667</v>
      </c>
      <c r="AR109" s="27">
        <f t="shared" si="122"/>
        <v>0.4166666667</v>
      </c>
      <c r="AS109" s="29">
        <f t="shared" si="17"/>
        <v>1.166666667</v>
      </c>
      <c r="AT109" s="29" t="str">
        <f t="shared" si="18"/>
        <v>1.67</v>
      </c>
      <c r="AU109" s="14"/>
      <c r="AV109" s="14"/>
      <c r="AW109" s="14"/>
      <c r="AX109" s="14"/>
    </row>
    <row r="110">
      <c r="B110" s="17">
        <v>107.0</v>
      </c>
      <c r="C110" s="18">
        <f t="shared" si="2"/>
        <v>5</v>
      </c>
      <c r="D110" s="19" t="s">
        <v>162</v>
      </c>
      <c r="E110" s="19" t="s">
        <v>167</v>
      </c>
      <c r="F110" s="31">
        <v>3.0</v>
      </c>
      <c r="G110" s="31" t="s">
        <v>50</v>
      </c>
      <c r="H110" s="31" t="s">
        <v>52</v>
      </c>
      <c r="I110" s="31">
        <v>165.0</v>
      </c>
      <c r="J110" s="31">
        <v>55.0</v>
      </c>
      <c r="K110" s="32">
        <v>7.0</v>
      </c>
      <c r="L110" s="32">
        <v>2.0</v>
      </c>
      <c r="M110" s="32">
        <v>6.0</v>
      </c>
      <c r="N110" s="32">
        <v>0.0</v>
      </c>
      <c r="O110" s="32">
        <v>1.0</v>
      </c>
      <c r="P110" s="32">
        <v>0.0</v>
      </c>
      <c r="Q110" s="32">
        <v>0.0</v>
      </c>
      <c r="R110" s="33" t="str">
        <f t="shared" si="3"/>
        <v>-</v>
      </c>
      <c r="S110" s="34" t="str">
        <f t="shared" si="4"/>
        <v>-</v>
      </c>
      <c r="T110" s="32">
        <v>0.0</v>
      </c>
      <c r="U110" s="32">
        <v>0.0</v>
      </c>
      <c r="V110" s="20">
        <v>0.0</v>
      </c>
      <c r="W110" s="32">
        <v>0.0</v>
      </c>
      <c r="X110" s="32">
        <v>0.0</v>
      </c>
      <c r="Y110" s="20">
        <v>0.0</v>
      </c>
      <c r="Z110" s="33" t="str">
        <f t="shared" si="5"/>
        <v>-</v>
      </c>
      <c r="AA110" s="32">
        <v>0.0</v>
      </c>
      <c r="AB110" s="33" t="str">
        <f t="shared" si="6"/>
        <v>-</v>
      </c>
      <c r="AC110" s="23">
        <f t="shared" si="7"/>
        <v>0</v>
      </c>
      <c r="AD110" s="35">
        <f t="shared" si="8"/>
        <v>43</v>
      </c>
      <c r="AE110" s="32">
        <v>40.0</v>
      </c>
      <c r="AF110" s="32">
        <v>3.0</v>
      </c>
      <c r="AG110" s="36">
        <f t="shared" si="9"/>
        <v>93.02325581</v>
      </c>
      <c r="AH110" s="20">
        <v>10.0</v>
      </c>
      <c r="AI110" s="34" t="str">
        <f t="shared" si="10"/>
        <v>1.67</v>
      </c>
      <c r="AJ110" s="14"/>
      <c r="AK110" s="14"/>
      <c r="AL110" s="27">
        <f t="shared" si="11"/>
        <v>0</v>
      </c>
      <c r="AM110" s="27" t="str">
        <f t="shared" si="12"/>
        <v>-</v>
      </c>
      <c r="AN110" s="28" t="str">
        <f t="shared" si="13"/>
        <v>-</v>
      </c>
      <c r="AO110" s="27">
        <f t="shared" si="14"/>
        <v>0</v>
      </c>
      <c r="AP110" s="27">
        <f t="shared" si="15"/>
        <v>0</v>
      </c>
      <c r="AQ110" s="27" t="str">
        <f t="shared" ref="AQ110:AR110" si="123">iferror(AB110/$M110,"-")</f>
        <v>-</v>
      </c>
      <c r="AR110" s="27">
        <f t="shared" si="123"/>
        <v>0</v>
      </c>
      <c r="AS110" s="29">
        <f t="shared" si="17"/>
        <v>0.5</v>
      </c>
      <c r="AT110" s="29" t="str">
        <f t="shared" si="18"/>
        <v>1.67</v>
      </c>
      <c r="AU110" s="14"/>
      <c r="AV110" s="14"/>
      <c r="AW110" s="14"/>
      <c r="AX110" s="14"/>
    </row>
    <row r="111">
      <c r="B111" s="17">
        <v>108.0</v>
      </c>
      <c r="C111" s="18">
        <f t="shared" si="2"/>
        <v>6</v>
      </c>
      <c r="D111" s="19" t="s">
        <v>162</v>
      </c>
      <c r="E111" s="19" t="s">
        <v>168</v>
      </c>
      <c r="F111" s="31">
        <v>3.0</v>
      </c>
      <c r="G111" s="31" t="s">
        <v>50</v>
      </c>
      <c r="H111" s="31" t="s">
        <v>52</v>
      </c>
      <c r="I111" s="31">
        <v>166.0</v>
      </c>
      <c r="J111" s="31">
        <v>60.0</v>
      </c>
      <c r="K111" s="32">
        <v>8.0</v>
      </c>
      <c r="L111" s="32">
        <v>0.0</v>
      </c>
      <c r="M111" s="32">
        <v>0.0</v>
      </c>
      <c r="N111" s="32">
        <v>0.0</v>
      </c>
      <c r="O111" s="32">
        <v>0.0</v>
      </c>
      <c r="P111" s="32">
        <v>0.0</v>
      </c>
      <c r="Q111" s="32">
        <v>0.0</v>
      </c>
      <c r="R111" s="33" t="str">
        <f t="shared" si="3"/>
        <v>-</v>
      </c>
      <c r="S111" s="34" t="str">
        <f t="shared" si="4"/>
        <v>-</v>
      </c>
      <c r="T111" s="32">
        <v>0.0</v>
      </c>
      <c r="U111" s="32">
        <v>0.0</v>
      </c>
      <c r="V111" s="20">
        <v>0.0</v>
      </c>
      <c r="W111" s="32">
        <v>0.0</v>
      </c>
      <c r="X111" s="32">
        <v>0.0</v>
      </c>
      <c r="Y111" s="20">
        <v>0.0</v>
      </c>
      <c r="Z111" s="33" t="str">
        <f t="shared" si="5"/>
        <v>-</v>
      </c>
      <c r="AA111" s="32">
        <v>0.0</v>
      </c>
      <c r="AB111" s="33" t="str">
        <f t="shared" si="6"/>
        <v>-</v>
      </c>
      <c r="AC111" s="23">
        <f t="shared" si="7"/>
        <v>0</v>
      </c>
      <c r="AD111" s="33" t="str">
        <f t="shared" si="8"/>
        <v>-</v>
      </c>
      <c r="AE111" s="32">
        <v>0.0</v>
      </c>
      <c r="AF111" s="32">
        <v>0.0</v>
      </c>
      <c r="AG111" s="36" t="str">
        <f t="shared" si="9"/>
        <v>-</v>
      </c>
      <c r="AH111" s="20">
        <v>0.0</v>
      </c>
      <c r="AI111" s="34" t="str">
        <f t="shared" si="10"/>
        <v>-</v>
      </c>
      <c r="AJ111" s="14"/>
      <c r="AK111" s="14"/>
      <c r="AL111" s="27" t="str">
        <f t="shared" si="11"/>
        <v>-</v>
      </c>
      <c r="AM111" s="27" t="str">
        <f t="shared" si="12"/>
        <v>-</v>
      </c>
      <c r="AN111" s="28" t="str">
        <f t="shared" si="13"/>
        <v>-</v>
      </c>
      <c r="AO111" s="27" t="str">
        <f t="shared" si="14"/>
        <v>-</v>
      </c>
      <c r="AP111" s="27" t="str">
        <f t="shared" si="15"/>
        <v>-</v>
      </c>
      <c r="AQ111" s="27" t="str">
        <f t="shared" ref="AQ111:AR111" si="124">iferror(AB111/$M111,"-")</f>
        <v>-</v>
      </c>
      <c r="AR111" s="27" t="str">
        <f t="shared" si="124"/>
        <v>-</v>
      </c>
      <c r="AS111" s="29" t="str">
        <f t="shared" si="17"/>
        <v>-</v>
      </c>
      <c r="AT111" s="29" t="str">
        <f t="shared" si="18"/>
        <v>-</v>
      </c>
      <c r="AU111" s="14"/>
      <c r="AV111" s="14"/>
      <c r="AW111" s="14"/>
      <c r="AX111" s="14"/>
    </row>
    <row r="112">
      <c r="B112" s="17">
        <v>109.0</v>
      </c>
      <c r="C112" s="18">
        <f t="shared" si="2"/>
        <v>7</v>
      </c>
      <c r="D112" s="19" t="s">
        <v>162</v>
      </c>
      <c r="E112" s="19" t="s">
        <v>169</v>
      </c>
      <c r="F112" s="31">
        <v>1.0</v>
      </c>
      <c r="G112" s="31" t="s">
        <v>54</v>
      </c>
      <c r="H112" s="31" t="s">
        <v>57</v>
      </c>
      <c r="I112" s="31">
        <v>165.0</v>
      </c>
      <c r="J112" s="31">
        <v>55.0</v>
      </c>
      <c r="K112" s="32">
        <v>9.0</v>
      </c>
      <c r="L112" s="32">
        <v>2.0</v>
      </c>
      <c r="M112" s="32">
        <v>6.0</v>
      </c>
      <c r="N112" s="32">
        <v>2.0</v>
      </c>
      <c r="O112" s="32">
        <v>27.0</v>
      </c>
      <c r="P112" s="32">
        <v>4.0</v>
      </c>
      <c r="Q112" s="32">
        <v>3.0</v>
      </c>
      <c r="R112" s="35">
        <f t="shared" si="3"/>
        <v>9</v>
      </c>
      <c r="S112" s="34">
        <f t="shared" si="4"/>
        <v>-0.11</v>
      </c>
      <c r="T112" s="32">
        <v>2.0</v>
      </c>
      <c r="U112" s="32">
        <v>1.0</v>
      </c>
      <c r="V112" s="20">
        <v>0.0</v>
      </c>
      <c r="W112" s="32">
        <v>9.0</v>
      </c>
      <c r="X112" s="32">
        <v>1.0</v>
      </c>
      <c r="Y112" s="20">
        <v>2.0</v>
      </c>
      <c r="Z112" s="35">
        <f t="shared" si="5"/>
        <v>12</v>
      </c>
      <c r="AA112" s="32">
        <v>2.0</v>
      </c>
      <c r="AB112" s="35">
        <f t="shared" si="6"/>
        <v>5</v>
      </c>
      <c r="AC112" s="23">
        <f t="shared" si="7"/>
        <v>5</v>
      </c>
      <c r="AD112" s="35">
        <f t="shared" si="8"/>
        <v>3</v>
      </c>
      <c r="AE112" s="32">
        <v>1.0</v>
      </c>
      <c r="AF112" s="32">
        <v>2.0</v>
      </c>
      <c r="AG112" s="36">
        <f t="shared" si="9"/>
        <v>33.33333333</v>
      </c>
      <c r="AH112" s="20">
        <v>7.0</v>
      </c>
      <c r="AI112" s="34" t="str">
        <f t="shared" si="10"/>
        <v>1.17</v>
      </c>
      <c r="AJ112" s="14"/>
      <c r="AK112" s="14"/>
      <c r="AL112" s="27">
        <f t="shared" si="11"/>
        <v>0.3333333333</v>
      </c>
      <c r="AM112" s="27">
        <f t="shared" si="12"/>
        <v>1.5</v>
      </c>
      <c r="AN112" s="28">
        <f t="shared" si="13"/>
        <v>0.2222222222</v>
      </c>
      <c r="AO112" s="27">
        <f t="shared" si="14"/>
        <v>0.3333333333</v>
      </c>
      <c r="AP112" s="27">
        <f t="shared" si="15"/>
        <v>0.1666666667</v>
      </c>
      <c r="AQ112" s="27">
        <f t="shared" ref="AQ112:AR112" si="125">iferror(AB112/$M112,"-")</f>
        <v>0.8333333333</v>
      </c>
      <c r="AR112" s="27">
        <f t="shared" si="125"/>
        <v>0.8333333333</v>
      </c>
      <c r="AS112" s="29">
        <f t="shared" si="17"/>
        <v>0.3333333333</v>
      </c>
      <c r="AT112" s="29" t="str">
        <f t="shared" si="18"/>
        <v>1.17</v>
      </c>
      <c r="AU112" s="14"/>
      <c r="AV112" s="14"/>
      <c r="AW112" s="14"/>
      <c r="AX112" s="14"/>
    </row>
    <row r="113">
      <c r="B113" s="17">
        <v>110.0</v>
      </c>
      <c r="C113" s="18">
        <f t="shared" si="2"/>
        <v>8</v>
      </c>
      <c r="D113" s="19" t="s">
        <v>162</v>
      </c>
      <c r="E113" s="19" t="s">
        <v>171</v>
      </c>
      <c r="F113" s="31">
        <v>2.0</v>
      </c>
      <c r="G113" s="31" t="s">
        <v>47</v>
      </c>
      <c r="H113" s="31" t="s">
        <v>52</v>
      </c>
      <c r="I113" s="31">
        <v>175.0</v>
      </c>
      <c r="J113" s="31">
        <v>60.0</v>
      </c>
      <c r="K113" s="32">
        <v>11.0</v>
      </c>
      <c r="L113" s="32">
        <v>2.0</v>
      </c>
      <c r="M113" s="32">
        <v>6.0</v>
      </c>
      <c r="N113" s="32">
        <v>7.0</v>
      </c>
      <c r="O113" s="32">
        <v>1.0</v>
      </c>
      <c r="P113" s="32">
        <v>10.0</v>
      </c>
      <c r="Q113" s="32">
        <v>4.0</v>
      </c>
      <c r="R113" s="35">
        <f t="shared" si="3"/>
        <v>21</v>
      </c>
      <c r="S113" s="34">
        <f t="shared" si="4"/>
        <v>0.14</v>
      </c>
      <c r="T113" s="32">
        <v>0.0</v>
      </c>
      <c r="U113" s="32">
        <v>0.0</v>
      </c>
      <c r="V113" s="20">
        <v>1.0</v>
      </c>
      <c r="W113" s="32">
        <v>8.0</v>
      </c>
      <c r="X113" s="32">
        <v>1.0</v>
      </c>
      <c r="Y113" s="20">
        <v>2.0</v>
      </c>
      <c r="Z113" s="35">
        <f t="shared" si="5"/>
        <v>11</v>
      </c>
      <c r="AA113" s="32">
        <v>0.0</v>
      </c>
      <c r="AB113" s="35">
        <f t="shared" si="6"/>
        <v>8</v>
      </c>
      <c r="AC113" s="23">
        <f t="shared" si="7"/>
        <v>8.75</v>
      </c>
      <c r="AD113" s="35">
        <f t="shared" si="8"/>
        <v>2</v>
      </c>
      <c r="AE113" s="32">
        <v>2.0</v>
      </c>
      <c r="AF113" s="32">
        <v>0.0</v>
      </c>
      <c r="AG113" s="36">
        <f t="shared" si="9"/>
        <v>100</v>
      </c>
      <c r="AH113" s="20">
        <v>0.0</v>
      </c>
      <c r="AI113" s="34" t="str">
        <f t="shared" si="10"/>
        <v>0</v>
      </c>
      <c r="AJ113" s="14"/>
      <c r="AK113" s="14"/>
      <c r="AL113" s="27">
        <f t="shared" si="11"/>
        <v>1.166666667</v>
      </c>
      <c r="AM113" s="27">
        <f t="shared" si="12"/>
        <v>3.5</v>
      </c>
      <c r="AN113" s="28">
        <f t="shared" si="13"/>
        <v>0.3333333333</v>
      </c>
      <c r="AO113" s="27">
        <f t="shared" si="14"/>
        <v>0</v>
      </c>
      <c r="AP113" s="27">
        <f t="shared" si="15"/>
        <v>0.1666666667</v>
      </c>
      <c r="AQ113" s="27">
        <f t="shared" ref="AQ113:AR113" si="126">iferror(AB113/$M113,"-")</f>
        <v>1.333333333</v>
      </c>
      <c r="AR113" s="27">
        <f t="shared" si="126"/>
        <v>1.458333333</v>
      </c>
      <c r="AS113" s="29">
        <f t="shared" si="17"/>
        <v>0</v>
      </c>
      <c r="AT113" s="29" t="str">
        <f t="shared" si="18"/>
        <v>0</v>
      </c>
      <c r="AU113" s="14"/>
      <c r="AV113" s="14"/>
      <c r="AW113" s="14"/>
      <c r="AX113" s="14"/>
    </row>
    <row r="114">
      <c r="B114" s="17">
        <v>111.0</v>
      </c>
      <c r="C114" s="18">
        <f t="shared" si="2"/>
        <v>9</v>
      </c>
      <c r="D114" s="19" t="s">
        <v>162</v>
      </c>
      <c r="E114" s="19" t="s">
        <v>172</v>
      </c>
      <c r="F114" s="31">
        <v>1.0</v>
      </c>
      <c r="G114" s="31" t="s">
        <v>52</v>
      </c>
      <c r="H114" s="31" t="s">
        <v>57</v>
      </c>
      <c r="I114" s="31">
        <v>168.0</v>
      </c>
      <c r="J114" s="31">
        <v>53.0</v>
      </c>
      <c r="K114" s="32">
        <v>12.0</v>
      </c>
      <c r="L114" s="32">
        <v>1.0</v>
      </c>
      <c r="M114" s="32">
        <v>1.0</v>
      </c>
      <c r="N114" s="32">
        <v>0.0</v>
      </c>
      <c r="O114" s="32">
        <v>0.0</v>
      </c>
      <c r="P114" s="32">
        <v>0.0</v>
      </c>
      <c r="Q114" s="32">
        <v>0.0</v>
      </c>
      <c r="R114" s="33" t="str">
        <f t="shared" si="3"/>
        <v>-</v>
      </c>
      <c r="S114" s="34" t="str">
        <f t="shared" si="4"/>
        <v>-</v>
      </c>
      <c r="T114" s="32">
        <v>0.0</v>
      </c>
      <c r="U114" s="32">
        <v>0.0</v>
      </c>
      <c r="V114" s="32">
        <v>0.0</v>
      </c>
      <c r="W114" s="32">
        <v>1.0</v>
      </c>
      <c r="X114" s="32">
        <v>0.0</v>
      </c>
      <c r="Y114" s="32">
        <v>0.0</v>
      </c>
      <c r="Z114" s="35">
        <f t="shared" si="5"/>
        <v>1</v>
      </c>
      <c r="AA114" s="32">
        <v>0.0</v>
      </c>
      <c r="AB114" s="33" t="str">
        <f t="shared" si="6"/>
        <v>-</v>
      </c>
      <c r="AC114" s="23">
        <f t="shared" si="7"/>
        <v>0</v>
      </c>
      <c r="AD114" s="33" t="str">
        <f t="shared" si="8"/>
        <v>-</v>
      </c>
      <c r="AE114" s="32">
        <v>0.0</v>
      </c>
      <c r="AF114" s="32">
        <v>0.0</v>
      </c>
      <c r="AG114" s="36" t="str">
        <f t="shared" si="9"/>
        <v>-</v>
      </c>
      <c r="AH114" s="32">
        <v>0.0</v>
      </c>
      <c r="AI114" s="34" t="str">
        <f t="shared" si="10"/>
        <v>0</v>
      </c>
      <c r="AJ114" s="14"/>
      <c r="AK114" s="14"/>
      <c r="AL114" s="27">
        <f t="shared" si="11"/>
        <v>0</v>
      </c>
      <c r="AM114" s="27" t="str">
        <f t="shared" si="12"/>
        <v>-</v>
      </c>
      <c r="AN114" s="28" t="str">
        <f t="shared" si="13"/>
        <v>-</v>
      </c>
      <c r="AO114" s="27">
        <f t="shared" si="14"/>
        <v>0</v>
      </c>
      <c r="AP114" s="27">
        <f t="shared" si="15"/>
        <v>0</v>
      </c>
      <c r="AQ114" s="27" t="str">
        <f t="shared" ref="AQ114:AR114" si="127">iferror(AB114/$M114,"-")</f>
        <v>-</v>
      </c>
      <c r="AR114" s="27">
        <f t="shared" si="127"/>
        <v>0</v>
      </c>
      <c r="AS114" s="29">
        <f t="shared" si="17"/>
        <v>0</v>
      </c>
      <c r="AT114" s="29" t="str">
        <f t="shared" si="18"/>
        <v>0</v>
      </c>
      <c r="AU114" s="14"/>
      <c r="AV114" s="14"/>
      <c r="AW114" s="14"/>
      <c r="AX114" s="14"/>
    </row>
    <row r="115">
      <c r="B115" s="17">
        <v>112.0</v>
      </c>
      <c r="C115" s="18"/>
      <c r="D115" s="18"/>
      <c r="E115" s="18"/>
      <c r="F115" s="37"/>
      <c r="G115" s="37"/>
      <c r="H115" s="37"/>
      <c r="I115" s="37"/>
      <c r="J115" s="37"/>
      <c r="K115" s="38"/>
      <c r="L115" s="38"/>
      <c r="M115" s="38"/>
      <c r="N115" s="38"/>
      <c r="O115" s="38"/>
      <c r="P115" s="38"/>
      <c r="Q115" s="40"/>
      <c r="R115" s="33" t="str">
        <f t="shared" si="3"/>
        <v>-</v>
      </c>
      <c r="S115" s="34" t="str">
        <f t="shared" si="4"/>
        <v>-</v>
      </c>
      <c r="T115" s="39"/>
      <c r="U115" s="38"/>
      <c r="V115" s="38"/>
      <c r="W115" s="38"/>
      <c r="X115" s="38"/>
      <c r="Y115" s="40"/>
      <c r="Z115" s="33" t="str">
        <f t="shared" si="5"/>
        <v>-</v>
      </c>
      <c r="AA115" s="41"/>
      <c r="AB115" s="33" t="str">
        <f t="shared" si="6"/>
        <v>-</v>
      </c>
      <c r="AC115" s="23">
        <f t="shared" si="7"/>
        <v>0</v>
      </c>
      <c r="AD115" s="33" t="str">
        <f t="shared" si="8"/>
        <v>-</v>
      </c>
      <c r="AE115" s="42"/>
      <c r="AF115" s="43"/>
      <c r="AG115" s="36" t="str">
        <f t="shared" si="9"/>
        <v>-</v>
      </c>
      <c r="AH115" s="41"/>
      <c r="AI115" s="34" t="str">
        <f t="shared" si="10"/>
        <v>-</v>
      </c>
      <c r="AJ115" s="14"/>
      <c r="AK115" s="14"/>
      <c r="AL115" s="27" t="str">
        <f t="shared" si="11"/>
        <v>-</v>
      </c>
      <c r="AM115" s="27" t="str">
        <f t="shared" si="12"/>
        <v>-</v>
      </c>
      <c r="AN115" s="28" t="str">
        <f t="shared" si="13"/>
        <v>-</v>
      </c>
      <c r="AO115" s="27" t="str">
        <f t="shared" si="14"/>
        <v>-</v>
      </c>
      <c r="AP115" s="27" t="str">
        <f t="shared" si="15"/>
        <v>-</v>
      </c>
      <c r="AQ115" s="27" t="str">
        <f t="shared" ref="AQ115:AR115" si="128">iferror(AB115/$M115,"-")</f>
        <v>-</v>
      </c>
      <c r="AR115" s="27" t="str">
        <f t="shared" si="128"/>
        <v>-</v>
      </c>
      <c r="AS115" s="29" t="str">
        <f t="shared" si="17"/>
        <v>-</v>
      </c>
      <c r="AT115" s="29" t="str">
        <f t="shared" si="18"/>
        <v>-</v>
      </c>
      <c r="AU115" s="14"/>
      <c r="AV115" s="14"/>
      <c r="AW115" s="14"/>
      <c r="AX115" s="14"/>
    </row>
    <row r="116">
      <c r="B116" s="17"/>
      <c r="C116" s="18"/>
      <c r="D116" s="18" t="s">
        <v>208</v>
      </c>
      <c r="E116" s="18"/>
      <c r="F116" s="37"/>
      <c r="G116" s="37"/>
      <c r="H116" s="37"/>
      <c r="I116" s="37"/>
      <c r="J116" s="37"/>
      <c r="K116" s="38"/>
      <c r="L116" s="38">
        <f t="shared" ref="L116:Q116" si="129">SUM(L4:L115)</f>
        <v>254</v>
      </c>
      <c r="M116" s="38">
        <f t="shared" si="129"/>
        <v>786</v>
      </c>
      <c r="N116" s="38">
        <f t="shared" si="129"/>
        <v>1042</v>
      </c>
      <c r="O116" s="38">
        <f t="shared" si="129"/>
        <v>958</v>
      </c>
      <c r="P116" s="38">
        <f t="shared" si="129"/>
        <v>1283</v>
      </c>
      <c r="Q116" s="38">
        <f t="shared" si="129"/>
        <v>478</v>
      </c>
      <c r="R116" s="35">
        <f t="shared" si="3"/>
        <v>2803</v>
      </c>
      <c r="S116" s="34">
        <f t="shared" si="4"/>
        <v>0.2</v>
      </c>
      <c r="T116" s="38">
        <f t="shared" ref="T116:Y116" si="130">SUM(T4:T115)</f>
        <v>162</v>
      </c>
      <c r="U116" s="38">
        <f t="shared" si="130"/>
        <v>18</v>
      </c>
      <c r="V116" s="38">
        <f t="shared" si="130"/>
        <v>119</v>
      </c>
      <c r="W116" s="38">
        <f t="shared" si="130"/>
        <v>1572</v>
      </c>
      <c r="X116" s="38">
        <f t="shared" si="130"/>
        <v>152</v>
      </c>
      <c r="Y116" s="38">
        <f t="shared" si="130"/>
        <v>210</v>
      </c>
      <c r="Z116" s="35">
        <f t="shared" si="5"/>
        <v>1934</v>
      </c>
      <c r="AA116" s="38">
        <f>SUM(AA4:AA115)</f>
        <v>53</v>
      </c>
      <c r="AB116" s="35">
        <f t="shared" si="6"/>
        <v>1356</v>
      </c>
      <c r="AC116" s="23">
        <f t="shared" si="7"/>
        <v>1445.25</v>
      </c>
      <c r="AD116" s="35">
        <f t="shared" si="8"/>
        <v>1776</v>
      </c>
      <c r="AE116" s="38">
        <f t="shared" ref="AE116:AF116" si="131">SUM(AE4:AE115)</f>
        <v>1572</v>
      </c>
      <c r="AF116" s="38">
        <f t="shared" si="131"/>
        <v>204</v>
      </c>
      <c r="AG116" s="36">
        <f t="shared" si="9"/>
        <v>88.51351351</v>
      </c>
      <c r="AH116" s="38">
        <f>SUM(AH4:AH115)</f>
        <v>1094</v>
      </c>
      <c r="AI116" s="34" t="str">
        <f t="shared" si="10"/>
        <v>1.39</v>
      </c>
    </row>
  </sheetData>
  <mergeCells count="2">
    <mergeCell ref="B1:AI1"/>
    <mergeCell ref="B3:C3"/>
  </mergeCells>
  <conditionalFormatting sqref="S4:S116">
    <cfRule type="cellIs" dxfId="3" priority="1" operator="lessThan">
      <formula>0</formula>
    </cfRule>
  </conditionalFormatting>
  <conditionalFormatting sqref="D4:E116">
    <cfRule type="cellIs" dxfId="4" priority="2" operator="equal">
      <formula>"광주체고"</formula>
    </cfRule>
  </conditionalFormatting>
  <conditionalFormatting sqref="D4:E116">
    <cfRule type="cellIs" dxfId="5" priority="3" operator="equal">
      <formula>"경일고"</formula>
    </cfRule>
  </conditionalFormatting>
  <conditionalFormatting sqref="D4:E116">
    <cfRule type="cellIs" dxfId="6" priority="4" operator="equal">
      <formula>"천안청수"</formula>
    </cfRule>
  </conditionalFormatting>
  <conditionalFormatting sqref="D4:E116">
    <cfRule type="containsText" dxfId="7" priority="5" operator="containsText" text="강릉여고">
      <formula>NOT(ISERROR(SEARCH(("강릉여고"),(D4))))</formula>
    </cfRule>
  </conditionalFormatting>
  <conditionalFormatting sqref="D4:E116">
    <cfRule type="containsText" dxfId="8" priority="6" operator="containsText" text="경남여고">
      <formula>NOT(ISERROR(SEARCH(("경남여고"),(D4))))</formula>
    </cfRule>
  </conditionalFormatting>
  <conditionalFormatting sqref="D4:E116">
    <cfRule type="cellIs" dxfId="9" priority="7" operator="equal">
      <formula>"제천여고"</formula>
    </cfRule>
  </conditionalFormatting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0.5"/>
    <col customWidth="1" min="2" max="2" width="4.13"/>
    <col customWidth="1" min="3" max="3" width="4.38"/>
    <col customWidth="1" min="4" max="4" width="10.25"/>
    <col customWidth="1" min="5" max="5" width="8.13"/>
    <col customWidth="1" min="6" max="10" width="5.88"/>
    <col customWidth="1" min="11" max="11" width="5.5"/>
    <col customWidth="1" min="12" max="17" width="6.13"/>
    <col customWidth="1" min="18" max="18" width="6.88"/>
    <col customWidth="1" min="19" max="19" width="7.38"/>
    <col customWidth="1" min="20" max="27" width="6.13"/>
    <col customWidth="1" min="28" max="28" width="7.25"/>
    <col customWidth="1" min="29" max="29" width="6.88"/>
    <col customWidth="1" min="30" max="32" width="6.13"/>
    <col customWidth="1" min="33" max="33" width="6.63"/>
    <col customWidth="1" min="34" max="35" width="6.13"/>
    <col customWidth="1" min="36" max="37" width="4.25"/>
    <col customWidth="1" min="38" max="50" width="6.13"/>
  </cols>
  <sheetData>
    <row r="1">
      <c r="A1" s="1"/>
      <c r="B1" s="1" t="s">
        <v>213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C2" s="2" t="s">
        <v>214</v>
      </c>
      <c r="AL2" s="3" t="s">
        <v>2</v>
      </c>
      <c r="AM2" s="4"/>
      <c r="AN2" s="4"/>
      <c r="AO2" s="4"/>
      <c r="AP2" s="4"/>
      <c r="AQ2" s="5"/>
      <c r="AR2" s="5"/>
      <c r="AS2" s="5"/>
      <c r="AT2" s="5"/>
    </row>
    <row r="3" ht="70.5" customHeight="1">
      <c r="B3" s="6" t="s">
        <v>3</v>
      </c>
      <c r="C3" s="7"/>
      <c r="D3" s="8" t="s">
        <v>4</v>
      </c>
      <c r="E3" s="8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1" t="s">
        <v>18</v>
      </c>
      <c r="S3" s="12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1" t="s">
        <v>26</v>
      </c>
      <c r="AA3" s="10" t="s">
        <v>27</v>
      </c>
      <c r="AB3" s="11" t="s">
        <v>28</v>
      </c>
      <c r="AC3" s="11" t="s">
        <v>215</v>
      </c>
      <c r="AD3" s="11" t="s">
        <v>30</v>
      </c>
      <c r="AE3" s="10" t="s">
        <v>31</v>
      </c>
      <c r="AF3" s="10" t="s">
        <v>32</v>
      </c>
      <c r="AG3" s="11" t="s">
        <v>33</v>
      </c>
      <c r="AH3" s="10" t="s">
        <v>34</v>
      </c>
      <c r="AI3" s="13" t="s">
        <v>35</v>
      </c>
      <c r="AJ3" s="14"/>
      <c r="AK3" s="14"/>
      <c r="AL3" s="9" t="s">
        <v>36</v>
      </c>
      <c r="AM3" s="15" t="s">
        <v>37</v>
      </c>
      <c r="AN3" s="16" t="s">
        <v>38</v>
      </c>
      <c r="AO3" s="9" t="s">
        <v>39</v>
      </c>
      <c r="AP3" s="9" t="s">
        <v>40</v>
      </c>
      <c r="AQ3" s="15" t="s">
        <v>41</v>
      </c>
      <c r="AR3" s="15" t="s">
        <v>216</v>
      </c>
      <c r="AS3" s="9" t="s">
        <v>43</v>
      </c>
      <c r="AT3" s="9" t="s">
        <v>44</v>
      </c>
      <c r="AU3" s="14"/>
      <c r="AV3" s="14"/>
      <c r="AW3" s="14"/>
      <c r="AX3" s="14"/>
    </row>
    <row r="4">
      <c r="B4" s="17">
        <v>1.0</v>
      </c>
      <c r="C4" s="18">
        <f t="shared" ref="C4:C86" si="2">if(D4=D3,C3+1,1)</f>
        <v>1</v>
      </c>
      <c r="D4" s="19" t="s">
        <v>100</v>
      </c>
      <c r="E4" s="31" t="s">
        <v>101</v>
      </c>
      <c r="F4" s="31">
        <v>3.0</v>
      </c>
      <c r="G4" s="31" t="s">
        <v>50</v>
      </c>
      <c r="H4" s="31" t="s">
        <v>48</v>
      </c>
      <c r="I4" s="31">
        <v>164.0</v>
      </c>
      <c r="J4" s="31">
        <v>54.0</v>
      </c>
      <c r="K4" s="32">
        <v>1.0</v>
      </c>
      <c r="L4" s="32">
        <v>4.0</v>
      </c>
      <c r="M4" s="32">
        <v>12.0</v>
      </c>
      <c r="N4" s="32">
        <v>0.0</v>
      </c>
      <c r="O4" s="32">
        <v>4.0</v>
      </c>
      <c r="P4" s="32">
        <v>0.0</v>
      </c>
      <c r="Q4" s="32">
        <v>0.0</v>
      </c>
      <c r="R4" s="30" t="str">
        <f t="shared" ref="R4:R87" si="3">if(Q4+P4+N4=0,"-",Q4+P4+N4)</f>
        <v>-</v>
      </c>
      <c r="S4" s="22" t="str">
        <f t="shared" ref="S4:S87" si="4">if(iferror((N4-Q4)/R4,0)=0,"-",round((N4-Q4)/R4,2))</f>
        <v>-</v>
      </c>
      <c r="T4" s="32">
        <v>0.0</v>
      </c>
      <c r="U4" s="32">
        <v>0.0</v>
      </c>
      <c r="V4" s="32">
        <v>0.0</v>
      </c>
      <c r="W4" s="32">
        <v>0.0</v>
      </c>
      <c r="X4" s="32">
        <v>0.0</v>
      </c>
      <c r="Y4" s="32">
        <v>0.0</v>
      </c>
      <c r="Z4" s="30" t="str">
        <f t="shared" ref="Z4:Z87" si="5">IF(Y4+X4+W4=0,"-",Y4+X4+W4)</f>
        <v>-</v>
      </c>
      <c r="AA4" s="32">
        <v>0.0</v>
      </c>
      <c r="AB4" s="30" t="str">
        <f t="shared" ref="AB4:AB87" si="6">if((T4+X4+N4)=0, "-",T4+X4+N4)</f>
        <v>-</v>
      </c>
      <c r="AC4" s="23">
        <f t="shared" ref="AC4:AC87" si="7">N4+T4+X4+(V4*0.75)</f>
        <v>0</v>
      </c>
      <c r="AD4" s="21">
        <f t="shared" ref="AD4:AD87" si="8">IF(AE4+AF4=0,"-",AE4+AF4)</f>
        <v>43</v>
      </c>
      <c r="AE4" s="32">
        <v>42.0</v>
      </c>
      <c r="AF4" s="32">
        <v>1.0</v>
      </c>
      <c r="AG4" s="24">
        <f t="shared" ref="AG4:AG87" si="9">iferror((AE4/AD4)*100,"-")</f>
        <v>97.6744186</v>
      </c>
      <c r="AH4" s="32">
        <v>33.0</v>
      </c>
      <c r="AI4" s="22" t="str">
        <f t="shared" ref="AI4:AI87" si="10">IFERROR(IF(MOD(AH4/M4, 1)=0, TEXT(AH4/M4, "0"), TEXT(AH4/M4, "0.00")), "-")</f>
        <v>2.75</v>
      </c>
      <c r="AJ4" s="26"/>
      <c r="AK4" s="26"/>
      <c r="AL4" s="27">
        <f t="shared" ref="AL4:AL87" si="11">iferror(N4/$M4,"-")</f>
        <v>0</v>
      </c>
      <c r="AM4" s="27" t="str">
        <f t="shared" ref="AM4:AM87" si="12">iferror(R4/$M4,"-")</f>
        <v>-</v>
      </c>
      <c r="AN4" s="28" t="str">
        <f t="shared" ref="AN4:AN87" si="13">iferror(N4/R4,"-")</f>
        <v>-</v>
      </c>
      <c r="AO4" s="27">
        <f t="shared" ref="AO4:AO87" si="14">iferror(T4/$M4,"-")</f>
        <v>0</v>
      </c>
      <c r="AP4" s="27">
        <f t="shared" ref="AP4:AP87" si="15">iferror(X4/$M4,"-")</f>
        <v>0</v>
      </c>
      <c r="AQ4" s="27" t="str">
        <f t="shared" ref="AQ4:AR4" si="1">iferror(AB4/$M4,"-")</f>
        <v>-</v>
      </c>
      <c r="AR4" s="27">
        <f t="shared" si="1"/>
        <v>0</v>
      </c>
      <c r="AS4" s="29">
        <f t="shared" ref="AS4:AS87" si="17">iferror(AF4/M4,"-")</f>
        <v>0.08333333333</v>
      </c>
      <c r="AT4" s="29" t="str">
        <f t="shared" ref="AT4:AT87" si="18">AI4</f>
        <v>2.75</v>
      </c>
      <c r="AU4" s="26"/>
      <c r="AV4" s="26"/>
      <c r="AW4" s="26"/>
      <c r="AX4" s="26"/>
    </row>
    <row r="5">
      <c r="B5" s="17">
        <v>2.0</v>
      </c>
      <c r="C5" s="18">
        <f t="shared" si="2"/>
        <v>2</v>
      </c>
      <c r="D5" s="19" t="s">
        <v>100</v>
      </c>
      <c r="E5" s="31" t="s">
        <v>102</v>
      </c>
      <c r="F5" s="31">
        <v>2.0</v>
      </c>
      <c r="G5" s="31" t="s">
        <v>50</v>
      </c>
      <c r="H5" s="31" t="s">
        <v>52</v>
      </c>
      <c r="I5" s="31">
        <v>165.0</v>
      </c>
      <c r="J5" s="31">
        <v>55.0</v>
      </c>
      <c r="K5" s="32">
        <v>2.0</v>
      </c>
      <c r="L5" s="32">
        <v>3.0</v>
      </c>
      <c r="M5" s="32">
        <v>3.0</v>
      </c>
      <c r="N5" s="32">
        <v>0.0</v>
      </c>
      <c r="O5" s="32">
        <v>2.0</v>
      </c>
      <c r="P5" s="32">
        <v>0.0</v>
      </c>
      <c r="Q5" s="32">
        <v>0.0</v>
      </c>
      <c r="R5" s="30" t="str">
        <f t="shared" si="3"/>
        <v>-</v>
      </c>
      <c r="S5" s="22" t="str">
        <f t="shared" si="4"/>
        <v>-</v>
      </c>
      <c r="T5" s="32">
        <v>0.0</v>
      </c>
      <c r="U5" s="32">
        <v>0.0</v>
      </c>
      <c r="V5" s="32">
        <v>0.0</v>
      </c>
      <c r="W5" s="32">
        <v>0.0</v>
      </c>
      <c r="X5" s="32">
        <v>0.0</v>
      </c>
      <c r="Y5" s="32">
        <v>0.0</v>
      </c>
      <c r="Z5" s="30" t="str">
        <f t="shared" si="5"/>
        <v>-</v>
      </c>
      <c r="AA5" s="32">
        <v>0.0</v>
      </c>
      <c r="AB5" s="30" t="str">
        <f t="shared" si="6"/>
        <v>-</v>
      </c>
      <c r="AC5" s="23">
        <f t="shared" si="7"/>
        <v>0</v>
      </c>
      <c r="AD5" s="21">
        <f t="shared" si="8"/>
        <v>8</v>
      </c>
      <c r="AE5" s="32">
        <v>7.0</v>
      </c>
      <c r="AF5" s="32">
        <v>1.0</v>
      </c>
      <c r="AG5" s="24">
        <f t="shared" si="9"/>
        <v>87.5</v>
      </c>
      <c r="AH5" s="32">
        <v>3.0</v>
      </c>
      <c r="AI5" s="22" t="str">
        <f t="shared" si="10"/>
        <v>1</v>
      </c>
      <c r="AJ5" s="26"/>
      <c r="AK5" s="26"/>
      <c r="AL5" s="27">
        <f t="shared" si="11"/>
        <v>0</v>
      </c>
      <c r="AM5" s="27" t="str">
        <f t="shared" si="12"/>
        <v>-</v>
      </c>
      <c r="AN5" s="28" t="str">
        <f t="shared" si="13"/>
        <v>-</v>
      </c>
      <c r="AO5" s="27">
        <f t="shared" si="14"/>
        <v>0</v>
      </c>
      <c r="AP5" s="27">
        <f t="shared" si="15"/>
        <v>0</v>
      </c>
      <c r="AQ5" s="27" t="str">
        <f t="shared" ref="AQ5:AR5" si="16">iferror(AB5/$M5,"-")</f>
        <v>-</v>
      </c>
      <c r="AR5" s="27">
        <f t="shared" si="16"/>
        <v>0</v>
      </c>
      <c r="AS5" s="29">
        <f t="shared" si="17"/>
        <v>0.3333333333</v>
      </c>
      <c r="AT5" s="29" t="str">
        <f t="shared" si="18"/>
        <v>1</v>
      </c>
      <c r="AU5" s="26"/>
      <c r="AV5" s="26"/>
      <c r="AW5" s="26"/>
      <c r="AX5" s="26"/>
    </row>
    <row r="6">
      <c r="B6" s="17">
        <v>3.0</v>
      </c>
      <c r="C6" s="18">
        <f t="shared" si="2"/>
        <v>3</v>
      </c>
      <c r="D6" s="19" t="s">
        <v>100</v>
      </c>
      <c r="E6" s="31" t="s">
        <v>103</v>
      </c>
      <c r="F6" s="31">
        <v>2.0</v>
      </c>
      <c r="G6" s="31" t="s">
        <v>52</v>
      </c>
      <c r="H6" s="31" t="s">
        <v>48</v>
      </c>
      <c r="I6" s="31">
        <v>164.0</v>
      </c>
      <c r="J6" s="31">
        <v>57.0</v>
      </c>
      <c r="K6" s="32">
        <v>3.0</v>
      </c>
      <c r="L6" s="32">
        <v>4.0</v>
      </c>
      <c r="M6" s="32">
        <v>11.0</v>
      </c>
      <c r="N6" s="32">
        <v>0.0</v>
      </c>
      <c r="O6" s="32">
        <v>1.0</v>
      </c>
      <c r="P6" s="32">
        <v>0.0</v>
      </c>
      <c r="Q6" s="32">
        <v>0.0</v>
      </c>
      <c r="R6" s="30" t="str">
        <f t="shared" si="3"/>
        <v>-</v>
      </c>
      <c r="S6" s="22" t="str">
        <f t="shared" si="4"/>
        <v>-</v>
      </c>
      <c r="T6" s="32">
        <v>0.0</v>
      </c>
      <c r="U6" s="32">
        <v>0.0</v>
      </c>
      <c r="V6" s="32">
        <v>0.0</v>
      </c>
      <c r="W6" s="32">
        <v>13.0</v>
      </c>
      <c r="X6" s="32">
        <v>0.0</v>
      </c>
      <c r="Y6" s="32">
        <v>2.0</v>
      </c>
      <c r="Z6" s="21">
        <f t="shared" si="5"/>
        <v>15</v>
      </c>
      <c r="AA6" s="32">
        <v>0.0</v>
      </c>
      <c r="AB6" s="30" t="str">
        <f t="shared" si="6"/>
        <v>-</v>
      </c>
      <c r="AC6" s="23">
        <f t="shared" si="7"/>
        <v>0</v>
      </c>
      <c r="AD6" s="21">
        <f t="shared" si="8"/>
        <v>13</v>
      </c>
      <c r="AE6" s="32">
        <v>13.0</v>
      </c>
      <c r="AF6" s="32">
        <v>0.0</v>
      </c>
      <c r="AG6" s="24">
        <f t="shared" si="9"/>
        <v>100</v>
      </c>
      <c r="AH6" s="32">
        <v>15.0</v>
      </c>
      <c r="AI6" s="22" t="str">
        <f t="shared" si="10"/>
        <v>1.36</v>
      </c>
      <c r="AJ6" s="26"/>
      <c r="AK6" s="26"/>
      <c r="AL6" s="27">
        <f t="shared" si="11"/>
        <v>0</v>
      </c>
      <c r="AM6" s="27" t="str">
        <f t="shared" si="12"/>
        <v>-</v>
      </c>
      <c r="AN6" s="28" t="str">
        <f t="shared" si="13"/>
        <v>-</v>
      </c>
      <c r="AO6" s="27">
        <f t="shared" si="14"/>
        <v>0</v>
      </c>
      <c r="AP6" s="27">
        <f t="shared" si="15"/>
        <v>0</v>
      </c>
      <c r="AQ6" s="27" t="str">
        <f t="shared" ref="AQ6:AR6" si="19">iferror(AB6/$M6,"-")</f>
        <v>-</v>
      </c>
      <c r="AR6" s="27">
        <f t="shared" si="19"/>
        <v>0</v>
      </c>
      <c r="AS6" s="29">
        <f t="shared" si="17"/>
        <v>0</v>
      </c>
      <c r="AT6" s="29" t="str">
        <f t="shared" si="18"/>
        <v>1.36</v>
      </c>
      <c r="AU6" s="26"/>
      <c r="AV6" s="26"/>
      <c r="AW6" s="26"/>
      <c r="AX6" s="26"/>
    </row>
    <row r="7">
      <c r="B7" s="17">
        <v>4.0</v>
      </c>
      <c r="C7" s="18">
        <f t="shared" si="2"/>
        <v>4</v>
      </c>
      <c r="D7" s="19" t="s">
        <v>100</v>
      </c>
      <c r="E7" s="31" t="s">
        <v>104</v>
      </c>
      <c r="F7" s="31">
        <v>1.0</v>
      </c>
      <c r="G7" s="31" t="s">
        <v>57</v>
      </c>
      <c r="H7" s="31" t="s">
        <v>47</v>
      </c>
      <c r="I7" s="31">
        <v>179.0</v>
      </c>
      <c r="J7" s="31">
        <v>80.0</v>
      </c>
      <c r="K7" s="32">
        <v>6.0</v>
      </c>
      <c r="L7" s="32">
        <v>4.0</v>
      </c>
      <c r="M7" s="32">
        <v>10.0</v>
      </c>
      <c r="N7" s="32">
        <v>26.0</v>
      </c>
      <c r="O7" s="32">
        <v>0.0</v>
      </c>
      <c r="P7" s="32">
        <v>15.0</v>
      </c>
      <c r="Q7" s="32">
        <v>7.0</v>
      </c>
      <c r="R7" s="21">
        <f t="shared" si="3"/>
        <v>48</v>
      </c>
      <c r="S7" s="22">
        <f t="shared" si="4"/>
        <v>0.4</v>
      </c>
      <c r="T7" s="32">
        <v>6.0</v>
      </c>
      <c r="U7" s="32">
        <v>0.0</v>
      </c>
      <c r="V7" s="32">
        <v>0.0</v>
      </c>
      <c r="W7" s="32">
        <v>20.0</v>
      </c>
      <c r="X7" s="32">
        <v>1.0</v>
      </c>
      <c r="Y7" s="32">
        <v>1.0</v>
      </c>
      <c r="Z7" s="21">
        <f t="shared" si="5"/>
        <v>22</v>
      </c>
      <c r="AA7" s="32">
        <v>2.0</v>
      </c>
      <c r="AB7" s="21">
        <f t="shared" si="6"/>
        <v>33</v>
      </c>
      <c r="AC7" s="23">
        <f t="shared" si="7"/>
        <v>33</v>
      </c>
      <c r="AD7" s="21">
        <f t="shared" si="8"/>
        <v>2</v>
      </c>
      <c r="AE7" s="32">
        <v>0.0</v>
      </c>
      <c r="AF7" s="32">
        <v>2.0</v>
      </c>
      <c r="AG7" s="24">
        <f t="shared" si="9"/>
        <v>0</v>
      </c>
      <c r="AH7" s="32">
        <v>17.0</v>
      </c>
      <c r="AI7" s="22" t="str">
        <f t="shared" si="10"/>
        <v>1.70</v>
      </c>
      <c r="AJ7" s="26"/>
      <c r="AK7" s="26"/>
      <c r="AL7" s="27">
        <f t="shared" si="11"/>
        <v>2.6</v>
      </c>
      <c r="AM7" s="27">
        <f t="shared" si="12"/>
        <v>4.8</v>
      </c>
      <c r="AN7" s="28">
        <f t="shared" si="13"/>
        <v>0.5416666667</v>
      </c>
      <c r="AO7" s="27">
        <f t="shared" si="14"/>
        <v>0.6</v>
      </c>
      <c r="AP7" s="27">
        <f t="shared" si="15"/>
        <v>0.1</v>
      </c>
      <c r="AQ7" s="27">
        <f t="shared" ref="AQ7:AR7" si="20">iferror(AB7/$M7,"-")</f>
        <v>3.3</v>
      </c>
      <c r="AR7" s="27">
        <f t="shared" si="20"/>
        <v>3.3</v>
      </c>
      <c r="AS7" s="29">
        <f t="shared" si="17"/>
        <v>0.2</v>
      </c>
      <c r="AT7" s="29" t="str">
        <f t="shared" si="18"/>
        <v>1.70</v>
      </c>
      <c r="AU7" s="26"/>
      <c r="AV7" s="26"/>
      <c r="AW7" s="26"/>
      <c r="AX7" s="26"/>
    </row>
    <row r="8">
      <c r="B8" s="17">
        <v>5.0</v>
      </c>
      <c r="C8" s="18">
        <f t="shared" si="2"/>
        <v>5</v>
      </c>
      <c r="D8" s="19" t="s">
        <v>100</v>
      </c>
      <c r="E8" s="31" t="s">
        <v>105</v>
      </c>
      <c r="F8" s="31">
        <v>3.0</v>
      </c>
      <c r="G8" s="31" t="s">
        <v>54</v>
      </c>
      <c r="H8" s="31" t="s">
        <v>48</v>
      </c>
      <c r="I8" s="31">
        <v>175.0</v>
      </c>
      <c r="J8" s="31">
        <v>72.0</v>
      </c>
      <c r="K8" s="32">
        <v>7.0</v>
      </c>
      <c r="L8" s="32">
        <v>4.0</v>
      </c>
      <c r="M8" s="32">
        <v>12.0</v>
      </c>
      <c r="N8" s="32">
        <v>3.0</v>
      </c>
      <c r="O8" s="32">
        <v>129.0</v>
      </c>
      <c r="P8" s="32">
        <v>7.0</v>
      </c>
      <c r="Q8" s="32">
        <v>3.0</v>
      </c>
      <c r="R8" s="21">
        <f t="shared" si="3"/>
        <v>13</v>
      </c>
      <c r="S8" s="22" t="str">
        <f t="shared" si="4"/>
        <v>-</v>
      </c>
      <c r="T8" s="32">
        <v>5.0</v>
      </c>
      <c r="U8" s="32">
        <v>1.0</v>
      </c>
      <c r="V8" s="32">
        <v>2.0</v>
      </c>
      <c r="W8" s="32">
        <v>37.0</v>
      </c>
      <c r="X8" s="32">
        <v>3.0</v>
      </c>
      <c r="Y8" s="32">
        <v>2.0</v>
      </c>
      <c r="Z8" s="21">
        <f t="shared" si="5"/>
        <v>42</v>
      </c>
      <c r="AA8" s="32">
        <v>1.0</v>
      </c>
      <c r="AB8" s="21">
        <f t="shared" si="6"/>
        <v>11</v>
      </c>
      <c r="AC8" s="23">
        <f t="shared" si="7"/>
        <v>12.5</v>
      </c>
      <c r="AD8" s="21">
        <f t="shared" si="8"/>
        <v>2</v>
      </c>
      <c r="AE8" s="32">
        <v>0.0</v>
      </c>
      <c r="AF8" s="32">
        <v>2.0</v>
      </c>
      <c r="AG8" s="24">
        <f t="shared" si="9"/>
        <v>0</v>
      </c>
      <c r="AH8" s="32">
        <v>28.0</v>
      </c>
      <c r="AI8" s="22" t="str">
        <f t="shared" si="10"/>
        <v>2.33</v>
      </c>
      <c r="AJ8" s="26"/>
      <c r="AK8" s="26"/>
      <c r="AL8" s="27">
        <f t="shared" si="11"/>
        <v>0.25</v>
      </c>
      <c r="AM8" s="27">
        <f t="shared" si="12"/>
        <v>1.083333333</v>
      </c>
      <c r="AN8" s="28">
        <f t="shared" si="13"/>
        <v>0.2307692308</v>
      </c>
      <c r="AO8" s="27">
        <f t="shared" si="14"/>
        <v>0.4166666667</v>
      </c>
      <c r="AP8" s="27">
        <f t="shared" si="15"/>
        <v>0.25</v>
      </c>
      <c r="AQ8" s="27">
        <f t="shared" ref="AQ8:AR8" si="21">iferror(AB8/$M8,"-")</f>
        <v>0.9166666667</v>
      </c>
      <c r="AR8" s="27">
        <f t="shared" si="21"/>
        <v>1.041666667</v>
      </c>
      <c r="AS8" s="29">
        <f t="shared" si="17"/>
        <v>0.1666666667</v>
      </c>
      <c r="AT8" s="29" t="str">
        <f t="shared" si="18"/>
        <v>2.33</v>
      </c>
      <c r="AU8" s="26"/>
      <c r="AV8" s="26"/>
      <c r="AW8" s="26"/>
      <c r="AX8" s="26"/>
    </row>
    <row r="9">
      <c r="B9" s="17">
        <v>6.0</v>
      </c>
      <c r="C9" s="18">
        <f t="shared" si="2"/>
        <v>6</v>
      </c>
      <c r="D9" s="19" t="s">
        <v>100</v>
      </c>
      <c r="E9" s="31" t="s">
        <v>106</v>
      </c>
      <c r="F9" s="31">
        <v>1.0</v>
      </c>
      <c r="G9" s="31" t="s">
        <v>47</v>
      </c>
      <c r="H9" s="31" t="s">
        <v>48</v>
      </c>
      <c r="I9" s="31">
        <v>178.0</v>
      </c>
      <c r="J9" s="31">
        <v>65.0</v>
      </c>
      <c r="K9" s="32">
        <v>8.0</v>
      </c>
      <c r="L9" s="32">
        <v>0.0</v>
      </c>
      <c r="M9" s="32">
        <v>0.0</v>
      </c>
      <c r="N9" s="32">
        <v>0.0</v>
      </c>
      <c r="O9" s="32">
        <v>0.0</v>
      </c>
      <c r="P9" s="32">
        <v>0.0</v>
      </c>
      <c r="Q9" s="32">
        <v>0.0</v>
      </c>
      <c r="R9" s="30" t="str">
        <f t="shared" si="3"/>
        <v>-</v>
      </c>
      <c r="S9" s="22" t="str">
        <f t="shared" si="4"/>
        <v>-</v>
      </c>
      <c r="T9" s="32">
        <v>0.0</v>
      </c>
      <c r="U9" s="32">
        <v>0.0</v>
      </c>
      <c r="V9" s="32">
        <v>0.0</v>
      </c>
      <c r="W9" s="32">
        <v>0.0</v>
      </c>
      <c r="X9" s="32">
        <v>0.0</v>
      </c>
      <c r="Y9" s="32">
        <v>0.0</v>
      </c>
      <c r="Z9" s="30" t="str">
        <f t="shared" si="5"/>
        <v>-</v>
      </c>
      <c r="AA9" s="32">
        <v>0.0</v>
      </c>
      <c r="AB9" s="30" t="str">
        <f t="shared" si="6"/>
        <v>-</v>
      </c>
      <c r="AC9" s="23">
        <f t="shared" si="7"/>
        <v>0</v>
      </c>
      <c r="AD9" s="30" t="str">
        <f t="shared" si="8"/>
        <v>-</v>
      </c>
      <c r="AE9" s="32">
        <v>0.0</v>
      </c>
      <c r="AF9" s="32">
        <v>0.0</v>
      </c>
      <c r="AG9" s="24" t="str">
        <f t="shared" si="9"/>
        <v>-</v>
      </c>
      <c r="AH9" s="32">
        <v>0.0</v>
      </c>
      <c r="AI9" s="22" t="str">
        <f t="shared" si="10"/>
        <v>-</v>
      </c>
      <c r="AJ9" s="26"/>
      <c r="AK9" s="26"/>
      <c r="AL9" s="27" t="str">
        <f t="shared" si="11"/>
        <v>-</v>
      </c>
      <c r="AM9" s="27" t="str">
        <f t="shared" si="12"/>
        <v>-</v>
      </c>
      <c r="AN9" s="28" t="str">
        <f t="shared" si="13"/>
        <v>-</v>
      </c>
      <c r="AO9" s="27" t="str">
        <f t="shared" si="14"/>
        <v>-</v>
      </c>
      <c r="AP9" s="27" t="str">
        <f t="shared" si="15"/>
        <v>-</v>
      </c>
      <c r="AQ9" s="27" t="str">
        <f t="shared" ref="AQ9:AR9" si="22">iferror(AB9/$M9,"-")</f>
        <v>-</v>
      </c>
      <c r="AR9" s="27" t="str">
        <f t="shared" si="22"/>
        <v>-</v>
      </c>
      <c r="AS9" s="29" t="str">
        <f t="shared" si="17"/>
        <v>-</v>
      </c>
      <c r="AT9" s="29" t="str">
        <f t="shared" si="18"/>
        <v>-</v>
      </c>
      <c r="AU9" s="26"/>
      <c r="AV9" s="26"/>
      <c r="AW9" s="26"/>
      <c r="AX9" s="26"/>
    </row>
    <row r="10">
      <c r="B10" s="17">
        <v>7.0</v>
      </c>
      <c r="C10" s="18">
        <f t="shared" si="2"/>
        <v>7</v>
      </c>
      <c r="D10" s="19" t="s">
        <v>100</v>
      </c>
      <c r="E10" s="31" t="s">
        <v>107</v>
      </c>
      <c r="F10" s="31">
        <v>2.0</v>
      </c>
      <c r="G10" s="31" t="s">
        <v>52</v>
      </c>
      <c r="H10" s="31" t="s">
        <v>48</v>
      </c>
      <c r="I10" s="31">
        <v>182.0</v>
      </c>
      <c r="J10" s="31">
        <v>73.0</v>
      </c>
      <c r="K10" s="32">
        <v>9.0</v>
      </c>
      <c r="L10" s="32">
        <v>4.0</v>
      </c>
      <c r="M10" s="32">
        <v>12.0</v>
      </c>
      <c r="N10" s="32">
        <v>37.0</v>
      </c>
      <c r="O10" s="32">
        <v>1.0</v>
      </c>
      <c r="P10" s="32">
        <v>50.0</v>
      </c>
      <c r="Q10" s="32">
        <v>7.0</v>
      </c>
      <c r="R10" s="21">
        <f t="shared" si="3"/>
        <v>94</v>
      </c>
      <c r="S10" s="22">
        <f t="shared" si="4"/>
        <v>0.32</v>
      </c>
      <c r="T10" s="32">
        <v>1.0</v>
      </c>
      <c r="U10" s="32">
        <v>0.0</v>
      </c>
      <c r="V10" s="32">
        <v>2.0</v>
      </c>
      <c r="W10" s="32">
        <v>19.0</v>
      </c>
      <c r="X10" s="32">
        <v>2.0</v>
      </c>
      <c r="Y10" s="32">
        <v>4.0</v>
      </c>
      <c r="Z10" s="21">
        <f t="shared" si="5"/>
        <v>25</v>
      </c>
      <c r="AA10" s="32">
        <v>1.0</v>
      </c>
      <c r="AB10" s="21">
        <f t="shared" si="6"/>
        <v>40</v>
      </c>
      <c r="AC10" s="23">
        <f t="shared" si="7"/>
        <v>41.5</v>
      </c>
      <c r="AD10" s="21">
        <f t="shared" si="8"/>
        <v>92</v>
      </c>
      <c r="AE10" s="32">
        <v>87.0</v>
      </c>
      <c r="AF10" s="32">
        <v>5.0</v>
      </c>
      <c r="AG10" s="24">
        <f t="shared" si="9"/>
        <v>94.56521739</v>
      </c>
      <c r="AH10" s="32">
        <v>21.0</v>
      </c>
      <c r="AI10" s="22" t="str">
        <f t="shared" si="10"/>
        <v>1.75</v>
      </c>
      <c r="AJ10" s="26"/>
      <c r="AK10" s="26"/>
      <c r="AL10" s="27">
        <f t="shared" si="11"/>
        <v>3.083333333</v>
      </c>
      <c r="AM10" s="27">
        <f t="shared" si="12"/>
        <v>7.833333333</v>
      </c>
      <c r="AN10" s="28">
        <f t="shared" si="13"/>
        <v>0.3936170213</v>
      </c>
      <c r="AO10" s="27">
        <f t="shared" si="14"/>
        <v>0.08333333333</v>
      </c>
      <c r="AP10" s="27">
        <f t="shared" si="15"/>
        <v>0.1666666667</v>
      </c>
      <c r="AQ10" s="27">
        <f t="shared" ref="AQ10:AR10" si="23">iferror(AB10/$M10,"-")</f>
        <v>3.333333333</v>
      </c>
      <c r="AR10" s="27">
        <f t="shared" si="23"/>
        <v>3.458333333</v>
      </c>
      <c r="AS10" s="29">
        <f t="shared" si="17"/>
        <v>0.4166666667</v>
      </c>
      <c r="AT10" s="29" t="str">
        <f t="shared" si="18"/>
        <v>1.75</v>
      </c>
      <c r="AU10" s="26"/>
      <c r="AV10" s="26"/>
      <c r="AW10" s="26"/>
      <c r="AX10" s="26"/>
    </row>
    <row r="11">
      <c r="B11" s="17">
        <v>8.0</v>
      </c>
      <c r="C11" s="18">
        <f t="shared" si="2"/>
        <v>8</v>
      </c>
      <c r="D11" s="19" t="s">
        <v>100</v>
      </c>
      <c r="E11" s="31" t="s">
        <v>108</v>
      </c>
      <c r="F11" s="31">
        <v>3.0</v>
      </c>
      <c r="G11" s="31" t="s">
        <v>52</v>
      </c>
      <c r="H11" s="31" t="s">
        <v>57</v>
      </c>
      <c r="I11" s="31">
        <v>175.0</v>
      </c>
      <c r="J11" s="31">
        <v>80.0</v>
      </c>
      <c r="K11" s="32">
        <v>10.0</v>
      </c>
      <c r="L11" s="32">
        <v>4.0</v>
      </c>
      <c r="M11" s="32">
        <v>11.0</v>
      </c>
      <c r="N11" s="32">
        <v>18.0</v>
      </c>
      <c r="O11" s="32">
        <v>2.0</v>
      </c>
      <c r="P11" s="32">
        <v>36.0</v>
      </c>
      <c r="Q11" s="32">
        <v>10.0</v>
      </c>
      <c r="R11" s="21">
        <f t="shared" si="3"/>
        <v>64</v>
      </c>
      <c r="S11" s="22">
        <f t="shared" si="4"/>
        <v>0.13</v>
      </c>
      <c r="T11" s="32">
        <v>3.0</v>
      </c>
      <c r="U11" s="32">
        <v>1.0</v>
      </c>
      <c r="V11" s="32">
        <v>1.0</v>
      </c>
      <c r="W11" s="32">
        <v>17.0</v>
      </c>
      <c r="X11" s="32">
        <v>5.0</v>
      </c>
      <c r="Y11" s="32">
        <v>4.0</v>
      </c>
      <c r="Z11" s="21">
        <f t="shared" si="5"/>
        <v>26</v>
      </c>
      <c r="AA11" s="32">
        <v>0.0</v>
      </c>
      <c r="AB11" s="21">
        <f t="shared" si="6"/>
        <v>26</v>
      </c>
      <c r="AC11" s="23">
        <f t="shared" si="7"/>
        <v>26.75</v>
      </c>
      <c r="AD11" s="21">
        <f t="shared" si="8"/>
        <v>5</v>
      </c>
      <c r="AE11" s="32">
        <v>5.0</v>
      </c>
      <c r="AF11" s="32">
        <v>0.0</v>
      </c>
      <c r="AG11" s="24">
        <f t="shared" si="9"/>
        <v>100</v>
      </c>
      <c r="AH11" s="32">
        <v>18.0</v>
      </c>
      <c r="AI11" s="22" t="str">
        <f t="shared" si="10"/>
        <v>1.64</v>
      </c>
      <c r="AJ11" s="26"/>
      <c r="AK11" s="26"/>
      <c r="AL11" s="27">
        <f t="shared" si="11"/>
        <v>1.636363636</v>
      </c>
      <c r="AM11" s="27">
        <f t="shared" si="12"/>
        <v>5.818181818</v>
      </c>
      <c r="AN11" s="28">
        <f t="shared" si="13"/>
        <v>0.28125</v>
      </c>
      <c r="AO11" s="27">
        <f t="shared" si="14"/>
        <v>0.2727272727</v>
      </c>
      <c r="AP11" s="27">
        <f t="shared" si="15"/>
        <v>0.4545454545</v>
      </c>
      <c r="AQ11" s="27">
        <f t="shared" ref="AQ11:AR11" si="24">iferror(AB11/$M11,"-")</f>
        <v>2.363636364</v>
      </c>
      <c r="AR11" s="27">
        <f t="shared" si="24"/>
        <v>2.431818182</v>
      </c>
      <c r="AS11" s="29">
        <f t="shared" si="17"/>
        <v>0</v>
      </c>
      <c r="AT11" s="29" t="str">
        <f t="shared" si="18"/>
        <v>1.64</v>
      </c>
      <c r="AU11" s="26"/>
      <c r="AV11" s="26"/>
      <c r="AW11" s="26"/>
      <c r="AX11" s="26"/>
    </row>
    <row r="12">
      <c r="B12" s="17">
        <v>9.0</v>
      </c>
      <c r="C12" s="18">
        <f t="shared" si="2"/>
        <v>9</v>
      </c>
      <c r="D12" s="19" t="s">
        <v>100</v>
      </c>
      <c r="E12" s="31" t="s">
        <v>109</v>
      </c>
      <c r="F12" s="31">
        <v>3.0</v>
      </c>
      <c r="G12" s="31" t="s">
        <v>47</v>
      </c>
      <c r="H12" s="31" t="s">
        <v>48</v>
      </c>
      <c r="I12" s="31">
        <v>175.0</v>
      </c>
      <c r="J12" s="31">
        <v>61.0</v>
      </c>
      <c r="K12" s="32">
        <v>11.0</v>
      </c>
      <c r="L12" s="32">
        <v>4.0</v>
      </c>
      <c r="M12" s="32">
        <v>12.0</v>
      </c>
      <c r="N12" s="32">
        <v>12.0</v>
      </c>
      <c r="O12" s="32">
        <v>2.0</v>
      </c>
      <c r="P12" s="32">
        <v>13.0</v>
      </c>
      <c r="Q12" s="32">
        <v>3.0</v>
      </c>
      <c r="R12" s="21">
        <f t="shared" si="3"/>
        <v>28</v>
      </c>
      <c r="S12" s="22">
        <f t="shared" si="4"/>
        <v>0.32</v>
      </c>
      <c r="T12" s="32">
        <v>4.0</v>
      </c>
      <c r="U12" s="32">
        <v>1.0</v>
      </c>
      <c r="V12" s="32">
        <v>4.0</v>
      </c>
      <c r="W12" s="32">
        <v>42.0</v>
      </c>
      <c r="X12" s="32">
        <v>4.0</v>
      </c>
      <c r="Y12" s="32">
        <v>3.0</v>
      </c>
      <c r="Z12" s="21">
        <f t="shared" si="5"/>
        <v>49</v>
      </c>
      <c r="AA12" s="32">
        <v>0.0</v>
      </c>
      <c r="AB12" s="21">
        <f t="shared" si="6"/>
        <v>20</v>
      </c>
      <c r="AC12" s="23">
        <f t="shared" si="7"/>
        <v>23</v>
      </c>
      <c r="AD12" s="21">
        <f t="shared" si="8"/>
        <v>5</v>
      </c>
      <c r="AE12" s="32">
        <v>5.0</v>
      </c>
      <c r="AF12" s="32">
        <v>0.0</v>
      </c>
      <c r="AG12" s="24">
        <f t="shared" si="9"/>
        <v>100</v>
      </c>
      <c r="AH12" s="32">
        <v>11.0</v>
      </c>
      <c r="AI12" s="22" t="str">
        <f t="shared" si="10"/>
        <v>0.92</v>
      </c>
      <c r="AJ12" s="26"/>
      <c r="AK12" s="26"/>
      <c r="AL12" s="27">
        <f t="shared" si="11"/>
        <v>1</v>
      </c>
      <c r="AM12" s="27">
        <f t="shared" si="12"/>
        <v>2.333333333</v>
      </c>
      <c r="AN12" s="28">
        <f t="shared" si="13"/>
        <v>0.4285714286</v>
      </c>
      <c r="AO12" s="27">
        <f t="shared" si="14"/>
        <v>0.3333333333</v>
      </c>
      <c r="AP12" s="27">
        <f t="shared" si="15"/>
        <v>0.3333333333</v>
      </c>
      <c r="AQ12" s="27">
        <f t="shared" ref="AQ12:AR12" si="25">iferror(AB12/$M12,"-")</f>
        <v>1.666666667</v>
      </c>
      <c r="AR12" s="27">
        <f t="shared" si="25"/>
        <v>1.916666667</v>
      </c>
      <c r="AS12" s="29">
        <f t="shared" si="17"/>
        <v>0</v>
      </c>
      <c r="AT12" s="29" t="str">
        <f t="shared" si="18"/>
        <v>0.92</v>
      </c>
      <c r="AU12" s="26"/>
      <c r="AV12" s="26"/>
      <c r="AW12" s="26"/>
      <c r="AX12" s="26"/>
    </row>
    <row r="13">
      <c r="B13" s="17">
        <v>10.0</v>
      </c>
      <c r="C13" s="18">
        <f t="shared" si="2"/>
        <v>10</v>
      </c>
      <c r="D13" s="19" t="s">
        <v>100</v>
      </c>
      <c r="E13" s="31" t="s">
        <v>110</v>
      </c>
      <c r="F13" s="31">
        <v>1.0</v>
      </c>
      <c r="G13" s="31" t="s">
        <v>47</v>
      </c>
      <c r="H13" s="31" t="s">
        <v>52</v>
      </c>
      <c r="I13" s="31">
        <v>179.0</v>
      </c>
      <c r="J13" s="31">
        <v>66.0</v>
      </c>
      <c r="K13" s="32">
        <v>12.0</v>
      </c>
      <c r="L13" s="32">
        <v>1.0</v>
      </c>
      <c r="M13" s="32">
        <v>1.0</v>
      </c>
      <c r="N13" s="32">
        <v>0.0</v>
      </c>
      <c r="O13" s="32">
        <v>0.0</v>
      </c>
      <c r="P13" s="32">
        <v>0.0</v>
      </c>
      <c r="Q13" s="32">
        <v>0.0</v>
      </c>
      <c r="R13" s="30" t="str">
        <f t="shared" si="3"/>
        <v>-</v>
      </c>
      <c r="S13" s="22" t="str">
        <f t="shared" si="4"/>
        <v>-</v>
      </c>
      <c r="T13" s="32">
        <v>0.0</v>
      </c>
      <c r="U13" s="32">
        <v>0.0</v>
      </c>
      <c r="V13" s="32">
        <v>0.0</v>
      </c>
      <c r="W13" s="32">
        <v>0.0</v>
      </c>
      <c r="X13" s="32">
        <v>0.0</v>
      </c>
      <c r="Y13" s="32">
        <v>1.0</v>
      </c>
      <c r="Z13" s="21">
        <f t="shared" si="5"/>
        <v>1</v>
      </c>
      <c r="AA13" s="32">
        <v>0.0</v>
      </c>
      <c r="AB13" s="30" t="str">
        <f t="shared" si="6"/>
        <v>-</v>
      </c>
      <c r="AC13" s="23">
        <f t="shared" si="7"/>
        <v>0</v>
      </c>
      <c r="AD13" s="30" t="str">
        <f t="shared" si="8"/>
        <v>-</v>
      </c>
      <c r="AE13" s="32">
        <v>0.0</v>
      </c>
      <c r="AF13" s="32">
        <v>0.0</v>
      </c>
      <c r="AG13" s="24" t="str">
        <f t="shared" si="9"/>
        <v>-</v>
      </c>
      <c r="AH13" s="32">
        <v>0.0</v>
      </c>
      <c r="AI13" s="22" t="str">
        <f t="shared" si="10"/>
        <v>0</v>
      </c>
      <c r="AJ13" s="26"/>
      <c r="AK13" s="26"/>
      <c r="AL13" s="27">
        <f t="shared" si="11"/>
        <v>0</v>
      </c>
      <c r="AM13" s="27" t="str">
        <f t="shared" si="12"/>
        <v>-</v>
      </c>
      <c r="AN13" s="28" t="str">
        <f t="shared" si="13"/>
        <v>-</v>
      </c>
      <c r="AO13" s="27">
        <f t="shared" si="14"/>
        <v>0</v>
      </c>
      <c r="AP13" s="27">
        <f t="shared" si="15"/>
        <v>0</v>
      </c>
      <c r="AQ13" s="27" t="str">
        <f t="shared" ref="AQ13:AR13" si="26">iferror(AB13/$M13,"-")</f>
        <v>-</v>
      </c>
      <c r="AR13" s="27">
        <f t="shared" si="26"/>
        <v>0</v>
      </c>
      <c r="AS13" s="29">
        <f t="shared" si="17"/>
        <v>0</v>
      </c>
      <c r="AT13" s="29" t="str">
        <f t="shared" si="18"/>
        <v>0</v>
      </c>
      <c r="AU13" s="26"/>
      <c r="AV13" s="26"/>
      <c r="AW13" s="26"/>
      <c r="AX13" s="26"/>
    </row>
    <row r="14">
      <c r="B14" s="17">
        <v>11.0</v>
      </c>
      <c r="C14" s="18">
        <f t="shared" si="2"/>
        <v>11</v>
      </c>
      <c r="D14" s="19" t="s">
        <v>100</v>
      </c>
      <c r="E14" s="31" t="s">
        <v>111</v>
      </c>
      <c r="F14" s="31">
        <v>2.0</v>
      </c>
      <c r="G14" s="31" t="s">
        <v>52</v>
      </c>
      <c r="H14" s="31" t="s">
        <v>50</v>
      </c>
      <c r="I14" s="31">
        <v>170.0</v>
      </c>
      <c r="J14" s="31">
        <v>62.0</v>
      </c>
      <c r="K14" s="32">
        <v>13.0</v>
      </c>
      <c r="L14" s="32">
        <v>4.0</v>
      </c>
      <c r="M14" s="32">
        <v>12.0</v>
      </c>
      <c r="N14" s="32">
        <v>42.0</v>
      </c>
      <c r="O14" s="32">
        <v>1.0</v>
      </c>
      <c r="P14" s="32">
        <v>43.0</v>
      </c>
      <c r="Q14" s="32">
        <v>9.0</v>
      </c>
      <c r="R14" s="21">
        <f t="shared" si="3"/>
        <v>94</v>
      </c>
      <c r="S14" s="22">
        <f t="shared" si="4"/>
        <v>0.35</v>
      </c>
      <c r="T14" s="32">
        <v>0.0</v>
      </c>
      <c r="U14" s="32">
        <v>0.0</v>
      </c>
      <c r="V14" s="32">
        <v>1.0</v>
      </c>
      <c r="W14" s="32">
        <v>45.0</v>
      </c>
      <c r="X14" s="32">
        <v>5.0</v>
      </c>
      <c r="Y14" s="32">
        <v>2.0</v>
      </c>
      <c r="Z14" s="21">
        <f t="shared" si="5"/>
        <v>52</v>
      </c>
      <c r="AA14" s="32">
        <v>0.0</v>
      </c>
      <c r="AB14" s="21">
        <f t="shared" si="6"/>
        <v>47</v>
      </c>
      <c r="AC14" s="23">
        <f t="shared" si="7"/>
        <v>47.75</v>
      </c>
      <c r="AD14" s="21">
        <f t="shared" si="8"/>
        <v>28</v>
      </c>
      <c r="AE14" s="32">
        <v>28.0</v>
      </c>
      <c r="AF14" s="32">
        <v>0.0</v>
      </c>
      <c r="AG14" s="24">
        <f t="shared" si="9"/>
        <v>100</v>
      </c>
      <c r="AH14" s="32">
        <v>32.0</v>
      </c>
      <c r="AI14" s="22" t="str">
        <f t="shared" si="10"/>
        <v>2.67</v>
      </c>
      <c r="AJ14" s="26"/>
      <c r="AK14" s="26"/>
      <c r="AL14" s="27">
        <f t="shared" si="11"/>
        <v>3.5</v>
      </c>
      <c r="AM14" s="27">
        <f t="shared" si="12"/>
        <v>7.833333333</v>
      </c>
      <c r="AN14" s="28">
        <f t="shared" si="13"/>
        <v>0.4468085106</v>
      </c>
      <c r="AO14" s="27">
        <f t="shared" si="14"/>
        <v>0</v>
      </c>
      <c r="AP14" s="27">
        <f t="shared" si="15"/>
        <v>0.4166666667</v>
      </c>
      <c r="AQ14" s="27">
        <f t="shared" ref="AQ14:AR14" si="27">iferror(AB14/$M14,"-")</f>
        <v>3.916666667</v>
      </c>
      <c r="AR14" s="27">
        <f t="shared" si="27"/>
        <v>3.979166667</v>
      </c>
      <c r="AS14" s="29">
        <f t="shared" si="17"/>
        <v>0</v>
      </c>
      <c r="AT14" s="29" t="str">
        <f t="shared" si="18"/>
        <v>2.67</v>
      </c>
      <c r="AU14" s="26"/>
      <c r="AV14" s="26"/>
      <c r="AW14" s="26"/>
      <c r="AX14" s="26"/>
    </row>
    <row r="15">
      <c r="B15" s="17">
        <v>12.0</v>
      </c>
      <c r="C15" s="18">
        <f t="shared" si="2"/>
        <v>12</v>
      </c>
      <c r="D15" s="19" t="s">
        <v>100</v>
      </c>
      <c r="E15" s="31" t="s">
        <v>112</v>
      </c>
      <c r="F15" s="31">
        <v>2.0</v>
      </c>
      <c r="G15" s="31" t="s">
        <v>47</v>
      </c>
      <c r="H15" s="31" t="s">
        <v>48</v>
      </c>
      <c r="I15" s="31">
        <v>183.0</v>
      </c>
      <c r="J15" s="31">
        <v>71.0</v>
      </c>
      <c r="K15" s="32">
        <v>14.0</v>
      </c>
      <c r="L15" s="32">
        <v>4.0</v>
      </c>
      <c r="M15" s="32">
        <v>12.0</v>
      </c>
      <c r="N15" s="32">
        <v>32.0</v>
      </c>
      <c r="O15" s="32">
        <v>1.0</v>
      </c>
      <c r="P15" s="32">
        <v>20.0</v>
      </c>
      <c r="Q15" s="32">
        <v>9.0</v>
      </c>
      <c r="R15" s="21">
        <f t="shared" si="3"/>
        <v>61</v>
      </c>
      <c r="S15" s="22">
        <f t="shared" si="4"/>
        <v>0.38</v>
      </c>
      <c r="T15" s="32">
        <v>5.0</v>
      </c>
      <c r="U15" s="32">
        <v>0.0</v>
      </c>
      <c r="V15" s="32">
        <v>11.0</v>
      </c>
      <c r="W15" s="32">
        <v>43.0</v>
      </c>
      <c r="X15" s="32">
        <v>9.0</v>
      </c>
      <c r="Y15" s="32">
        <v>3.0</v>
      </c>
      <c r="Z15" s="21">
        <f t="shared" si="5"/>
        <v>55</v>
      </c>
      <c r="AA15" s="32">
        <v>0.0</v>
      </c>
      <c r="AB15" s="21">
        <f t="shared" si="6"/>
        <v>46</v>
      </c>
      <c r="AC15" s="23">
        <f t="shared" si="7"/>
        <v>54.25</v>
      </c>
      <c r="AD15" s="21">
        <f t="shared" si="8"/>
        <v>2</v>
      </c>
      <c r="AE15" s="32">
        <v>2.0</v>
      </c>
      <c r="AF15" s="32">
        <v>0.0</v>
      </c>
      <c r="AG15" s="24">
        <f t="shared" si="9"/>
        <v>100</v>
      </c>
      <c r="AH15" s="32">
        <v>7.0</v>
      </c>
      <c r="AI15" s="22" t="str">
        <f t="shared" si="10"/>
        <v>0.58</v>
      </c>
      <c r="AJ15" s="26"/>
      <c r="AK15" s="26"/>
      <c r="AL15" s="27">
        <f t="shared" si="11"/>
        <v>2.666666667</v>
      </c>
      <c r="AM15" s="27">
        <f t="shared" si="12"/>
        <v>5.083333333</v>
      </c>
      <c r="AN15" s="28">
        <f t="shared" si="13"/>
        <v>0.5245901639</v>
      </c>
      <c r="AO15" s="27">
        <f t="shared" si="14"/>
        <v>0.4166666667</v>
      </c>
      <c r="AP15" s="27">
        <f t="shared" si="15"/>
        <v>0.75</v>
      </c>
      <c r="AQ15" s="27">
        <f t="shared" ref="AQ15:AR15" si="28">iferror(AB15/$M15,"-")</f>
        <v>3.833333333</v>
      </c>
      <c r="AR15" s="27">
        <f t="shared" si="28"/>
        <v>4.520833333</v>
      </c>
      <c r="AS15" s="29">
        <f t="shared" si="17"/>
        <v>0</v>
      </c>
      <c r="AT15" s="29" t="str">
        <f t="shared" si="18"/>
        <v>0.58</v>
      </c>
      <c r="AU15" s="26"/>
      <c r="AV15" s="26"/>
      <c r="AW15" s="26"/>
      <c r="AX15" s="26"/>
    </row>
    <row r="16">
      <c r="B16" s="17">
        <v>13.0</v>
      </c>
      <c r="C16" s="18">
        <f t="shared" si="2"/>
        <v>13</v>
      </c>
      <c r="D16" s="19" t="s">
        <v>100</v>
      </c>
      <c r="E16" s="31" t="s">
        <v>113</v>
      </c>
      <c r="F16" s="31">
        <v>2.0</v>
      </c>
      <c r="G16" s="31" t="s">
        <v>54</v>
      </c>
      <c r="H16" s="31" t="s">
        <v>48</v>
      </c>
      <c r="I16" s="31">
        <v>177.0</v>
      </c>
      <c r="J16" s="31">
        <v>65.0</v>
      </c>
      <c r="K16" s="32">
        <v>17.0</v>
      </c>
      <c r="L16" s="32">
        <v>4.0</v>
      </c>
      <c r="M16" s="32">
        <v>10.0</v>
      </c>
      <c r="N16" s="32">
        <v>2.0</v>
      </c>
      <c r="O16" s="32">
        <v>17.0</v>
      </c>
      <c r="P16" s="32">
        <v>0.0</v>
      </c>
      <c r="Q16" s="32">
        <v>1.0</v>
      </c>
      <c r="R16" s="21">
        <f t="shared" si="3"/>
        <v>3</v>
      </c>
      <c r="S16" s="22">
        <f t="shared" si="4"/>
        <v>0.33</v>
      </c>
      <c r="T16" s="32">
        <v>1.0</v>
      </c>
      <c r="U16" s="32">
        <v>0.0</v>
      </c>
      <c r="V16" s="32">
        <v>0.0</v>
      </c>
      <c r="W16" s="32">
        <v>6.0</v>
      </c>
      <c r="X16" s="32">
        <v>2.0</v>
      </c>
      <c r="Y16" s="32">
        <v>2.0</v>
      </c>
      <c r="Z16" s="21">
        <f t="shared" si="5"/>
        <v>10</v>
      </c>
      <c r="AA16" s="32">
        <v>0.0</v>
      </c>
      <c r="AB16" s="21">
        <f t="shared" si="6"/>
        <v>5</v>
      </c>
      <c r="AC16" s="23">
        <f t="shared" si="7"/>
        <v>5</v>
      </c>
      <c r="AD16" s="21">
        <f t="shared" si="8"/>
        <v>1</v>
      </c>
      <c r="AE16" s="32">
        <v>0.0</v>
      </c>
      <c r="AF16" s="32">
        <v>1.0</v>
      </c>
      <c r="AG16" s="24">
        <f t="shared" si="9"/>
        <v>0</v>
      </c>
      <c r="AH16" s="32">
        <v>7.0</v>
      </c>
      <c r="AI16" s="22" t="str">
        <f t="shared" si="10"/>
        <v>0.70</v>
      </c>
      <c r="AJ16" s="26"/>
      <c r="AK16" s="26"/>
      <c r="AL16" s="27">
        <f t="shared" si="11"/>
        <v>0.2</v>
      </c>
      <c r="AM16" s="27">
        <f t="shared" si="12"/>
        <v>0.3</v>
      </c>
      <c r="AN16" s="28">
        <f t="shared" si="13"/>
        <v>0.6666666667</v>
      </c>
      <c r="AO16" s="27">
        <f t="shared" si="14"/>
        <v>0.1</v>
      </c>
      <c r="AP16" s="27">
        <f t="shared" si="15"/>
        <v>0.2</v>
      </c>
      <c r="AQ16" s="27">
        <f t="shared" ref="AQ16:AR16" si="29">iferror(AB16/$M16,"-")</f>
        <v>0.5</v>
      </c>
      <c r="AR16" s="27">
        <f t="shared" si="29"/>
        <v>0.5</v>
      </c>
      <c r="AS16" s="29">
        <f t="shared" si="17"/>
        <v>0.1</v>
      </c>
      <c r="AT16" s="29" t="str">
        <f t="shared" si="18"/>
        <v>0.70</v>
      </c>
      <c r="AU16" s="26"/>
      <c r="AV16" s="26"/>
      <c r="AW16" s="26"/>
      <c r="AX16" s="26"/>
    </row>
    <row r="17">
      <c r="B17" s="17">
        <v>14.0</v>
      </c>
      <c r="C17" s="18">
        <f t="shared" si="2"/>
        <v>1</v>
      </c>
      <c r="D17" s="19" t="s">
        <v>173</v>
      </c>
      <c r="E17" s="31" t="s">
        <v>174</v>
      </c>
      <c r="F17" s="31">
        <v>3.0</v>
      </c>
      <c r="G17" s="31" t="s">
        <v>54</v>
      </c>
      <c r="H17" s="31" t="s">
        <v>48</v>
      </c>
      <c r="I17" s="31">
        <v>177.0</v>
      </c>
      <c r="J17" s="31">
        <v>60.0</v>
      </c>
      <c r="K17" s="32">
        <v>1.0</v>
      </c>
      <c r="L17" s="32">
        <v>2.0</v>
      </c>
      <c r="M17" s="32">
        <v>8.0</v>
      </c>
      <c r="N17" s="32">
        <v>0.0</v>
      </c>
      <c r="O17" s="32">
        <v>73.0</v>
      </c>
      <c r="P17" s="32">
        <v>1.0</v>
      </c>
      <c r="Q17" s="32">
        <v>2.0</v>
      </c>
      <c r="R17" s="21">
        <f t="shared" si="3"/>
        <v>3</v>
      </c>
      <c r="S17" s="22">
        <f t="shared" si="4"/>
        <v>-0.67</v>
      </c>
      <c r="T17" s="32">
        <v>4.0</v>
      </c>
      <c r="U17" s="32">
        <v>0.0</v>
      </c>
      <c r="V17" s="32">
        <v>0.0</v>
      </c>
      <c r="W17" s="32">
        <v>19.0</v>
      </c>
      <c r="X17" s="32">
        <v>1.0</v>
      </c>
      <c r="Y17" s="32">
        <v>0.0</v>
      </c>
      <c r="Z17" s="21">
        <f t="shared" si="5"/>
        <v>20</v>
      </c>
      <c r="AA17" s="32">
        <v>3.0</v>
      </c>
      <c r="AB17" s="21">
        <f t="shared" si="6"/>
        <v>5</v>
      </c>
      <c r="AC17" s="23">
        <f t="shared" si="7"/>
        <v>5</v>
      </c>
      <c r="AD17" s="21">
        <f t="shared" si="8"/>
        <v>6</v>
      </c>
      <c r="AE17" s="32">
        <v>3.0</v>
      </c>
      <c r="AF17" s="32">
        <v>3.0</v>
      </c>
      <c r="AG17" s="24">
        <f t="shared" si="9"/>
        <v>50</v>
      </c>
      <c r="AH17" s="32">
        <v>6.0</v>
      </c>
      <c r="AI17" s="22" t="str">
        <f t="shared" si="10"/>
        <v>0.75</v>
      </c>
      <c r="AJ17" s="26"/>
      <c r="AK17" s="26"/>
      <c r="AL17" s="27">
        <f t="shared" si="11"/>
        <v>0</v>
      </c>
      <c r="AM17" s="27">
        <f t="shared" si="12"/>
        <v>0.375</v>
      </c>
      <c r="AN17" s="28">
        <f t="shared" si="13"/>
        <v>0</v>
      </c>
      <c r="AO17" s="27">
        <f t="shared" si="14"/>
        <v>0.5</v>
      </c>
      <c r="AP17" s="27">
        <f t="shared" si="15"/>
        <v>0.125</v>
      </c>
      <c r="AQ17" s="27">
        <f t="shared" ref="AQ17:AR17" si="30">iferror(AB17/$M17,"-")</f>
        <v>0.625</v>
      </c>
      <c r="AR17" s="27">
        <f t="shared" si="30"/>
        <v>0.625</v>
      </c>
      <c r="AS17" s="29">
        <f t="shared" si="17"/>
        <v>0.375</v>
      </c>
      <c r="AT17" s="29" t="str">
        <f t="shared" si="18"/>
        <v>0.75</v>
      </c>
      <c r="AU17" s="26"/>
      <c r="AV17" s="26"/>
      <c r="AW17" s="26"/>
      <c r="AX17" s="26"/>
    </row>
    <row r="18">
      <c r="B18" s="17">
        <v>15.0</v>
      </c>
      <c r="C18" s="18">
        <f t="shared" si="2"/>
        <v>2</v>
      </c>
      <c r="D18" s="19" t="s">
        <v>173</v>
      </c>
      <c r="E18" s="31" t="s">
        <v>175</v>
      </c>
      <c r="F18" s="31">
        <v>1.0</v>
      </c>
      <c r="G18" s="31" t="s">
        <v>50</v>
      </c>
      <c r="H18" s="31" t="s">
        <v>48</v>
      </c>
      <c r="I18" s="31">
        <v>165.0</v>
      </c>
      <c r="J18" s="31">
        <v>54.0</v>
      </c>
      <c r="K18" s="32">
        <v>3.0</v>
      </c>
      <c r="L18" s="32">
        <v>2.0</v>
      </c>
      <c r="M18" s="32">
        <v>3.0</v>
      </c>
      <c r="N18" s="32">
        <v>0.0</v>
      </c>
      <c r="O18" s="32">
        <v>1.0</v>
      </c>
      <c r="P18" s="32">
        <v>0.0</v>
      </c>
      <c r="Q18" s="32">
        <v>0.0</v>
      </c>
      <c r="R18" s="30" t="str">
        <f t="shared" si="3"/>
        <v>-</v>
      </c>
      <c r="S18" s="22" t="str">
        <f t="shared" si="4"/>
        <v>-</v>
      </c>
      <c r="T18" s="32">
        <v>0.0</v>
      </c>
      <c r="U18" s="32">
        <v>0.0</v>
      </c>
      <c r="V18" s="32">
        <v>0.0</v>
      </c>
      <c r="W18" s="32">
        <v>0.0</v>
      </c>
      <c r="X18" s="32">
        <v>0.0</v>
      </c>
      <c r="Y18" s="32">
        <v>0.0</v>
      </c>
      <c r="Z18" s="30" t="str">
        <f t="shared" si="5"/>
        <v>-</v>
      </c>
      <c r="AA18" s="32">
        <v>0.0</v>
      </c>
      <c r="AB18" s="30" t="str">
        <f t="shared" si="6"/>
        <v>-</v>
      </c>
      <c r="AC18" s="23">
        <f t="shared" si="7"/>
        <v>0</v>
      </c>
      <c r="AD18" s="21">
        <f t="shared" si="8"/>
        <v>8</v>
      </c>
      <c r="AE18" s="32">
        <v>8.0</v>
      </c>
      <c r="AF18" s="32">
        <v>0.0</v>
      </c>
      <c r="AG18" s="24">
        <f t="shared" si="9"/>
        <v>100</v>
      </c>
      <c r="AH18" s="32">
        <v>5.0</v>
      </c>
      <c r="AI18" s="22" t="str">
        <f t="shared" si="10"/>
        <v>1.67</v>
      </c>
      <c r="AJ18" s="26"/>
      <c r="AK18" s="26"/>
      <c r="AL18" s="27">
        <f t="shared" si="11"/>
        <v>0</v>
      </c>
      <c r="AM18" s="27" t="str">
        <f t="shared" si="12"/>
        <v>-</v>
      </c>
      <c r="AN18" s="28" t="str">
        <f t="shared" si="13"/>
        <v>-</v>
      </c>
      <c r="AO18" s="27">
        <f t="shared" si="14"/>
        <v>0</v>
      </c>
      <c r="AP18" s="27">
        <f t="shared" si="15"/>
        <v>0</v>
      </c>
      <c r="AQ18" s="27" t="str">
        <f t="shared" ref="AQ18:AR18" si="31">iferror(AB18/$M18,"-")</f>
        <v>-</v>
      </c>
      <c r="AR18" s="27">
        <f t="shared" si="31"/>
        <v>0</v>
      </c>
      <c r="AS18" s="29">
        <f t="shared" si="17"/>
        <v>0</v>
      </c>
      <c r="AT18" s="29" t="str">
        <f t="shared" si="18"/>
        <v>1.67</v>
      </c>
      <c r="AU18" s="26"/>
      <c r="AV18" s="26"/>
      <c r="AW18" s="26"/>
      <c r="AX18" s="26"/>
    </row>
    <row r="19">
      <c r="B19" s="17">
        <v>16.0</v>
      </c>
      <c r="C19" s="18">
        <f t="shared" si="2"/>
        <v>3</v>
      </c>
      <c r="D19" s="19" t="s">
        <v>173</v>
      </c>
      <c r="E19" s="31" t="s">
        <v>176</v>
      </c>
      <c r="F19" s="31">
        <v>2.0</v>
      </c>
      <c r="G19" s="31" t="s">
        <v>47</v>
      </c>
      <c r="H19" s="31" t="s">
        <v>57</v>
      </c>
      <c r="I19" s="31">
        <v>184.0</v>
      </c>
      <c r="J19" s="31">
        <v>65.0</v>
      </c>
      <c r="K19" s="32">
        <v>4.0</v>
      </c>
      <c r="L19" s="32">
        <v>2.0</v>
      </c>
      <c r="M19" s="32">
        <v>7.0</v>
      </c>
      <c r="N19" s="32">
        <v>9.0</v>
      </c>
      <c r="O19" s="32">
        <v>1.0</v>
      </c>
      <c r="P19" s="32">
        <v>8.0</v>
      </c>
      <c r="Q19" s="32">
        <v>4.0</v>
      </c>
      <c r="R19" s="21">
        <f t="shared" si="3"/>
        <v>21</v>
      </c>
      <c r="S19" s="22">
        <f t="shared" si="4"/>
        <v>0.24</v>
      </c>
      <c r="T19" s="32">
        <v>2.0</v>
      </c>
      <c r="U19" s="32">
        <v>0.0</v>
      </c>
      <c r="V19" s="32">
        <v>2.0</v>
      </c>
      <c r="W19" s="32">
        <v>7.0</v>
      </c>
      <c r="X19" s="32">
        <v>0.0</v>
      </c>
      <c r="Y19" s="32">
        <v>2.0</v>
      </c>
      <c r="Z19" s="21">
        <f t="shared" si="5"/>
        <v>9</v>
      </c>
      <c r="AA19" s="32">
        <v>0.0</v>
      </c>
      <c r="AB19" s="21">
        <f t="shared" si="6"/>
        <v>11</v>
      </c>
      <c r="AC19" s="23">
        <f t="shared" si="7"/>
        <v>12.5</v>
      </c>
      <c r="AD19" s="30" t="str">
        <f t="shared" si="8"/>
        <v>-</v>
      </c>
      <c r="AE19" s="32">
        <v>0.0</v>
      </c>
      <c r="AF19" s="32">
        <v>0.0</v>
      </c>
      <c r="AG19" s="24" t="str">
        <f t="shared" si="9"/>
        <v>-</v>
      </c>
      <c r="AH19" s="32">
        <v>0.0</v>
      </c>
      <c r="AI19" s="22" t="str">
        <f t="shared" si="10"/>
        <v>0</v>
      </c>
      <c r="AJ19" s="26"/>
      <c r="AK19" s="26"/>
      <c r="AL19" s="27">
        <f t="shared" si="11"/>
        <v>1.285714286</v>
      </c>
      <c r="AM19" s="27">
        <f t="shared" si="12"/>
        <v>3</v>
      </c>
      <c r="AN19" s="28">
        <f t="shared" si="13"/>
        <v>0.4285714286</v>
      </c>
      <c r="AO19" s="27">
        <f t="shared" si="14"/>
        <v>0.2857142857</v>
      </c>
      <c r="AP19" s="27">
        <f t="shared" si="15"/>
        <v>0</v>
      </c>
      <c r="AQ19" s="27">
        <f t="shared" ref="AQ19:AR19" si="32">iferror(AB19/$M19,"-")</f>
        <v>1.571428571</v>
      </c>
      <c r="AR19" s="27">
        <f t="shared" si="32"/>
        <v>1.785714286</v>
      </c>
      <c r="AS19" s="29">
        <f t="shared" si="17"/>
        <v>0</v>
      </c>
      <c r="AT19" s="29" t="str">
        <f t="shared" si="18"/>
        <v>0</v>
      </c>
      <c r="AU19" s="26"/>
      <c r="AV19" s="26"/>
      <c r="AW19" s="26"/>
      <c r="AX19" s="26"/>
    </row>
    <row r="20">
      <c r="B20" s="17">
        <v>17.0</v>
      </c>
      <c r="C20" s="18">
        <f t="shared" si="2"/>
        <v>4</v>
      </c>
      <c r="D20" s="19" t="s">
        <v>173</v>
      </c>
      <c r="E20" s="31" t="s">
        <v>177</v>
      </c>
      <c r="F20" s="31">
        <v>3.0</v>
      </c>
      <c r="G20" s="31" t="s">
        <v>57</v>
      </c>
      <c r="H20" s="31" t="s">
        <v>50</v>
      </c>
      <c r="I20" s="31">
        <v>172.0</v>
      </c>
      <c r="J20" s="31">
        <v>69.0</v>
      </c>
      <c r="K20" s="32">
        <v>5.0</v>
      </c>
      <c r="L20" s="32">
        <v>2.0</v>
      </c>
      <c r="M20" s="32">
        <v>8.0</v>
      </c>
      <c r="N20" s="32">
        <v>0.0</v>
      </c>
      <c r="O20" s="32">
        <v>1.0</v>
      </c>
      <c r="P20" s="32">
        <v>0.0</v>
      </c>
      <c r="Q20" s="32">
        <v>0.0</v>
      </c>
      <c r="R20" s="30" t="str">
        <f t="shared" si="3"/>
        <v>-</v>
      </c>
      <c r="S20" s="22" t="str">
        <f t="shared" si="4"/>
        <v>-</v>
      </c>
      <c r="T20" s="32">
        <v>1.0</v>
      </c>
      <c r="U20" s="32">
        <v>0.0</v>
      </c>
      <c r="V20" s="32">
        <v>0.0</v>
      </c>
      <c r="W20" s="32">
        <v>0.0</v>
      </c>
      <c r="X20" s="32">
        <v>0.0</v>
      </c>
      <c r="Y20" s="32">
        <v>0.0</v>
      </c>
      <c r="Z20" s="30" t="str">
        <f t="shared" si="5"/>
        <v>-</v>
      </c>
      <c r="AA20" s="32">
        <v>3.0</v>
      </c>
      <c r="AB20" s="21">
        <f t="shared" si="6"/>
        <v>1</v>
      </c>
      <c r="AC20" s="23">
        <f t="shared" si="7"/>
        <v>1</v>
      </c>
      <c r="AD20" s="21">
        <f t="shared" si="8"/>
        <v>35</v>
      </c>
      <c r="AE20" s="32">
        <v>31.0</v>
      </c>
      <c r="AF20" s="32">
        <v>4.0</v>
      </c>
      <c r="AG20" s="24">
        <f t="shared" si="9"/>
        <v>88.57142857</v>
      </c>
      <c r="AH20" s="32">
        <v>7.0</v>
      </c>
      <c r="AI20" s="22" t="str">
        <f t="shared" si="10"/>
        <v>0.88</v>
      </c>
      <c r="AJ20" s="26"/>
      <c r="AK20" s="26"/>
      <c r="AL20" s="27">
        <f t="shared" si="11"/>
        <v>0</v>
      </c>
      <c r="AM20" s="27" t="str">
        <f t="shared" si="12"/>
        <v>-</v>
      </c>
      <c r="AN20" s="28" t="str">
        <f t="shared" si="13"/>
        <v>-</v>
      </c>
      <c r="AO20" s="27">
        <f t="shared" si="14"/>
        <v>0.125</v>
      </c>
      <c r="AP20" s="27">
        <f t="shared" si="15"/>
        <v>0</v>
      </c>
      <c r="AQ20" s="27">
        <f t="shared" ref="AQ20:AR20" si="33">iferror(AB20/$M20,"-")</f>
        <v>0.125</v>
      </c>
      <c r="AR20" s="27">
        <f t="shared" si="33"/>
        <v>0.125</v>
      </c>
      <c r="AS20" s="29">
        <f t="shared" si="17"/>
        <v>0.5</v>
      </c>
      <c r="AT20" s="29" t="str">
        <f t="shared" si="18"/>
        <v>0.88</v>
      </c>
      <c r="AU20" s="26"/>
      <c r="AV20" s="26"/>
      <c r="AW20" s="26"/>
      <c r="AX20" s="26"/>
    </row>
    <row r="21">
      <c r="B21" s="17">
        <v>18.0</v>
      </c>
      <c r="C21" s="18">
        <f t="shared" si="2"/>
        <v>5</v>
      </c>
      <c r="D21" s="19" t="s">
        <v>173</v>
      </c>
      <c r="E21" s="31" t="s">
        <v>178</v>
      </c>
      <c r="F21" s="31">
        <v>2.0</v>
      </c>
      <c r="G21" s="31" t="s">
        <v>50</v>
      </c>
      <c r="H21" s="31" t="s">
        <v>52</v>
      </c>
      <c r="I21" s="31">
        <v>168.0</v>
      </c>
      <c r="J21" s="31">
        <v>57.0</v>
      </c>
      <c r="K21" s="32">
        <v>6.0</v>
      </c>
      <c r="L21" s="32">
        <v>0.0</v>
      </c>
      <c r="M21" s="32">
        <v>0.0</v>
      </c>
      <c r="N21" s="32">
        <v>0.0</v>
      </c>
      <c r="O21" s="32">
        <v>0.0</v>
      </c>
      <c r="P21" s="32">
        <v>0.0</v>
      </c>
      <c r="Q21" s="32">
        <v>0.0</v>
      </c>
      <c r="R21" s="30" t="str">
        <f t="shared" si="3"/>
        <v>-</v>
      </c>
      <c r="S21" s="22" t="str">
        <f t="shared" si="4"/>
        <v>-</v>
      </c>
      <c r="T21" s="32">
        <v>0.0</v>
      </c>
      <c r="U21" s="32">
        <v>0.0</v>
      </c>
      <c r="V21" s="32">
        <v>0.0</v>
      </c>
      <c r="W21" s="32">
        <v>0.0</v>
      </c>
      <c r="X21" s="32">
        <v>0.0</v>
      </c>
      <c r="Y21" s="32">
        <v>0.0</v>
      </c>
      <c r="Z21" s="30" t="str">
        <f t="shared" si="5"/>
        <v>-</v>
      </c>
      <c r="AA21" s="32">
        <v>0.0</v>
      </c>
      <c r="AB21" s="30" t="str">
        <f t="shared" si="6"/>
        <v>-</v>
      </c>
      <c r="AC21" s="23">
        <f t="shared" si="7"/>
        <v>0</v>
      </c>
      <c r="AD21" s="30" t="str">
        <f t="shared" si="8"/>
        <v>-</v>
      </c>
      <c r="AE21" s="32">
        <v>0.0</v>
      </c>
      <c r="AF21" s="32">
        <v>0.0</v>
      </c>
      <c r="AG21" s="24" t="str">
        <f t="shared" si="9"/>
        <v>-</v>
      </c>
      <c r="AH21" s="32">
        <v>0.0</v>
      </c>
      <c r="AI21" s="22" t="str">
        <f t="shared" si="10"/>
        <v>-</v>
      </c>
      <c r="AJ21" s="26"/>
      <c r="AK21" s="26"/>
      <c r="AL21" s="27" t="str">
        <f t="shared" si="11"/>
        <v>-</v>
      </c>
      <c r="AM21" s="27" t="str">
        <f t="shared" si="12"/>
        <v>-</v>
      </c>
      <c r="AN21" s="28" t="str">
        <f t="shared" si="13"/>
        <v>-</v>
      </c>
      <c r="AO21" s="27" t="str">
        <f t="shared" si="14"/>
        <v>-</v>
      </c>
      <c r="AP21" s="27" t="str">
        <f t="shared" si="15"/>
        <v>-</v>
      </c>
      <c r="AQ21" s="27" t="str">
        <f t="shared" ref="AQ21:AR21" si="34">iferror(AB21/$M21,"-")</f>
        <v>-</v>
      </c>
      <c r="AR21" s="27" t="str">
        <f t="shared" si="34"/>
        <v>-</v>
      </c>
      <c r="AS21" s="29" t="str">
        <f t="shared" si="17"/>
        <v>-</v>
      </c>
      <c r="AT21" s="29" t="str">
        <f t="shared" si="18"/>
        <v>-</v>
      </c>
      <c r="AU21" s="26"/>
      <c r="AV21" s="26"/>
      <c r="AW21" s="26"/>
      <c r="AX21" s="26"/>
    </row>
    <row r="22">
      <c r="B22" s="17">
        <v>19.0</v>
      </c>
      <c r="C22" s="18">
        <f t="shared" si="2"/>
        <v>6</v>
      </c>
      <c r="D22" s="19" t="s">
        <v>173</v>
      </c>
      <c r="E22" s="31" t="s">
        <v>179</v>
      </c>
      <c r="F22" s="31">
        <v>3.0</v>
      </c>
      <c r="G22" s="31" t="s">
        <v>52</v>
      </c>
      <c r="H22" s="31" t="s">
        <v>57</v>
      </c>
      <c r="I22" s="31">
        <v>175.0</v>
      </c>
      <c r="J22" s="31">
        <v>66.0</v>
      </c>
      <c r="K22" s="32">
        <v>7.0</v>
      </c>
      <c r="L22" s="32">
        <v>2.0</v>
      </c>
      <c r="M22" s="32">
        <v>7.0</v>
      </c>
      <c r="N22" s="32">
        <v>3.0</v>
      </c>
      <c r="O22" s="32">
        <v>2.0</v>
      </c>
      <c r="P22" s="32">
        <v>1.0</v>
      </c>
      <c r="Q22" s="32">
        <v>0.0</v>
      </c>
      <c r="R22" s="21">
        <f t="shared" si="3"/>
        <v>4</v>
      </c>
      <c r="S22" s="22">
        <f t="shared" si="4"/>
        <v>0.75</v>
      </c>
      <c r="T22" s="32">
        <v>0.0</v>
      </c>
      <c r="U22" s="32">
        <v>0.0</v>
      </c>
      <c r="V22" s="32">
        <v>0.0</v>
      </c>
      <c r="W22" s="32">
        <v>11.0</v>
      </c>
      <c r="X22" s="32">
        <v>1.0</v>
      </c>
      <c r="Y22" s="32">
        <v>1.0</v>
      </c>
      <c r="Z22" s="21">
        <f t="shared" si="5"/>
        <v>13</v>
      </c>
      <c r="AA22" s="32">
        <v>0.0</v>
      </c>
      <c r="AB22" s="21">
        <f t="shared" si="6"/>
        <v>4</v>
      </c>
      <c r="AC22" s="23">
        <f t="shared" si="7"/>
        <v>4</v>
      </c>
      <c r="AD22" s="21">
        <f t="shared" si="8"/>
        <v>18</v>
      </c>
      <c r="AE22" s="32">
        <v>15.0</v>
      </c>
      <c r="AF22" s="32">
        <v>3.0</v>
      </c>
      <c r="AG22" s="24">
        <f t="shared" si="9"/>
        <v>83.33333333</v>
      </c>
      <c r="AH22" s="32">
        <v>4.0</v>
      </c>
      <c r="AI22" s="22" t="str">
        <f t="shared" si="10"/>
        <v>0.57</v>
      </c>
      <c r="AJ22" s="26"/>
      <c r="AK22" s="26"/>
      <c r="AL22" s="27">
        <f t="shared" si="11"/>
        <v>0.4285714286</v>
      </c>
      <c r="AM22" s="27">
        <f t="shared" si="12"/>
        <v>0.5714285714</v>
      </c>
      <c r="AN22" s="28">
        <f t="shared" si="13"/>
        <v>0.75</v>
      </c>
      <c r="AO22" s="27">
        <f t="shared" si="14"/>
        <v>0</v>
      </c>
      <c r="AP22" s="27">
        <f t="shared" si="15"/>
        <v>0.1428571429</v>
      </c>
      <c r="AQ22" s="27">
        <f t="shared" ref="AQ22:AR22" si="35">iferror(AB22/$M22,"-")</f>
        <v>0.5714285714</v>
      </c>
      <c r="AR22" s="27">
        <f t="shared" si="35"/>
        <v>0.5714285714</v>
      </c>
      <c r="AS22" s="29">
        <f t="shared" si="17"/>
        <v>0.4285714286</v>
      </c>
      <c r="AT22" s="29" t="str">
        <f t="shared" si="18"/>
        <v>0.57</v>
      </c>
      <c r="AU22" s="26"/>
      <c r="AV22" s="26"/>
      <c r="AW22" s="26"/>
      <c r="AX22" s="26"/>
    </row>
    <row r="23">
      <c r="B23" s="17">
        <v>20.0</v>
      </c>
      <c r="C23" s="18">
        <f t="shared" si="2"/>
        <v>7</v>
      </c>
      <c r="D23" s="19" t="s">
        <v>173</v>
      </c>
      <c r="E23" s="31" t="s">
        <v>180</v>
      </c>
      <c r="F23" s="31">
        <v>2.0</v>
      </c>
      <c r="G23" s="31" t="s">
        <v>47</v>
      </c>
      <c r="H23" s="31" t="s">
        <v>52</v>
      </c>
      <c r="I23" s="31">
        <v>184.0</v>
      </c>
      <c r="J23" s="31">
        <v>70.0</v>
      </c>
      <c r="K23" s="32">
        <v>8.0</v>
      </c>
      <c r="L23" s="32">
        <v>2.0</v>
      </c>
      <c r="M23" s="32">
        <v>8.0</v>
      </c>
      <c r="N23" s="32">
        <v>37.0</v>
      </c>
      <c r="O23" s="32">
        <v>0.0</v>
      </c>
      <c r="P23" s="32">
        <v>39.0</v>
      </c>
      <c r="Q23" s="32">
        <v>11.0</v>
      </c>
      <c r="R23" s="21">
        <f t="shared" si="3"/>
        <v>87</v>
      </c>
      <c r="S23" s="22">
        <f t="shared" si="4"/>
        <v>0.3</v>
      </c>
      <c r="T23" s="32">
        <v>3.0</v>
      </c>
      <c r="U23" s="32">
        <v>0.0</v>
      </c>
      <c r="V23" s="32">
        <v>1.0</v>
      </c>
      <c r="W23" s="32">
        <v>18.0</v>
      </c>
      <c r="X23" s="32">
        <v>5.0</v>
      </c>
      <c r="Y23" s="32">
        <v>4.0</v>
      </c>
      <c r="Z23" s="21">
        <f t="shared" si="5"/>
        <v>27</v>
      </c>
      <c r="AA23" s="32">
        <v>0.0</v>
      </c>
      <c r="AB23" s="21">
        <f t="shared" si="6"/>
        <v>45</v>
      </c>
      <c r="AC23" s="23">
        <f t="shared" si="7"/>
        <v>45.75</v>
      </c>
      <c r="AD23" s="21">
        <f t="shared" si="8"/>
        <v>1</v>
      </c>
      <c r="AE23" s="32">
        <v>1.0</v>
      </c>
      <c r="AF23" s="32">
        <v>0.0</v>
      </c>
      <c r="AG23" s="24">
        <f t="shared" si="9"/>
        <v>100</v>
      </c>
      <c r="AH23" s="32">
        <v>6.0</v>
      </c>
      <c r="AI23" s="22" t="str">
        <f t="shared" si="10"/>
        <v>0.75</v>
      </c>
      <c r="AJ23" s="26"/>
      <c r="AK23" s="26"/>
      <c r="AL23" s="27">
        <f t="shared" si="11"/>
        <v>4.625</v>
      </c>
      <c r="AM23" s="27">
        <f t="shared" si="12"/>
        <v>10.875</v>
      </c>
      <c r="AN23" s="28">
        <f t="shared" si="13"/>
        <v>0.4252873563</v>
      </c>
      <c r="AO23" s="27">
        <f t="shared" si="14"/>
        <v>0.375</v>
      </c>
      <c r="AP23" s="27">
        <f t="shared" si="15"/>
        <v>0.625</v>
      </c>
      <c r="AQ23" s="27">
        <f t="shared" ref="AQ23:AR23" si="36">iferror(AB23/$M23,"-")</f>
        <v>5.625</v>
      </c>
      <c r="AR23" s="27">
        <f t="shared" si="36"/>
        <v>5.71875</v>
      </c>
      <c r="AS23" s="29">
        <f t="shared" si="17"/>
        <v>0</v>
      </c>
      <c r="AT23" s="29" t="str">
        <f t="shared" si="18"/>
        <v>0.75</v>
      </c>
      <c r="AU23" s="26"/>
      <c r="AV23" s="26"/>
      <c r="AW23" s="26"/>
      <c r="AX23" s="26"/>
    </row>
    <row r="24">
      <c r="B24" s="17">
        <v>21.0</v>
      </c>
      <c r="C24" s="18">
        <f t="shared" si="2"/>
        <v>8</v>
      </c>
      <c r="D24" s="19" t="s">
        <v>173</v>
      </c>
      <c r="E24" s="31" t="s">
        <v>181</v>
      </c>
      <c r="F24" s="31">
        <v>3.0</v>
      </c>
      <c r="G24" s="31" t="s">
        <v>52</v>
      </c>
      <c r="H24" s="31" t="s">
        <v>57</v>
      </c>
      <c r="I24" s="31">
        <v>175.0</v>
      </c>
      <c r="J24" s="31">
        <v>60.0</v>
      </c>
      <c r="K24" s="32">
        <v>9.0</v>
      </c>
      <c r="L24" s="32">
        <v>2.0</v>
      </c>
      <c r="M24" s="32">
        <v>8.0</v>
      </c>
      <c r="N24" s="32">
        <v>15.0</v>
      </c>
      <c r="O24" s="32">
        <v>4.0</v>
      </c>
      <c r="P24" s="32">
        <v>19.0</v>
      </c>
      <c r="Q24" s="32">
        <v>0.0</v>
      </c>
      <c r="R24" s="21">
        <f t="shared" si="3"/>
        <v>34</v>
      </c>
      <c r="S24" s="22">
        <f t="shared" si="4"/>
        <v>0.44</v>
      </c>
      <c r="T24" s="32">
        <v>1.0</v>
      </c>
      <c r="U24" s="32">
        <v>0.0</v>
      </c>
      <c r="V24" s="32">
        <v>3.0</v>
      </c>
      <c r="W24" s="32">
        <v>27.0</v>
      </c>
      <c r="X24" s="32">
        <v>4.0</v>
      </c>
      <c r="Y24" s="32">
        <v>5.0</v>
      </c>
      <c r="Z24" s="21">
        <f t="shared" si="5"/>
        <v>36</v>
      </c>
      <c r="AA24" s="32">
        <v>1.0</v>
      </c>
      <c r="AB24" s="21">
        <f t="shared" si="6"/>
        <v>20</v>
      </c>
      <c r="AC24" s="23">
        <f t="shared" si="7"/>
        <v>22.25</v>
      </c>
      <c r="AD24" s="21">
        <f t="shared" si="8"/>
        <v>53</v>
      </c>
      <c r="AE24" s="32">
        <v>45.0</v>
      </c>
      <c r="AF24" s="32">
        <v>8.0</v>
      </c>
      <c r="AG24" s="24">
        <f t="shared" si="9"/>
        <v>84.90566038</v>
      </c>
      <c r="AH24" s="32">
        <v>16.0</v>
      </c>
      <c r="AI24" s="22" t="str">
        <f t="shared" si="10"/>
        <v>2</v>
      </c>
      <c r="AJ24" s="26"/>
      <c r="AK24" s="26"/>
      <c r="AL24" s="27">
        <f t="shared" si="11"/>
        <v>1.875</v>
      </c>
      <c r="AM24" s="27">
        <f t="shared" si="12"/>
        <v>4.25</v>
      </c>
      <c r="AN24" s="28">
        <f t="shared" si="13"/>
        <v>0.4411764706</v>
      </c>
      <c r="AO24" s="27">
        <f t="shared" si="14"/>
        <v>0.125</v>
      </c>
      <c r="AP24" s="27">
        <f t="shared" si="15"/>
        <v>0.5</v>
      </c>
      <c r="AQ24" s="27">
        <f t="shared" ref="AQ24:AR24" si="37">iferror(AB24/$M24,"-")</f>
        <v>2.5</v>
      </c>
      <c r="AR24" s="27">
        <f t="shared" si="37"/>
        <v>2.78125</v>
      </c>
      <c r="AS24" s="29">
        <f t="shared" si="17"/>
        <v>1</v>
      </c>
      <c r="AT24" s="29" t="str">
        <f t="shared" si="18"/>
        <v>2</v>
      </c>
      <c r="AU24" s="26"/>
      <c r="AV24" s="26"/>
      <c r="AW24" s="26"/>
      <c r="AX24" s="26"/>
    </row>
    <row r="25">
      <c r="B25" s="17">
        <v>22.0</v>
      </c>
      <c r="C25" s="18">
        <f t="shared" si="2"/>
        <v>9</v>
      </c>
      <c r="D25" s="19" t="s">
        <v>173</v>
      </c>
      <c r="E25" s="31" t="s">
        <v>182</v>
      </c>
      <c r="F25" s="31">
        <v>1.0</v>
      </c>
      <c r="G25" s="31" t="s">
        <v>52</v>
      </c>
      <c r="H25" s="31" t="s">
        <v>57</v>
      </c>
      <c r="I25" s="31">
        <v>180.0</v>
      </c>
      <c r="J25" s="31">
        <v>61.0</v>
      </c>
      <c r="K25" s="32">
        <v>10.0</v>
      </c>
      <c r="L25" s="32">
        <v>2.0</v>
      </c>
      <c r="M25" s="32">
        <v>8.0</v>
      </c>
      <c r="N25" s="32">
        <v>19.0</v>
      </c>
      <c r="O25" s="32">
        <v>1.0</v>
      </c>
      <c r="P25" s="32">
        <v>21.0</v>
      </c>
      <c r="Q25" s="32">
        <v>16.0</v>
      </c>
      <c r="R25" s="21">
        <f t="shared" si="3"/>
        <v>56</v>
      </c>
      <c r="S25" s="22">
        <f t="shared" si="4"/>
        <v>0.05</v>
      </c>
      <c r="T25" s="32">
        <v>0.0</v>
      </c>
      <c r="U25" s="32">
        <v>0.0</v>
      </c>
      <c r="V25" s="32">
        <v>0.0</v>
      </c>
      <c r="W25" s="32">
        <v>13.0</v>
      </c>
      <c r="X25" s="32">
        <v>0.0</v>
      </c>
      <c r="Y25" s="32">
        <v>4.0</v>
      </c>
      <c r="Z25" s="21">
        <f t="shared" si="5"/>
        <v>17</v>
      </c>
      <c r="AA25" s="32">
        <v>1.0</v>
      </c>
      <c r="AB25" s="21">
        <f t="shared" si="6"/>
        <v>19</v>
      </c>
      <c r="AC25" s="23">
        <f t="shared" si="7"/>
        <v>19</v>
      </c>
      <c r="AD25" s="21">
        <f t="shared" si="8"/>
        <v>9</v>
      </c>
      <c r="AE25" s="32">
        <v>8.0</v>
      </c>
      <c r="AF25" s="32">
        <v>1.0</v>
      </c>
      <c r="AG25" s="24">
        <f t="shared" si="9"/>
        <v>88.88888889</v>
      </c>
      <c r="AH25" s="32">
        <v>9.0</v>
      </c>
      <c r="AI25" s="22" t="str">
        <f t="shared" si="10"/>
        <v>1.13</v>
      </c>
      <c r="AJ25" s="26"/>
      <c r="AK25" s="26"/>
      <c r="AL25" s="27">
        <f t="shared" si="11"/>
        <v>2.375</v>
      </c>
      <c r="AM25" s="27">
        <f t="shared" si="12"/>
        <v>7</v>
      </c>
      <c r="AN25" s="28">
        <f t="shared" si="13"/>
        <v>0.3392857143</v>
      </c>
      <c r="AO25" s="27">
        <f t="shared" si="14"/>
        <v>0</v>
      </c>
      <c r="AP25" s="27">
        <f t="shared" si="15"/>
        <v>0</v>
      </c>
      <c r="AQ25" s="27">
        <f t="shared" ref="AQ25:AR25" si="38">iferror(AB25/$M25,"-")</f>
        <v>2.375</v>
      </c>
      <c r="AR25" s="27">
        <f t="shared" si="38"/>
        <v>2.375</v>
      </c>
      <c r="AS25" s="29">
        <f t="shared" si="17"/>
        <v>0.125</v>
      </c>
      <c r="AT25" s="29" t="str">
        <f t="shared" si="18"/>
        <v>1.13</v>
      </c>
      <c r="AU25" s="26"/>
      <c r="AV25" s="26"/>
      <c r="AW25" s="26"/>
      <c r="AX25" s="26"/>
    </row>
    <row r="26">
      <c r="B26" s="17">
        <v>23.0</v>
      </c>
      <c r="C26" s="18">
        <f t="shared" si="2"/>
        <v>10</v>
      </c>
      <c r="D26" s="19" t="s">
        <v>173</v>
      </c>
      <c r="E26" s="31" t="s">
        <v>183</v>
      </c>
      <c r="F26" s="31">
        <v>1.0</v>
      </c>
      <c r="G26" s="31" t="s">
        <v>54</v>
      </c>
      <c r="H26" s="31" t="s">
        <v>48</v>
      </c>
      <c r="I26" s="31">
        <v>178.0</v>
      </c>
      <c r="J26" s="31">
        <v>64.0</v>
      </c>
      <c r="K26" s="32">
        <v>11.0</v>
      </c>
      <c r="L26" s="32">
        <v>0.0</v>
      </c>
      <c r="M26" s="32">
        <v>0.0</v>
      </c>
      <c r="N26" s="32">
        <v>0.0</v>
      </c>
      <c r="O26" s="32">
        <v>0.0</v>
      </c>
      <c r="P26" s="32">
        <v>0.0</v>
      </c>
      <c r="Q26" s="32">
        <v>0.0</v>
      </c>
      <c r="R26" s="30" t="str">
        <f t="shared" si="3"/>
        <v>-</v>
      </c>
      <c r="S26" s="22" t="str">
        <f t="shared" si="4"/>
        <v>-</v>
      </c>
      <c r="T26" s="32">
        <v>0.0</v>
      </c>
      <c r="U26" s="32">
        <v>0.0</v>
      </c>
      <c r="V26" s="32">
        <v>0.0</v>
      </c>
      <c r="W26" s="32">
        <v>0.0</v>
      </c>
      <c r="X26" s="32">
        <v>0.0</v>
      </c>
      <c r="Y26" s="32">
        <v>0.0</v>
      </c>
      <c r="Z26" s="30" t="str">
        <f t="shared" si="5"/>
        <v>-</v>
      </c>
      <c r="AA26" s="32">
        <v>0.0</v>
      </c>
      <c r="AB26" s="30" t="str">
        <f t="shared" si="6"/>
        <v>-</v>
      </c>
      <c r="AC26" s="23">
        <f t="shared" si="7"/>
        <v>0</v>
      </c>
      <c r="AD26" s="30" t="str">
        <f t="shared" si="8"/>
        <v>-</v>
      </c>
      <c r="AE26" s="32">
        <v>0.0</v>
      </c>
      <c r="AF26" s="32">
        <v>0.0</v>
      </c>
      <c r="AG26" s="24" t="str">
        <f t="shared" si="9"/>
        <v>-</v>
      </c>
      <c r="AH26" s="32">
        <v>0.0</v>
      </c>
      <c r="AI26" s="22" t="str">
        <f t="shared" si="10"/>
        <v>-</v>
      </c>
      <c r="AJ26" s="26"/>
      <c r="AK26" s="26"/>
      <c r="AL26" s="27" t="str">
        <f t="shared" si="11"/>
        <v>-</v>
      </c>
      <c r="AM26" s="27" t="str">
        <f t="shared" si="12"/>
        <v>-</v>
      </c>
      <c r="AN26" s="28" t="str">
        <f t="shared" si="13"/>
        <v>-</v>
      </c>
      <c r="AO26" s="27" t="str">
        <f t="shared" si="14"/>
        <v>-</v>
      </c>
      <c r="AP26" s="27" t="str">
        <f t="shared" si="15"/>
        <v>-</v>
      </c>
      <c r="AQ26" s="27" t="str">
        <f t="shared" ref="AQ26:AR26" si="39">iferror(AB26/$M26,"-")</f>
        <v>-</v>
      </c>
      <c r="AR26" s="27" t="str">
        <f t="shared" si="39"/>
        <v>-</v>
      </c>
      <c r="AS26" s="29" t="str">
        <f t="shared" si="17"/>
        <v>-</v>
      </c>
      <c r="AT26" s="29" t="str">
        <f t="shared" si="18"/>
        <v>-</v>
      </c>
      <c r="AU26" s="26"/>
      <c r="AV26" s="26"/>
      <c r="AW26" s="26"/>
      <c r="AX26" s="26"/>
    </row>
    <row r="27">
      <c r="B27" s="17">
        <v>24.0</v>
      </c>
      <c r="C27" s="18">
        <f t="shared" si="2"/>
        <v>11</v>
      </c>
      <c r="D27" s="19" t="s">
        <v>173</v>
      </c>
      <c r="E27" s="37" t="s">
        <v>184</v>
      </c>
      <c r="F27" s="31">
        <v>2.0</v>
      </c>
      <c r="G27" s="31" t="s">
        <v>47</v>
      </c>
      <c r="H27" s="31" t="s">
        <v>48</v>
      </c>
      <c r="I27" s="31">
        <v>187.0</v>
      </c>
      <c r="J27" s="31">
        <v>83.0</v>
      </c>
      <c r="K27" s="32">
        <v>12.0</v>
      </c>
      <c r="L27" s="32">
        <v>4.0</v>
      </c>
      <c r="M27" s="32">
        <v>13.0</v>
      </c>
      <c r="N27" s="32">
        <v>0.0</v>
      </c>
      <c r="O27" s="32">
        <v>11.0</v>
      </c>
      <c r="P27" s="32">
        <v>0.0</v>
      </c>
      <c r="Q27" s="32">
        <v>0.0</v>
      </c>
      <c r="R27" s="30" t="str">
        <f t="shared" si="3"/>
        <v>-</v>
      </c>
      <c r="S27" s="22" t="str">
        <f t="shared" si="4"/>
        <v>-</v>
      </c>
      <c r="T27" s="32">
        <v>0.0</v>
      </c>
      <c r="U27" s="32">
        <v>0.0</v>
      </c>
      <c r="V27" s="32">
        <v>0.0</v>
      </c>
      <c r="W27" s="32">
        <v>0.0</v>
      </c>
      <c r="X27" s="32">
        <v>0.0</v>
      </c>
      <c r="Y27" s="32">
        <v>0.0</v>
      </c>
      <c r="Z27" s="30" t="str">
        <f t="shared" si="5"/>
        <v>-</v>
      </c>
      <c r="AA27" s="32">
        <v>0.0</v>
      </c>
      <c r="AB27" s="30" t="str">
        <f t="shared" si="6"/>
        <v>-</v>
      </c>
      <c r="AC27" s="23">
        <f t="shared" si="7"/>
        <v>0</v>
      </c>
      <c r="AD27" s="21">
        <f t="shared" si="8"/>
        <v>48</v>
      </c>
      <c r="AE27" s="32">
        <v>42.0</v>
      </c>
      <c r="AF27" s="32">
        <v>6.0</v>
      </c>
      <c r="AG27" s="24">
        <f t="shared" si="9"/>
        <v>87.5</v>
      </c>
      <c r="AH27" s="32">
        <v>45.0</v>
      </c>
      <c r="AI27" s="22" t="str">
        <f t="shared" si="10"/>
        <v>3.46</v>
      </c>
      <c r="AJ27" s="26"/>
      <c r="AK27" s="26"/>
      <c r="AL27" s="27">
        <f t="shared" si="11"/>
        <v>0</v>
      </c>
      <c r="AM27" s="27" t="str">
        <f t="shared" si="12"/>
        <v>-</v>
      </c>
      <c r="AN27" s="28" t="str">
        <f t="shared" si="13"/>
        <v>-</v>
      </c>
      <c r="AO27" s="27">
        <f t="shared" si="14"/>
        <v>0</v>
      </c>
      <c r="AP27" s="27">
        <f t="shared" si="15"/>
        <v>0</v>
      </c>
      <c r="AQ27" s="27" t="str">
        <f t="shared" ref="AQ27:AR27" si="40">iferror(AB27/$M27,"-")</f>
        <v>-</v>
      </c>
      <c r="AR27" s="27">
        <f t="shared" si="40"/>
        <v>0</v>
      </c>
      <c r="AS27" s="29">
        <f t="shared" si="17"/>
        <v>0.4615384615</v>
      </c>
      <c r="AT27" s="29" t="str">
        <f t="shared" si="18"/>
        <v>3.46</v>
      </c>
      <c r="AU27" s="26"/>
      <c r="AV27" s="26"/>
      <c r="AW27" s="26"/>
      <c r="AX27" s="26"/>
    </row>
    <row r="28">
      <c r="B28" s="17">
        <v>25.0</v>
      </c>
      <c r="C28" s="18">
        <f t="shared" si="2"/>
        <v>12</v>
      </c>
      <c r="D28" s="19" t="s">
        <v>173</v>
      </c>
      <c r="E28" s="31" t="s">
        <v>185</v>
      </c>
      <c r="F28" s="31">
        <v>2.0</v>
      </c>
      <c r="G28" s="31" t="s">
        <v>52</v>
      </c>
      <c r="H28" s="31" t="s">
        <v>57</v>
      </c>
      <c r="I28" s="31">
        <v>170.0</v>
      </c>
      <c r="J28" s="31">
        <v>62.0</v>
      </c>
      <c r="K28" s="32">
        <v>13.0</v>
      </c>
      <c r="L28" s="32">
        <v>2.0</v>
      </c>
      <c r="M28" s="32">
        <v>7.0</v>
      </c>
      <c r="N28" s="32">
        <v>0.0</v>
      </c>
      <c r="O28" s="32">
        <v>2.0</v>
      </c>
      <c r="P28" s="32">
        <v>3.0</v>
      </c>
      <c r="Q28" s="32">
        <v>3.0</v>
      </c>
      <c r="R28" s="21">
        <f t="shared" si="3"/>
        <v>6</v>
      </c>
      <c r="S28" s="22">
        <f t="shared" si="4"/>
        <v>-0.5</v>
      </c>
      <c r="T28" s="32">
        <v>0.0</v>
      </c>
      <c r="U28" s="32">
        <v>0.0</v>
      </c>
      <c r="V28" s="32">
        <v>0.0</v>
      </c>
      <c r="W28" s="32">
        <v>10.0</v>
      </c>
      <c r="X28" s="32">
        <v>2.0</v>
      </c>
      <c r="Y28" s="32">
        <v>4.0</v>
      </c>
      <c r="Z28" s="21">
        <f t="shared" si="5"/>
        <v>16</v>
      </c>
      <c r="AA28" s="32">
        <v>0.0</v>
      </c>
      <c r="AB28" s="21">
        <f t="shared" si="6"/>
        <v>2</v>
      </c>
      <c r="AC28" s="23">
        <f t="shared" si="7"/>
        <v>2</v>
      </c>
      <c r="AD28" s="21">
        <f t="shared" si="8"/>
        <v>30</v>
      </c>
      <c r="AE28" s="32">
        <v>27.0</v>
      </c>
      <c r="AF28" s="32">
        <v>3.0</v>
      </c>
      <c r="AG28" s="24">
        <f t="shared" si="9"/>
        <v>90</v>
      </c>
      <c r="AH28" s="32">
        <v>13.0</v>
      </c>
      <c r="AI28" s="22" t="str">
        <f t="shared" si="10"/>
        <v>1.86</v>
      </c>
      <c r="AJ28" s="26"/>
      <c r="AK28" s="26"/>
      <c r="AL28" s="27">
        <f t="shared" si="11"/>
        <v>0</v>
      </c>
      <c r="AM28" s="27">
        <f t="shared" si="12"/>
        <v>0.8571428571</v>
      </c>
      <c r="AN28" s="28">
        <f t="shared" si="13"/>
        <v>0</v>
      </c>
      <c r="AO28" s="27">
        <f t="shared" si="14"/>
        <v>0</v>
      </c>
      <c r="AP28" s="27">
        <f t="shared" si="15"/>
        <v>0.2857142857</v>
      </c>
      <c r="AQ28" s="27">
        <f t="shared" ref="AQ28:AR28" si="41">iferror(AB28/$M28,"-")</f>
        <v>0.2857142857</v>
      </c>
      <c r="AR28" s="27">
        <f t="shared" si="41"/>
        <v>0.2857142857</v>
      </c>
      <c r="AS28" s="29">
        <f t="shared" si="17"/>
        <v>0.4285714286</v>
      </c>
      <c r="AT28" s="29" t="str">
        <f t="shared" si="18"/>
        <v>1.86</v>
      </c>
      <c r="AU28" s="26"/>
      <c r="AV28" s="26"/>
      <c r="AW28" s="26"/>
      <c r="AX28" s="26"/>
    </row>
    <row r="29">
      <c r="B29" s="17">
        <v>26.0</v>
      </c>
      <c r="C29" s="18">
        <f t="shared" si="2"/>
        <v>13</v>
      </c>
      <c r="D29" s="19" t="s">
        <v>173</v>
      </c>
      <c r="E29" s="31" t="s">
        <v>186</v>
      </c>
      <c r="F29" s="31">
        <v>3.0</v>
      </c>
      <c r="G29" s="31" t="s">
        <v>57</v>
      </c>
      <c r="H29" s="31" t="s">
        <v>52</v>
      </c>
      <c r="I29" s="31">
        <v>176.0</v>
      </c>
      <c r="J29" s="31">
        <v>62.0</v>
      </c>
      <c r="K29" s="32">
        <v>14.0</v>
      </c>
      <c r="L29" s="32">
        <v>2.0</v>
      </c>
      <c r="M29" s="32">
        <v>5.0</v>
      </c>
      <c r="N29" s="32">
        <v>6.0</v>
      </c>
      <c r="O29" s="32">
        <v>0.0</v>
      </c>
      <c r="P29" s="32">
        <v>7.0</v>
      </c>
      <c r="Q29" s="32">
        <v>0.0</v>
      </c>
      <c r="R29" s="21">
        <f t="shared" si="3"/>
        <v>13</v>
      </c>
      <c r="S29" s="22">
        <f t="shared" si="4"/>
        <v>0.46</v>
      </c>
      <c r="T29" s="32">
        <v>2.0</v>
      </c>
      <c r="U29" s="32">
        <v>0.0</v>
      </c>
      <c r="V29" s="32">
        <v>1.0</v>
      </c>
      <c r="W29" s="32">
        <v>9.0</v>
      </c>
      <c r="X29" s="32">
        <v>0.0</v>
      </c>
      <c r="Y29" s="32">
        <v>4.0</v>
      </c>
      <c r="Z29" s="21">
        <f t="shared" si="5"/>
        <v>13</v>
      </c>
      <c r="AA29" s="32">
        <v>0.0</v>
      </c>
      <c r="AB29" s="21">
        <f t="shared" si="6"/>
        <v>8</v>
      </c>
      <c r="AC29" s="23">
        <f t="shared" si="7"/>
        <v>8.75</v>
      </c>
      <c r="AD29" s="21">
        <f t="shared" si="8"/>
        <v>3</v>
      </c>
      <c r="AE29" s="32">
        <v>1.0</v>
      </c>
      <c r="AF29" s="32">
        <v>2.0</v>
      </c>
      <c r="AG29" s="24">
        <f t="shared" si="9"/>
        <v>33.33333333</v>
      </c>
      <c r="AH29" s="32">
        <v>3.0</v>
      </c>
      <c r="AI29" s="22" t="str">
        <f t="shared" si="10"/>
        <v>0.60</v>
      </c>
      <c r="AJ29" s="26"/>
      <c r="AK29" s="26"/>
      <c r="AL29" s="27">
        <f t="shared" si="11"/>
        <v>1.2</v>
      </c>
      <c r="AM29" s="27">
        <f t="shared" si="12"/>
        <v>2.6</v>
      </c>
      <c r="AN29" s="28">
        <f t="shared" si="13"/>
        <v>0.4615384615</v>
      </c>
      <c r="AO29" s="27">
        <f t="shared" si="14"/>
        <v>0.4</v>
      </c>
      <c r="AP29" s="27">
        <f t="shared" si="15"/>
        <v>0</v>
      </c>
      <c r="AQ29" s="27">
        <f t="shared" ref="AQ29:AR29" si="42">iferror(AB29/$M29,"-")</f>
        <v>1.6</v>
      </c>
      <c r="AR29" s="27">
        <f t="shared" si="42"/>
        <v>1.75</v>
      </c>
      <c r="AS29" s="29">
        <f t="shared" si="17"/>
        <v>0.4</v>
      </c>
      <c r="AT29" s="29" t="str">
        <f t="shared" si="18"/>
        <v>0.60</v>
      </c>
      <c r="AU29" s="26"/>
      <c r="AV29" s="26"/>
      <c r="AW29" s="26"/>
      <c r="AX29" s="26"/>
    </row>
    <row r="30">
      <c r="B30" s="17">
        <v>27.0</v>
      </c>
      <c r="C30" s="18">
        <f t="shared" si="2"/>
        <v>14</v>
      </c>
      <c r="D30" s="19" t="s">
        <v>173</v>
      </c>
      <c r="E30" s="31" t="s">
        <v>187</v>
      </c>
      <c r="F30" s="31">
        <v>2.0</v>
      </c>
      <c r="G30" s="31" t="s">
        <v>50</v>
      </c>
      <c r="H30" s="31" t="s">
        <v>52</v>
      </c>
      <c r="I30" s="31">
        <v>175.0</v>
      </c>
      <c r="J30" s="31">
        <v>68.0</v>
      </c>
      <c r="K30" s="32">
        <v>15.0</v>
      </c>
      <c r="L30" s="32">
        <v>1.0</v>
      </c>
      <c r="M30" s="32">
        <v>5.0</v>
      </c>
      <c r="N30" s="32">
        <v>0.0</v>
      </c>
      <c r="O30" s="32">
        <v>0.0</v>
      </c>
      <c r="P30" s="32">
        <v>4.0</v>
      </c>
      <c r="Q30" s="32">
        <v>0.0</v>
      </c>
      <c r="R30" s="21">
        <f t="shared" si="3"/>
        <v>4</v>
      </c>
      <c r="S30" s="22" t="str">
        <f t="shared" si="4"/>
        <v>-</v>
      </c>
      <c r="T30" s="32">
        <v>0.0</v>
      </c>
      <c r="U30" s="32">
        <v>0.0</v>
      </c>
      <c r="V30" s="32">
        <v>0.0</v>
      </c>
      <c r="W30" s="32">
        <v>4.0</v>
      </c>
      <c r="X30" s="32">
        <v>0.0</v>
      </c>
      <c r="Y30" s="32">
        <v>1.0</v>
      </c>
      <c r="Z30" s="21">
        <f t="shared" si="5"/>
        <v>5</v>
      </c>
      <c r="AA30" s="32">
        <v>0.0</v>
      </c>
      <c r="AB30" s="30" t="str">
        <f t="shared" si="6"/>
        <v>-</v>
      </c>
      <c r="AC30" s="23">
        <f t="shared" si="7"/>
        <v>0</v>
      </c>
      <c r="AD30" s="21">
        <f t="shared" si="8"/>
        <v>1</v>
      </c>
      <c r="AE30" s="32">
        <v>1.0</v>
      </c>
      <c r="AF30" s="32">
        <v>0.0</v>
      </c>
      <c r="AG30" s="24">
        <f t="shared" si="9"/>
        <v>100</v>
      </c>
      <c r="AH30" s="32">
        <v>2.0</v>
      </c>
      <c r="AI30" s="22" t="str">
        <f t="shared" si="10"/>
        <v>0.40</v>
      </c>
      <c r="AJ30" s="26"/>
      <c r="AK30" s="26"/>
      <c r="AL30" s="27">
        <f t="shared" si="11"/>
        <v>0</v>
      </c>
      <c r="AM30" s="27">
        <f t="shared" si="12"/>
        <v>0.8</v>
      </c>
      <c r="AN30" s="28">
        <f t="shared" si="13"/>
        <v>0</v>
      </c>
      <c r="AO30" s="27">
        <f t="shared" si="14"/>
        <v>0</v>
      </c>
      <c r="AP30" s="27">
        <f t="shared" si="15"/>
        <v>0</v>
      </c>
      <c r="AQ30" s="27" t="str">
        <f t="shared" ref="AQ30:AR30" si="43">iferror(AB30/$M30,"-")</f>
        <v>-</v>
      </c>
      <c r="AR30" s="27">
        <f t="shared" si="43"/>
        <v>0</v>
      </c>
      <c r="AS30" s="29">
        <f t="shared" si="17"/>
        <v>0</v>
      </c>
      <c r="AT30" s="29" t="str">
        <f t="shared" si="18"/>
        <v>0.40</v>
      </c>
      <c r="AU30" s="26"/>
      <c r="AV30" s="26"/>
      <c r="AW30" s="26"/>
      <c r="AX30" s="26"/>
    </row>
    <row r="31">
      <c r="B31" s="17">
        <v>28.0</v>
      </c>
      <c r="C31" s="18">
        <f t="shared" si="2"/>
        <v>1</v>
      </c>
      <c r="D31" s="19" t="s">
        <v>127</v>
      </c>
      <c r="E31" s="31" t="s">
        <v>128</v>
      </c>
      <c r="F31" s="31">
        <v>1.0</v>
      </c>
      <c r="G31" s="31" t="s">
        <v>52</v>
      </c>
      <c r="H31" s="31" t="s">
        <v>48</v>
      </c>
      <c r="I31" s="31">
        <v>173.0</v>
      </c>
      <c r="J31" s="31">
        <v>66.0</v>
      </c>
      <c r="K31" s="32">
        <v>6.0</v>
      </c>
      <c r="L31" s="32">
        <v>4.0</v>
      </c>
      <c r="M31" s="32">
        <v>12.0</v>
      </c>
      <c r="N31" s="32">
        <v>5.0</v>
      </c>
      <c r="O31" s="32">
        <v>0.0</v>
      </c>
      <c r="P31" s="32">
        <v>12.0</v>
      </c>
      <c r="Q31" s="32">
        <v>2.0</v>
      </c>
      <c r="R31" s="21">
        <f t="shared" si="3"/>
        <v>19</v>
      </c>
      <c r="S31" s="22">
        <f t="shared" si="4"/>
        <v>0.16</v>
      </c>
      <c r="T31" s="32">
        <v>0.0</v>
      </c>
      <c r="U31" s="32">
        <v>1.0</v>
      </c>
      <c r="V31" s="32">
        <v>0.0</v>
      </c>
      <c r="W31" s="32">
        <v>12.0</v>
      </c>
      <c r="X31" s="32">
        <v>2.0</v>
      </c>
      <c r="Y31" s="32">
        <v>3.0</v>
      </c>
      <c r="Z31" s="21">
        <f t="shared" si="5"/>
        <v>17</v>
      </c>
      <c r="AA31" s="32">
        <v>0.0</v>
      </c>
      <c r="AB31" s="21">
        <f t="shared" si="6"/>
        <v>7</v>
      </c>
      <c r="AC31" s="23">
        <f t="shared" si="7"/>
        <v>7</v>
      </c>
      <c r="AD31" s="21">
        <f t="shared" si="8"/>
        <v>21</v>
      </c>
      <c r="AE31" s="32">
        <v>14.0</v>
      </c>
      <c r="AF31" s="32">
        <v>7.0</v>
      </c>
      <c r="AG31" s="24">
        <f t="shared" si="9"/>
        <v>66.66666667</v>
      </c>
      <c r="AH31" s="32">
        <v>13.0</v>
      </c>
      <c r="AI31" s="22" t="str">
        <f t="shared" si="10"/>
        <v>1.08</v>
      </c>
      <c r="AJ31" s="26"/>
      <c r="AK31" s="26"/>
      <c r="AL31" s="27">
        <f t="shared" si="11"/>
        <v>0.4166666667</v>
      </c>
      <c r="AM31" s="27">
        <f t="shared" si="12"/>
        <v>1.583333333</v>
      </c>
      <c r="AN31" s="28">
        <f t="shared" si="13"/>
        <v>0.2631578947</v>
      </c>
      <c r="AO31" s="27">
        <f t="shared" si="14"/>
        <v>0</v>
      </c>
      <c r="AP31" s="27">
        <f t="shared" si="15"/>
        <v>0.1666666667</v>
      </c>
      <c r="AQ31" s="27">
        <f t="shared" ref="AQ31:AR31" si="44">iferror(AB31/$M31,"-")</f>
        <v>0.5833333333</v>
      </c>
      <c r="AR31" s="27">
        <f t="shared" si="44"/>
        <v>0.5833333333</v>
      </c>
      <c r="AS31" s="29">
        <f t="shared" si="17"/>
        <v>0.5833333333</v>
      </c>
      <c r="AT31" s="29" t="str">
        <f t="shared" si="18"/>
        <v>1.08</v>
      </c>
      <c r="AU31" s="26"/>
      <c r="AV31" s="26"/>
      <c r="AW31" s="26"/>
      <c r="AX31" s="26"/>
    </row>
    <row r="32">
      <c r="B32" s="17">
        <v>29.0</v>
      </c>
      <c r="C32" s="18">
        <f t="shared" si="2"/>
        <v>2</v>
      </c>
      <c r="D32" s="19" t="s">
        <v>127</v>
      </c>
      <c r="E32" s="31" t="s">
        <v>129</v>
      </c>
      <c r="F32" s="31">
        <v>3.0</v>
      </c>
      <c r="G32" s="31" t="s">
        <v>57</v>
      </c>
      <c r="H32" s="31" t="s">
        <v>48</v>
      </c>
      <c r="I32" s="31">
        <v>172.0</v>
      </c>
      <c r="J32" s="31">
        <v>62.0</v>
      </c>
      <c r="K32" s="32">
        <v>7.0</v>
      </c>
      <c r="L32" s="32">
        <v>4.0</v>
      </c>
      <c r="M32" s="32">
        <v>13.0</v>
      </c>
      <c r="N32" s="32">
        <v>36.0</v>
      </c>
      <c r="O32" s="32">
        <v>4.0</v>
      </c>
      <c r="P32" s="32">
        <v>45.0</v>
      </c>
      <c r="Q32" s="32">
        <v>6.0</v>
      </c>
      <c r="R32" s="21">
        <f t="shared" si="3"/>
        <v>87</v>
      </c>
      <c r="S32" s="22">
        <f t="shared" si="4"/>
        <v>0.34</v>
      </c>
      <c r="T32" s="32">
        <v>3.0</v>
      </c>
      <c r="U32" s="32">
        <v>1.0</v>
      </c>
      <c r="V32" s="32">
        <v>0.0</v>
      </c>
      <c r="W32" s="32">
        <v>26.0</v>
      </c>
      <c r="X32" s="32">
        <v>0.0</v>
      </c>
      <c r="Y32" s="32">
        <v>9.0</v>
      </c>
      <c r="Z32" s="21">
        <f t="shared" si="5"/>
        <v>35</v>
      </c>
      <c r="AA32" s="32">
        <v>1.0</v>
      </c>
      <c r="AB32" s="21">
        <f t="shared" si="6"/>
        <v>39</v>
      </c>
      <c r="AC32" s="23">
        <f t="shared" si="7"/>
        <v>39</v>
      </c>
      <c r="AD32" s="21">
        <f t="shared" si="8"/>
        <v>24</v>
      </c>
      <c r="AE32" s="32">
        <v>22.0</v>
      </c>
      <c r="AF32" s="32">
        <v>2.0</v>
      </c>
      <c r="AG32" s="24">
        <f t="shared" si="9"/>
        <v>91.66666667</v>
      </c>
      <c r="AH32" s="32">
        <v>15.0</v>
      </c>
      <c r="AI32" s="22" t="str">
        <f t="shared" si="10"/>
        <v>1.15</v>
      </c>
      <c r="AJ32" s="26"/>
      <c r="AK32" s="26"/>
      <c r="AL32" s="27">
        <f t="shared" si="11"/>
        <v>2.769230769</v>
      </c>
      <c r="AM32" s="27">
        <f t="shared" si="12"/>
        <v>6.692307692</v>
      </c>
      <c r="AN32" s="28">
        <f t="shared" si="13"/>
        <v>0.4137931034</v>
      </c>
      <c r="AO32" s="27">
        <f t="shared" si="14"/>
        <v>0.2307692308</v>
      </c>
      <c r="AP32" s="27">
        <f t="shared" si="15"/>
        <v>0</v>
      </c>
      <c r="AQ32" s="27">
        <f t="shared" ref="AQ32:AR32" si="45">iferror(AB32/$M32,"-")</f>
        <v>3</v>
      </c>
      <c r="AR32" s="27">
        <f t="shared" si="45"/>
        <v>3</v>
      </c>
      <c r="AS32" s="29">
        <f t="shared" si="17"/>
        <v>0.1538461538</v>
      </c>
      <c r="AT32" s="29" t="str">
        <f t="shared" si="18"/>
        <v>1.15</v>
      </c>
      <c r="AU32" s="26"/>
      <c r="AV32" s="26"/>
      <c r="AW32" s="26"/>
      <c r="AX32" s="26"/>
    </row>
    <row r="33">
      <c r="B33" s="17">
        <v>30.0</v>
      </c>
      <c r="C33" s="18">
        <f t="shared" si="2"/>
        <v>3</v>
      </c>
      <c r="D33" s="19" t="s">
        <v>127</v>
      </c>
      <c r="E33" s="31" t="s">
        <v>130</v>
      </c>
      <c r="F33" s="31">
        <v>1.0</v>
      </c>
      <c r="G33" s="31" t="s">
        <v>50</v>
      </c>
      <c r="H33" s="31" t="s">
        <v>48</v>
      </c>
      <c r="I33" s="31">
        <v>158.0</v>
      </c>
      <c r="J33" s="31">
        <v>53.0</v>
      </c>
      <c r="K33" s="32">
        <v>8.0</v>
      </c>
      <c r="L33" s="32">
        <v>4.0</v>
      </c>
      <c r="M33" s="32">
        <v>10.0</v>
      </c>
      <c r="N33" s="32">
        <v>0.0</v>
      </c>
      <c r="O33" s="32">
        <v>1.0</v>
      </c>
      <c r="P33" s="32">
        <v>0.0</v>
      </c>
      <c r="Q33" s="32">
        <v>0.0</v>
      </c>
      <c r="R33" s="30" t="str">
        <f t="shared" si="3"/>
        <v>-</v>
      </c>
      <c r="S33" s="22" t="str">
        <f t="shared" si="4"/>
        <v>-</v>
      </c>
      <c r="T33" s="32">
        <v>0.0</v>
      </c>
      <c r="U33" s="32">
        <v>0.0</v>
      </c>
      <c r="V33" s="32">
        <v>0.0</v>
      </c>
      <c r="W33" s="32">
        <v>15.0</v>
      </c>
      <c r="X33" s="32">
        <v>1.0</v>
      </c>
      <c r="Y33" s="32">
        <v>1.0</v>
      </c>
      <c r="Z33" s="21">
        <f t="shared" si="5"/>
        <v>17</v>
      </c>
      <c r="AA33" s="32">
        <v>0.0</v>
      </c>
      <c r="AB33" s="21">
        <f t="shared" si="6"/>
        <v>1</v>
      </c>
      <c r="AC33" s="23">
        <f t="shared" si="7"/>
        <v>1</v>
      </c>
      <c r="AD33" s="21">
        <f t="shared" si="8"/>
        <v>3</v>
      </c>
      <c r="AE33" s="32">
        <v>3.0</v>
      </c>
      <c r="AF33" s="32">
        <v>0.0</v>
      </c>
      <c r="AG33" s="24">
        <f t="shared" si="9"/>
        <v>100</v>
      </c>
      <c r="AH33" s="32">
        <v>7.0</v>
      </c>
      <c r="AI33" s="22" t="str">
        <f t="shared" si="10"/>
        <v>0.70</v>
      </c>
      <c r="AJ33" s="26"/>
      <c r="AK33" s="26"/>
      <c r="AL33" s="27">
        <f t="shared" si="11"/>
        <v>0</v>
      </c>
      <c r="AM33" s="27" t="str">
        <f t="shared" si="12"/>
        <v>-</v>
      </c>
      <c r="AN33" s="28" t="str">
        <f t="shared" si="13"/>
        <v>-</v>
      </c>
      <c r="AO33" s="27">
        <f t="shared" si="14"/>
        <v>0</v>
      </c>
      <c r="AP33" s="27">
        <f t="shared" si="15"/>
        <v>0.1</v>
      </c>
      <c r="AQ33" s="27">
        <f t="shared" ref="AQ33:AR33" si="46">iferror(AB33/$M33,"-")</f>
        <v>0.1</v>
      </c>
      <c r="AR33" s="27">
        <f t="shared" si="46"/>
        <v>0.1</v>
      </c>
      <c r="AS33" s="29">
        <f t="shared" si="17"/>
        <v>0</v>
      </c>
      <c r="AT33" s="29" t="str">
        <f t="shared" si="18"/>
        <v>0.70</v>
      </c>
      <c r="AU33" s="26"/>
      <c r="AV33" s="26"/>
      <c r="AW33" s="26"/>
      <c r="AX33" s="26"/>
    </row>
    <row r="34">
      <c r="B34" s="17">
        <v>31.0</v>
      </c>
      <c r="C34" s="18">
        <f t="shared" si="2"/>
        <v>4</v>
      </c>
      <c r="D34" s="19" t="s">
        <v>127</v>
      </c>
      <c r="E34" s="31" t="s">
        <v>131</v>
      </c>
      <c r="F34" s="31">
        <v>1.0</v>
      </c>
      <c r="G34" s="31" t="s">
        <v>54</v>
      </c>
      <c r="H34" s="31" t="s">
        <v>48</v>
      </c>
      <c r="I34" s="31">
        <v>165.0</v>
      </c>
      <c r="J34" s="31">
        <v>52.0</v>
      </c>
      <c r="K34" s="32">
        <v>9.0</v>
      </c>
      <c r="L34" s="32">
        <v>4.0</v>
      </c>
      <c r="M34" s="32">
        <v>12.0</v>
      </c>
      <c r="N34" s="32">
        <v>0.0</v>
      </c>
      <c r="O34" s="32">
        <v>61.0</v>
      </c>
      <c r="P34" s="32">
        <v>0.0</v>
      </c>
      <c r="Q34" s="32">
        <v>1.0</v>
      </c>
      <c r="R34" s="21">
        <f t="shared" si="3"/>
        <v>1</v>
      </c>
      <c r="S34" s="22">
        <f t="shared" si="4"/>
        <v>-1</v>
      </c>
      <c r="T34" s="32">
        <v>0.0</v>
      </c>
      <c r="U34" s="32">
        <v>0.0</v>
      </c>
      <c r="V34" s="32">
        <v>3.0</v>
      </c>
      <c r="W34" s="32">
        <v>22.0</v>
      </c>
      <c r="X34" s="32">
        <v>1.0</v>
      </c>
      <c r="Y34" s="32">
        <v>1.0</v>
      </c>
      <c r="Z34" s="21">
        <f t="shared" si="5"/>
        <v>24</v>
      </c>
      <c r="AA34" s="32">
        <v>1.0</v>
      </c>
      <c r="AB34" s="21">
        <f t="shared" si="6"/>
        <v>1</v>
      </c>
      <c r="AC34" s="23">
        <f t="shared" si="7"/>
        <v>3.25</v>
      </c>
      <c r="AD34" s="21">
        <f t="shared" si="8"/>
        <v>2</v>
      </c>
      <c r="AE34" s="32">
        <v>1.0</v>
      </c>
      <c r="AF34" s="32">
        <v>1.0</v>
      </c>
      <c r="AG34" s="24">
        <f t="shared" si="9"/>
        <v>50</v>
      </c>
      <c r="AH34" s="32">
        <v>10.0</v>
      </c>
      <c r="AI34" s="22" t="str">
        <f t="shared" si="10"/>
        <v>0.83</v>
      </c>
      <c r="AJ34" s="26"/>
      <c r="AK34" s="26"/>
      <c r="AL34" s="27">
        <f t="shared" si="11"/>
        <v>0</v>
      </c>
      <c r="AM34" s="27">
        <f t="shared" si="12"/>
        <v>0.08333333333</v>
      </c>
      <c r="AN34" s="28">
        <f t="shared" si="13"/>
        <v>0</v>
      </c>
      <c r="AO34" s="27">
        <f t="shared" si="14"/>
        <v>0</v>
      </c>
      <c r="AP34" s="27">
        <f t="shared" si="15"/>
        <v>0.08333333333</v>
      </c>
      <c r="AQ34" s="27">
        <f t="shared" ref="AQ34:AR34" si="47">iferror(AB34/$M34,"-")</f>
        <v>0.08333333333</v>
      </c>
      <c r="AR34" s="27">
        <f t="shared" si="47"/>
        <v>0.2708333333</v>
      </c>
      <c r="AS34" s="29">
        <f t="shared" si="17"/>
        <v>0.08333333333</v>
      </c>
      <c r="AT34" s="29" t="str">
        <f t="shared" si="18"/>
        <v>0.83</v>
      </c>
      <c r="AU34" s="26"/>
      <c r="AV34" s="26"/>
      <c r="AW34" s="26"/>
      <c r="AX34" s="26"/>
    </row>
    <row r="35">
      <c r="B35" s="17">
        <v>32.0</v>
      </c>
      <c r="C35" s="18">
        <f t="shared" si="2"/>
        <v>5</v>
      </c>
      <c r="D35" s="19" t="s">
        <v>127</v>
      </c>
      <c r="E35" s="31" t="s">
        <v>132</v>
      </c>
      <c r="F35" s="31">
        <v>3.0</v>
      </c>
      <c r="G35" s="31" t="s">
        <v>52</v>
      </c>
      <c r="H35" s="31" t="s">
        <v>48</v>
      </c>
      <c r="I35" s="31">
        <v>172.0</v>
      </c>
      <c r="J35" s="31">
        <v>68.0</v>
      </c>
      <c r="K35" s="32">
        <v>10.0</v>
      </c>
      <c r="L35" s="32">
        <v>4.0</v>
      </c>
      <c r="M35" s="32">
        <v>12.0</v>
      </c>
      <c r="N35" s="32">
        <v>6.0</v>
      </c>
      <c r="O35" s="32">
        <v>1.0</v>
      </c>
      <c r="P35" s="32">
        <v>12.0</v>
      </c>
      <c r="Q35" s="32">
        <v>1.0</v>
      </c>
      <c r="R35" s="21">
        <f t="shared" si="3"/>
        <v>19</v>
      </c>
      <c r="S35" s="22">
        <f t="shared" si="4"/>
        <v>0.26</v>
      </c>
      <c r="T35" s="32">
        <v>1.0</v>
      </c>
      <c r="U35" s="32">
        <v>0.0</v>
      </c>
      <c r="V35" s="32">
        <v>1.0</v>
      </c>
      <c r="W35" s="32">
        <v>20.0</v>
      </c>
      <c r="X35" s="32">
        <v>1.0</v>
      </c>
      <c r="Y35" s="32">
        <v>0.0</v>
      </c>
      <c r="Z35" s="21">
        <f t="shared" si="5"/>
        <v>21</v>
      </c>
      <c r="AA35" s="32">
        <v>0.0</v>
      </c>
      <c r="AB35" s="21">
        <f t="shared" si="6"/>
        <v>8</v>
      </c>
      <c r="AC35" s="23">
        <f t="shared" si="7"/>
        <v>8.75</v>
      </c>
      <c r="AD35" s="21">
        <f t="shared" si="8"/>
        <v>5</v>
      </c>
      <c r="AE35" s="32">
        <v>5.0</v>
      </c>
      <c r="AF35" s="32">
        <v>0.0</v>
      </c>
      <c r="AG35" s="24">
        <f t="shared" si="9"/>
        <v>100</v>
      </c>
      <c r="AH35" s="32">
        <v>6.0</v>
      </c>
      <c r="AI35" s="22" t="str">
        <f t="shared" si="10"/>
        <v>0.50</v>
      </c>
      <c r="AJ35" s="26"/>
      <c r="AK35" s="26"/>
      <c r="AL35" s="27">
        <f t="shared" si="11"/>
        <v>0.5</v>
      </c>
      <c r="AM35" s="27">
        <f t="shared" si="12"/>
        <v>1.583333333</v>
      </c>
      <c r="AN35" s="28">
        <f t="shared" si="13"/>
        <v>0.3157894737</v>
      </c>
      <c r="AO35" s="27">
        <f t="shared" si="14"/>
        <v>0.08333333333</v>
      </c>
      <c r="AP35" s="27">
        <f t="shared" si="15"/>
        <v>0.08333333333</v>
      </c>
      <c r="AQ35" s="27">
        <f t="shared" ref="AQ35:AR35" si="48">iferror(AB35/$M35,"-")</f>
        <v>0.6666666667</v>
      </c>
      <c r="AR35" s="27">
        <f t="shared" si="48"/>
        <v>0.7291666667</v>
      </c>
      <c r="AS35" s="29">
        <f t="shared" si="17"/>
        <v>0</v>
      </c>
      <c r="AT35" s="29" t="str">
        <f t="shared" si="18"/>
        <v>0.50</v>
      </c>
      <c r="AU35" s="26"/>
      <c r="AV35" s="26"/>
      <c r="AW35" s="26"/>
      <c r="AX35" s="26"/>
    </row>
    <row r="36">
      <c r="B36" s="17">
        <v>33.0</v>
      </c>
      <c r="C36" s="18">
        <f t="shared" si="2"/>
        <v>6</v>
      </c>
      <c r="D36" s="19" t="s">
        <v>127</v>
      </c>
      <c r="E36" s="31" t="s">
        <v>133</v>
      </c>
      <c r="F36" s="31">
        <v>2.0</v>
      </c>
      <c r="G36" s="31" t="s">
        <v>52</v>
      </c>
      <c r="H36" s="31" t="s">
        <v>48</v>
      </c>
      <c r="I36" s="31">
        <v>172.0</v>
      </c>
      <c r="J36" s="31">
        <v>60.0</v>
      </c>
      <c r="K36" s="32">
        <v>11.0</v>
      </c>
      <c r="L36" s="32">
        <v>4.0</v>
      </c>
      <c r="M36" s="32">
        <v>13.0</v>
      </c>
      <c r="N36" s="32">
        <v>20.0</v>
      </c>
      <c r="O36" s="32">
        <v>6.0</v>
      </c>
      <c r="P36" s="32">
        <v>44.0</v>
      </c>
      <c r="Q36" s="32">
        <v>6.0</v>
      </c>
      <c r="R36" s="21">
        <f t="shared" si="3"/>
        <v>70</v>
      </c>
      <c r="S36" s="22">
        <f t="shared" si="4"/>
        <v>0.2</v>
      </c>
      <c r="T36" s="32">
        <v>0.0</v>
      </c>
      <c r="U36" s="32">
        <v>0.0</v>
      </c>
      <c r="V36" s="32">
        <v>3.0</v>
      </c>
      <c r="W36" s="32">
        <v>32.0</v>
      </c>
      <c r="X36" s="32">
        <v>4.0</v>
      </c>
      <c r="Y36" s="32">
        <v>1.0</v>
      </c>
      <c r="Z36" s="21">
        <f t="shared" si="5"/>
        <v>37</v>
      </c>
      <c r="AA36" s="32">
        <v>0.0</v>
      </c>
      <c r="AB36" s="21">
        <f t="shared" si="6"/>
        <v>24</v>
      </c>
      <c r="AC36" s="23">
        <f t="shared" si="7"/>
        <v>26.25</v>
      </c>
      <c r="AD36" s="21">
        <f t="shared" si="8"/>
        <v>45</v>
      </c>
      <c r="AE36" s="32">
        <v>45.0</v>
      </c>
      <c r="AF36" s="32">
        <v>0.0</v>
      </c>
      <c r="AG36" s="24">
        <f t="shared" si="9"/>
        <v>100</v>
      </c>
      <c r="AH36" s="32">
        <v>21.0</v>
      </c>
      <c r="AI36" s="22" t="str">
        <f t="shared" si="10"/>
        <v>1.62</v>
      </c>
      <c r="AJ36" s="26"/>
      <c r="AK36" s="26"/>
      <c r="AL36" s="27">
        <f t="shared" si="11"/>
        <v>1.538461538</v>
      </c>
      <c r="AM36" s="27">
        <f t="shared" si="12"/>
        <v>5.384615385</v>
      </c>
      <c r="AN36" s="28">
        <f t="shared" si="13"/>
        <v>0.2857142857</v>
      </c>
      <c r="AO36" s="27">
        <f t="shared" si="14"/>
        <v>0</v>
      </c>
      <c r="AP36" s="27">
        <f t="shared" si="15"/>
        <v>0.3076923077</v>
      </c>
      <c r="AQ36" s="27">
        <f t="shared" ref="AQ36:AR36" si="49">iferror(AB36/$M36,"-")</f>
        <v>1.846153846</v>
      </c>
      <c r="AR36" s="27">
        <f t="shared" si="49"/>
        <v>2.019230769</v>
      </c>
      <c r="AS36" s="29">
        <f t="shared" si="17"/>
        <v>0</v>
      </c>
      <c r="AT36" s="29" t="str">
        <f t="shared" si="18"/>
        <v>1.62</v>
      </c>
      <c r="AU36" s="26"/>
      <c r="AV36" s="26"/>
      <c r="AW36" s="26"/>
      <c r="AX36" s="26"/>
    </row>
    <row r="37">
      <c r="B37" s="17">
        <v>34.0</v>
      </c>
      <c r="C37" s="18">
        <f t="shared" si="2"/>
        <v>7</v>
      </c>
      <c r="D37" s="19" t="s">
        <v>127</v>
      </c>
      <c r="E37" s="31" t="s">
        <v>134</v>
      </c>
      <c r="F37" s="31">
        <v>2.0</v>
      </c>
      <c r="G37" s="31" t="s">
        <v>47</v>
      </c>
      <c r="H37" s="31" t="s">
        <v>48</v>
      </c>
      <c r="I37" s="31">
        <v>179.0</v>
      </c>
      <c r="J37" s="31">
        <v>68.0</v>
      </c>
      <c r="K37" s="32">
        <v>13.0</v>
      </c>
      <c r="L37" s="32">
        <v>4.0</v>
      </c>
      <c r="M37" s="32">
        <v>13.0</v>
      </c>
      <c r="N37" s="32">
        <v>19.0</v>
      </c>
      <c r="O37" s="32">
        <v>3.0</v>
      </c>
      <c r="P37" s="32">
        <v>32.0</v>
      </c>
      <c r="Q37" s="32">
        <v>5.0</v>
      </c>
      <c r="R37" s="21">
        <f t="shared" si="3"/>
        <v>56</v>
      </c>
      <c r="S37" s="22">
        <f t="shared" si="4"/>
        <v>0.25</v>
      </c>
      <c r="T37" s="32">
        <v>3.0</v>
      </c>
      <c r="U37" s="32">
        <v>0.0</v>
      </c>
      <c r="V37" s="32">
        <v>1.0</v>
      </c>
      <c r="W37" s="32">
        <v>33.0</v>
      </c>
      <c r="X37" s="32">
        <v>3.0</v>
      </c>
      <c r="Y37" s="32">
        <v>14.0</v>
      </c>
      <c r="Z37" s="21">
        <f t="shared" si="5"/>
        <v>50</v>
      </c>
      <c r="AA37" s="32">
        <v>2.0</v>
      </c>
      <c r="AB37" s="21">
        <f t="shared" si="6"/>
        <v>25</v>
      </c>
      <c r="AC37" s="23">
        <f t="shared" si="7"/>
        <v>25.75</v>
      </c>
      <c r="AD37" s="21">
        <f t="shared" si="8"/>
        <v>8</v>
      </c>
      <c r="AE37" s="32">
        <v>6.0</v>
      </c>
      <c r="AF37" s="32">
        <v>2.0</v>
      </c>
      <c r="AG37" s="24">
        <f t="shared" si="9"/>
        <v>75</v>
      </c>
      <c r="AH37" s="32">
        <v>7.0</v>
      </c>
      <c r="AI37" s="22" t="str">
        <f t="shared" si="10"/>
        <v>0.54</v>
      </c>
      <c r="AJ37" s="26"/>
      <c r="AK37" s="26"/>
      <c r="AL37" s="27">
        <f t="shared" si="11"/>
        <v>1.461538462</v>
      </c>
      <c r="AM37" s="27">
        <f t="shared" si="12"/>
        <v>4.307692308</v>
      </c>
      <c r="AN37" s="28">
        <f t="shared" si="13"/>
        <v>0.3392857143</v>
      </c>
      <c r="AO37" s="27">
        <f t="shared" si="14"/>
        <v>0.2307692308</v>
      </c>
      <c r="AP37" s="27">
        <f t="shared" si="15"/>
        <v>0.2307692308</v>
      </c>
      <c r="AQ37" s="27">
        <f t="shared" ref="AQ37:AR37" si="50">iferror(AB37/$M37,"-")</f>
        <v>1.923076923</v>
      </c>
      <c r="AR37" s="27">
        <f t="shared" si="50"/>
        <v>1.980769231</v>
      </c>
      <c r="AS37" s="29">
        <f t="shared" si="17"/>
        <v>0.1538461538</v>
      </c>
      <c r="AT37" s="29" t="str">
        <f t="shared" si="18"/>
        <v>0.54</v>
      </c>
      <c r="AU37" s="26"/>
      <c r="AV37" s="26"/>
      <c r="AW37" s="26"/>
      <c r="AX37" s="26"/>
    </row>
    <row r="38">
      <c r="B38" s="17">
        <v>35.0</v>
      </c>
      <c r="C38" s="18">
        <f t="shared" si="2"/>
        <v>8</v>
      </c>
      <c r="D38" s="19" t="s">
        <v>127</v>
      </c>
      <c r="E38" s="31" t="s">
        <v>135</v>
      </c>
      <c r="F38" s="31">
        <v>2.0</v>
      </c>
      <c r="G38" s="31" t="s">
        <v>50</v>
      </c>
      <c r="H38" s="31" t="s">
        <v>48</v>
      </c>
      <c r="I38" s="31">
        <v>168.0</v>
      </c>
      <c r="J38" s="31">
        <v>62.0</v>
      </c>
      <c r="K38" s="32">
        <v>15.0</v>
      </c>
      <c r="L38" s="32">
        <v>4.0</v>
      </c>
      <c r="M38" s="32">
        <v>13.0</v>
      </c>
      <c r="N38" s="32">
        <v>0.0</v>
      </c>
      <c r="O38" s="32">
        <v>11.0</v>
      </c>
      <c r="P38" s="32">
        <v>0.0</v>
      </c>
      <c r="Q38" s="32">
        <v>0.0</v>
      </c>
      <c r="R38" s="30" t="str">
        <f t="shared" si="3"/>
        <v>-</v>
      </c>
      <c r="S38" s="22" t="str">
        <f t="shared" si="4"/>
        <v>-</v>
      </c>
      <c r="T38" s="32">
        <v>0.0</v>
      </c>
      <c r="U38" s="32">
        <v>0.0</v>
      </c>
      <c r="V38" s="32">
        <v>0.0</v>
      </c>
      <c r="W38" s="32">
        <v>0.0</v>
      </c>
      <c r="X38" s="32">
        <v>0.0</v>
      </c>
      <c r="Y38" s="32">
        <v>0.0</v>
      </c>
      <c r="Z38" s="30" t="str">
        <f t="shared" si="5"/>
        <v>-</v>
      </c>
      <c r="AA38" s="32">
        <v>0.0</v>
      </c>
      <c r="AB38" s="30" t="str">
        <f t="shared" si="6"/>
        <v>-</v>
      </c>
      <c r="AC38" s="23">
        <f t="shared" si="7"/>
        <v>0</v>
      </c>
      <c r="AD38" s="21">
        <f t="shared" si="8"/>
        <v>48</v>
      </c>
      <c r="AE38" s="32">
        <v>42.0</v>
      </c>
      <c r="AF38" s="32">
        <v>6.0</v>
      </c>
      <c r="AG38" s="24">
        <f t="shared" si="9"/>
        <v>87.5</v>
      </c>
      <c r="AH38" s="32">
        <v>45.0</v>
      </c>
      <c r="AI38" s="22" t="str">
        <f t="shared" si="10"/>
        <v>3.46</v>
      </c>
      <c r="AJ38" s="26"/>
      <c r="AK38" s="26"/>
      <c r="AL38" s="27">
        <f t="shared" si="11"/>
        <v>0</v>
      </c>
      <c r="AM38" s="27" t="str">
        <f t="shared" si="12"/>
        <v>-</v>
      </c>
      <c r="AN38" s="28" t="str">
        <f t="shared" si="13"/>
        <v>-</v>
      </c>
      <c r="AO38" s="27">
        <f t="shared" si="14"/>
        <v>0</v>
      </c>
      <c r="AP38" s="27">
        <f t="shared" si="15"/>
        <v>0</v>
      </c>
      <c r="AQ38" s="27" t="str">
        <f t="shared" ref="AQ38:AR38" si="51">iferror(AB38/$M38,"-")</f>
        <v>-</v>
      </c>
      <c r="AR38" s="27">
        <f t="shared" si="51"/>
        <v>0</v>
      </c>
      <c r="AS38" s="29">
        <f t="shared" si="17"/>
        <v>0.4615384615</v>
      </c>
      <c r="AT38" s="29" t="str">
        <f t="shared" si="18"/>
        <v>3.46</v>
      </c>
      <c r="AU38" s="26"/>
      <c r="AV38" s="26"/>
      <c r="AW38" s="26"/>
      <c r="AX38" s="26"/>
    </row>
    <row r="39">
      <c r="B39" s="17">
        <v>36.0</v>
      </c>
      <c r="C39" s="18">
        <f t="shared" si="2"/>
        <v>9</v>
      </c>
      <c r="D39" s="19" t="s">
        <v>127</v>
      </c>
      <c r="E39" s="31" t="s">
        <v>136</v>
      </c>
      <c r="F39" s="31">
        <v>2.0</v>
      </c>
      <c r="G39" s="31" t="s">
        <v>54</v>
      </c>
      <c r="H39" s="31" t="s">
        <v>48</v>
      </c>
      <c r="I39" s="31">
        <v>164.0</v>
      </c>
      <c r="J39" s="31">
        <v>51.0</v>
      </c>
      <c r="K39" s="32">
        <v>17.0</v>
      </c>
      <c r="L39" s="32">
        <v>4.0</v>
      </c>
      <c r="M39" s="32">
        <v>13.0</v>
      </c>
      <c r="N39" s="32">
        <v>0.0</v>
      </c>
      <c r="O39" s="32">
        <v>62.0</v>
      </c>
      <c r="P39" s="32">
        <v>1.0</v>
      </c>
      <c r="Q39" s="32">
        <v>1.0</v>
      </c>
      <c r="R39" s="21">
        <f t="shared" si="3"/>
        <v>2</v>
      </c>
      <c r="S39" s="22">
        <f t="shared" si="4"/>
        <v>-0.5</v>
      </c>
      <c r="T39" s="32">
        <v>0.0</v>
      </c>
      <c r="U39" s="32">
        <v>0.0</v>
      </c>
      <c r="V39" s="32">
        <v>1.0</v>
      </c>
      <c r="W39" s="32">
        <v>32.0</v>
      </c>
      <c r="X39" s="32">
        <v>1.0</v>
      </c>
      <c r="Y39" s="32">
        <v>1.0</v>
      </c>
      <c r="Z39" s="21">
        <f t="shared" si="5"/>
        <v>34</v>
      </c>
      <c r="AA39" s="32">
        <v>0.0</v>
      </c>
      <c r="AB39" s="21">
        <f t="shared" si="6"/>
        <v>1</v>
      </c>
      <c r="AC39" s="23">
        <f t="shared" si="7"/>
        <v>1.75</v>
      </c>
      <c r="AD39" s="21">
        <f t="shared" si="8"/>
        <v>2</v>
      </c>
      <c r="AE39" s="32">
        <v>1.0</v>
      </c>
      <c r="AF39" s="32">
        <v>1.0</v>
      </c>
      <c r="AG39" s="24">
        <f t="shared" si="9"/>
        <v>50</v>
      </c>
      <c r="AH39" s="32">
        <v>10.0</v>
      </c>
      <c r="AI39" s="22" t="str">
        <f t="shared" si="10"/>
        <v>0.77</v>
      </c>
      <c r="AJ39" s="26"/>
      <c r="AK39" s="26"/>
      <c r="AL39" s="27">
        <f t="shared" si="11"/>
        <v>0</v>
      </c>
      <c r="AM39" s="27">
        <f t="shared" si="12"/>
        <v>0.1538461538</v>
      </c>
      <c r="AN39" s="28">
        <f t="shared" si="13"/>
        <v>0</v>
      </c>
      <c r="AO39" s="27">
        <f t="shared" si="14"/>
        <v>0</v>
      </c>
      <c r="AP39" s="27">
        <f t="shared" si="15"/>
        <v>0.07692307692</v>
      </c>
      <c r="AQ39" s="27">
        <f t="shared" ref="AQ39:AR39" si="52">iferror(AB39/$M39,"-")</f>
        <v>0.07692307692</v>
      </c>
      <c r="AR39" s="27">
        <f t="shared" si="52"/>
        <v>0.1346153846</v>
      </c>
      <c r="AS39" s="29">
        <f t="shared" si="17"/>
        <v>0.07692307692</v>
      </c>
      <c r="AT39" s="29" t="str">
        <f t="shared" si="18"/>
        <v>0.77</v>
      </c>
      <c r="AU39" s="26"/>
      <c r="AV39" s="26"/>
      <c r="AW39" s="26"/>
      <c r="AX39" s="26"/>
    </row>
    <row r="40">
      <c r="B40" s="17">
        <v>37.0</v>
      </c>
      <c r="C40" s="18">
        <f t="shared" si="2"/>
        <v>10</v>
      </c>
      <c r="D40" s="19" t="s">
        <v>127</v>
      </c>
      <c r="E40" s="31" t="s">
        <v>137</v>
      </c>
      <c r="F40" s="31">
        <v>2.0</v>
      </c>
      <c r="G40" s="31" t="s">
        <v>52</v>
      </c>
      <c r="H40" s="31" t="s">
        <v>48</v>
      </c>
      <c r="I40" s="31">
        <v>179.0</v>
      </c>
      <c r="J40" s="31">
        <v>67.0</v>
      </c>
      <c r="K40" s="32">
        <v>18.0</v>
      </c>
      <c r="L40" s="32">
        <v>4.0</v>
      </c>
      <c r="M40" s="32">
        <v>13.0</v>
      </c>
      <c r="N40" s="32">
        <v>76.0</v>
      </c>
      <c r="O40" s="32">
        <v>2.0</v>
      </c>
      <c r="P40" s="32">
        <v>65.0</v>
      </c>
      <c r="Q40" s="32">
        <v>20.0</v>
      </c>
      <c r="R40" s="21">
        <f t="shared" si="3"/>
        <v>161</v>
      </c>
      <c r="S40" s="22">
        <f t="shared" si="4"/>
        <v>0.35</v>
      </c>
      <c r="T40" s="32">
        <v>7.0</v>
      </c>
      <c r="U40" s="32">
        <v>1.0</v>
      </c>
      <c r="V40" s="32">
        <v>0.0</v>
      </c>
      <c r="W40" s="32">
        <v>30.0</v>
      </c>
      <c r="X40" s="32">
        <v>8.0</v>
      </c>
      <c r="Y40" s="32">
        <v>8.0</v>
      </c>
      <c r="Z40" s="21">
        <f t="shared" si="5"/>
        <v>46</v>
      </c>
      <c r="AA40" s="32">
        <v>0.0</v>
      </c>
      <c r="AB40" s="21">
        <f t="shared" si="6"/>
        <v>91</v>
      </c>
      <c r="AC40" s="23">
        <f t="shared" si="7"/>
        <v>91</v>
      </c>
      <c r="AD40" s="21">
        <f t="shared" si="8"/>
        <v>83</v>
      </c>
      <c r="AE40" s="32">
        <v>79.0</v>
      </c>
      <c r="AF40" s="32">
        <v>4.0</v>
      </c>
      <c r="AG40" s="24">
        <f t="shared" si="9"/>
        <v>95.18072289</v>
      </c>
      <c r="AH40" s="32">
        <v>46.0</v>
      </c>
      <c r="AI40" s="22" t="str">
        <f t="shared" si="10"/>
        <v>3.54</v>
      </c>
      <c r="AJ40" s="26"/>
      <c r="AK40" s="26"/>
      <c r="AL40" s="27">
        <f t="shared" si="11"/>
        <v>5.846153846</v>
      </c>
      <c r="AM40" s="27">
        <f t="shared" si="12"/>
        <v>12.38461538</v>
      </c>
      <c r="AN40" s="28">
        <f t="shared" si="13"/>
        <v>0.4720496894</v>
      </c>
      <c r="AO40" s="27">
        <f t="shared" si="14"/>
        <v>0.5384615385</v>
      </c>
      <c r="AP40" s="27">
        <f t="shared" si="15"/>
        <v>0.6153846154</v>
      </c>
      <c r="AQ40" s="27">
        <f t="shared" ref="AQ40:AR40" si="53">iferror(AB40/$M40,"-")</f>
        <v>7</v>
      </c>
      <c r="AR40" s="27">
        <f t="shared" si="53"/>
        <v>7</v>
      </c>
      <c r="AS40" s="29">
        <f t="shared" si="17"/>
        <v>0.3076923077</v>
      </c>
      <c r="AT40" s="29" t="str">
        <f t="shared" si="18"/>
        <v>3.54</v>
      </c>
      <c r="AU40" s="26"/>
      <c r="AV40" s="26"/>
      <c r="AW40" s="26"/>
      <c r="AX40" s="26"/>
    </row>
    <row r="41">
      <c r="B41" s="17">
        <v>38.0</v>
      </c>
      <c r="C41" s="18">
        <f t="shared" si="2"/>
        <v>1</v>
      </c>
      <c r="D41" s="19" t="s">
        <v>188</v>
      </c>
      <c r="E41" s="31" t="s">
        <v>189</v>
      </c>
      <c r="F41" s="31">
        <v>3.0</v>
      </c>
      <c r="G41" s="31" t="s">
        <v>50</v>
      </c>
      <c r="H41" s="31" t="s">
        <v>52</v>
      </c>
      <c r="I41" s="31">
        <v>172.0</v>
      </c>
      <c r="J41" s="31">
        <v>61.0</v>
      </c>
      <c r="K41" s="32">
        <v>1.0</v>
      </c>
      <c r="L41" s="32">
        <v>5.0</v>
      </c>
      <c r="M41" s="32">
        <v>18.0</v>
      </c>
      <c r="N41" s="32">
        <v>70.0</v>
      </c>
      <c r="O41" s="32">
        <v>2.0</v>
      </c>
      <c r="P41" s="32">
        <v>65.0</v>
      </c>
      <c r="Q41" s="32">
        <v>17.0</v>
      </c>
      <c r="R41" s="21">
        <f t="shared" si="3"/>
        <v>152</v>
      </c>
      <c r="S41" s="22">
        <f t="shared" si="4"/>
        <v>0.35</v>
      </c>
      <c r="T41" s="32">
        <v>0.0</v>
      </c>
      <c r="U41" s="32">
        <v>0.0</v>
      </c>
      <c r="V41" s="32">
        <v>1.0</v>
      </c>
      <c r="W41" s="32">
        <v>61.0</v>
      </c>
      <c r="X41" s="32">
        <v>5.0</v>
      </c>
      <c r="Y41" s="32">
        <v>2.0</v>
      </c>
      <c r="Z41" s="21">
        <f t="shared" si="5"/>
        <v>68</v>
      </c>
      <c r="AA41" s="32">
        <v>0.0</v>
      </c>
      <c r="AB41" s="21">
        <f t="shared" si="6"/>
        <v>75</v>
      </c>
      <c r="AC41" s="23">
        <f t="shared" si="7"/>
        <v>75.75</v>
      </c>
      <c r="AD41" s="21">
        <f t="shared" si="8"/>
        <v>98</v>
      </c>
      <c r="AE41" s="32">
        <v>93.0</v>
      </c>
      <c r="AF41" s="32">
        <v>5.0</v>
      </c>
      <c r="AG41" s="24">
        <f t="shared" si="9"/>
        <v>94.89795918</v>
      </c>
      <c r="AH41" s="32">
        <v>48.0</v>
      </c>
      <c r="AI41" s="22" t="str">
        <f t="shared" si="10"/>
        <v>2.67</v>
      </c>
      <c r="AJ41" s="26"/>
      <c r="AK41" s="26"/>
      <c r="AL41" s="27">
        <f t="shared" si="11"/>
        <v>3.888888889</v>
      </c>
      <c r="AM41" s="27">
        <f t="shared" si="12"/>
        <v>8.444444444</v>
      </c>
      <c r="AN41" s="28">
        <f t="shared" si="13"/>
        <v>0.4605263158</v>
      </c>
      <c r="AO41" s="27">
        <f t="shared" si="14"/>
        <v>0</v>
      </c>
      <c r="AP41" s="27">
        <f t="shared" si="15"/>
        <v>0.2777777778</v>
      </c>
      <c r="AQ41" s="27">
        <f t="shared" ref="AQ41:AR41" si="54">iferror(AB41/$M41,"-")</f>
        <v>4.166666667</v>
      </c>
      <c r="AR41" s="27">
        <f t="shared" si="54"/>
        <v>4.208333333</v>
      </c>
      <c r="AS41" s="29">
        <f t="shared" si="17"/>
        <v>0.2777777778</v>
      </c>
      <c r="AT41" s="29" t="str">
        <f t="shared" si="18"/>
        <v>2.67</v>
      </c>
      <c r="AU41" s="26"/>
      <c r="AV41" s="26"/>
      <c r="AW41" s="26"/>
      <c r="AX41" s="26"/>
    </row>
    <row r="42">
      <c r="B42" s="17">
        <v>39.0</v>
      </c>
      <c r="C42" s="18">
        <f t="shared" si="2"/>
        <v>2</v>
      </c>
      <c r="D42" s="19" t="s">
        <v>188</v>
      </c>
      <c r="E42" s="31" t="s">
        <v>190</v>
      </c>
      <c r="F42" s="31">
        <v>3.0</v>
      </c>
      <c r="G42" s="31" t="s">
        <v>50</v>
      </c>
      <c r="H42" s="31" t="s">
        <v>52</v>
      </c>
      <c r="I42" s="31">
        <v>171.0</v>
      </c>
      <c r="J42" s="31">
        <v>65.0</v>
      </c>
      <c r="K42" s="32">
        <v>2.0</v>
      </c>
      <c r="L42" s="32">
        <v>1.0</v>
      </c>
      <c r="M42" s="32">
        <v>3.0</v>
      </c>
      <c r="N42" s="32">
        <v>0.0</v>
      </c>
      <c r="O42" s="32">
        <v>1.0</v>
      </c>
      <c r="P42" s="32">
        <v>0.0</v>
      </c>
      <c r="Q42" s="32">
        <v>0.0</v>
      </c>
      <c r="R42" s="30" t="str">
        <f t="shared" si="3"/>
        <v>-</v>
      </c>
      <c r="S42" s="22" t="str">
        <f t="shared" si="4"/>
        <v>-</v>
      </c>
      <c r="T42" s="32">
        <v>0.0</v>
      </c>
      <c r="U42" s="32">
        <v>0.0</v>
      </c>
      <c r="V42" s="32">
        <v>0.0</v>
      </c>
      <c r="W42" s="32">
        <v>0.0</v>
      </c>
      <c r="X42" s="32">
        <v>0.0</v>
      </c>
      <c r="Y42" s="32">
        <v>0.0</v>
      </c>
      <c r="Z42" s="30" t="str">
        <f t="shared" si="5"/>
        <v>-</v>
      </c>
      <c r="AA42" s="32">
        <v>0.0</v>
      </c>
      <c r="AB42" s="30" t="str">
        <f t="shared" si="6"/>
        <v>-</v>
      </c>
      <c r="AC42" s="23">
        <f t="shared" si="7"/>
        <v>0</v>
      </c>
      <c r="AD42" s="30" t="str">
        <f t="shared" si="8"/>
        <v>-</v>
      </c>
      <c r="AE42" s="32">
        <v>0.0</v>
      </c>
      <c r="AF42" s="32">
        <v>0.0</v>
      </c>
      <c r="AG42" s="24" t="str">
        <f t="shared" si="9"/>
        <v>-</v>
      </c>
      <c r="AH42" s="32">
        <v>5.0</v>
      </c>
      <c r="AI42" s="22" t="str">
        <f t="shared" si="10"/>
        <v>1.67</v>
      </c>
      <c r="AJ42" s="26"/>
      <c r="AK42" s="26"/>
      <c r="AL42" s="27">
        <f t="shared" si="11"/>
        <v>0</v>
      </c>
      <c r="AM42" s="27" t="str">
        <f t="shared" si="12"/>
        <v>-</v>
      </c>
      <c r="AN42" s="28" t="str">
        <f t="shared" si="13"/>
        <v>-</v>
      </c>
      <c r="AO42" s="27">
        <f t="shared" si="14"/>
        <v>0</v>
      </c>
      <c r="AP42" s="27">
        <f t="shared" si="15"/>
        <v>0</v>
      </c>
      <c r="AQ42" s="27" t="str">
        <f t="shared" ref="AQ42:AR42" si="55">iferror(AB42/$M42,"-")</f>
        <v>-</v>
      </c>
      <c r="AR42" s="27">
        <f t="shared" si="55"/>
        <v>0</v>
      </c>
      <c r="AS42" s="29">
        <f t="shared" si="17"/>
        <v>0</v>
      </c>
      <c r="AT42" s="29" t="str">
        <f t="shared" si="18"/>
        <v>1.67</v>
      </c>
      <c r="AU42" s="26"/>
      <c r="AV42" s="26"/>
      <c r="AW42" s="26"/>
      <c r="AX42" s="26"/>
    </row>
    <row r="43">
      <c r="B43" s="17">
        <v>40.0</v>
      </c>
      <c r="C43" s="18">
        <f t="shared" si="2"/>
        <v>3</v>
      </c>
      <c r="D43" s="19" t="s">
        <v>188</v>
      </c>
      <c r="E43" s="31" t="s">
        <v>191</v>
      </c>
      <c r="F43" s="31">
        <v>2.0</v>
      </c>
      <c r="G43" s="31" t="s">
        <v>54</v>
      </c>
      <c r="H43" s="31" t="s">
        <v>48</v>
      </c>
      <c r="I43" s="31">
        <v>164.0</v>
      </c>
      <c r="J43" s="31">
        <v>57.0</v>
      </c>
      <c r="K43" s="32">
        <v>3.0</v>
      </c>
      <c r="L43" s="32">
        <v>1.0</v>
      </c>
      <c r="M43" s="32">
        <v>2.0</v>
      </c>
      <c r="N43" s="32">
        <v>0.0</v>
      </c>
      <c r="O43" s="32">
        <v>3.0</v>
      </c>
      <c r="P43" s="32">
        <v>0.0</v>
      </c>
      <c r="Q43" s="32">
        <v>0.0</v>
      </c>
      <c r="R43" s="30" t="str">
        <f t="shared" si="3"/>
        <v>-</v>
      </c>
      <c r="S43" s="22" t="str">
        <f t="shared" si="4"/>
        <v>-</v>
      </c>
      <c r="T43" s="32">
        <v>0.0</v>
      </c>
      <c r="U43" s="32">
        <v>0.0</v>
      </c>
      <c r="V43" s="32">
        <v>0.0</v>
      </c>
      <c r="W43" s="32">
        <v>1.0</v>
      </c>
      <c r="X43" s="32">
        <v>0.0</v>
      </c>
      <c r="Y43" s="32">
        <v>0.0</v>
      </c>
      <c r="Z43" s="21">
        <f t="shared" si="5"/>
        <v>1</v>
      </c>
      <c r="AA43" s="32">
        <v>0.0</v>
      </c>
      <c r="AB43" s="30" t="str">
        <f t="shared" si="6"/>
        <v>-</v>
      </c>
      <c r="AC43" s="23">
        <f t="shared" si="7"/>
        <v>0</v>
      </c>
      <c r="AD43" s="21">
        <f t="shared" si="8"/>
        <v>1</v>
      </c>
      <c r="AE43" s="32">
        <v>1.0</v>
      </c>
      <c r="AF43" s="32">
        <v>0.0</v>
      </c>
      <c r="AG43" s="24">
        <f t="shared" si="9"/>
        <v>100</v>
      </c>
      <c r="AH43" s="32">
        <v>2.0</v>
      </c>
      <c r="AI43" s="22" t="str">
        <f t="shared" si="10"/>
        <v>1</v>
      </c>
      <c r="AJ43" s="26"/>
      <c r="AK43" s="26"/>
      <c r="AL43" s="27">
        <f t="shared" si="11"/>
        <v>0</v>
      </c>
      <c r="AM43" s="27" t="str">
        <f t="shared" si="12"/>
        <v>-</v>
      </c>
      <c r="AN43" s="28" t="str">
        <f t="shared" si="13"/>
        <v>-</v>
      </c>
      <c r="AO43" s="27">
        <f t="shared" si="14"/>
        <v>0</v>
      </c>
      <c r="AP43" s="27">
        <f t="shared" si="15"/>
        <v>0</v>
      </c>
      <c r="AQ43" s="27" t="str">
        <f t="shared" ref="AQ43:AR43" si="56">iferror(AB43/$M43,"-")</f>
        <v>-</v>
      </c>
      <c r="AR43" s="27">
        <f t="shared" si="56"/>
        <v>0</v>
      </c>
      <c r="AS43" s="29">
        <f t="shared" si="17"/>
        <v>0</v>
      </c>
      <c r="AT43" s="29" t="str">
        <f t="shared" si="18"/>
        <v>1</v>
      </c>
      <c r="AU43" s="26"/>
      <c r="AV43" s="26"/>
      <c r="AW43" s="26"/>
      <c r="AX43" s="26"/>
    </row>
    <row r="44">
      <c r="B44" s="17">
        <v>41.0</v>
      </c>
      <c r="C44" s="18">
        <f t="shared" si="2"/>
        <v>4</v>
      </c>
      <c r="D44" s="19" t="s">
        <v>188</v>
      </c>
      <c r="E44" s="31" t="s">
        <v>192</v>
      </c>
      <c r="F44" s="31">
        <v>3.0</v>
      </c>
      <c r="G44" s="31" t="s">
        <v>47</v>
      </c>
      <c r="H44" s="31" t="s">
        <v>48</v>
      </c>
      <c r="I44" s="31">
        <v>178.0</v>
      </c>
      <c r="J44" s="31">
        <v>70.0</v>
      </c>
      <c r="K44" s="32">
        <v>7.0</v>
      </c>
      <c r="L44" s="32">
        <v>5.0</v>
      </c>
      <c r="M44" s="32">
        <v>18.0</v>
      </c>
      <c r="N44" s="32">
        <v>25.0</v>
      </c>
      <c r="O44" s="32">
        <v>3.0</v>
      </c>
      <c r="P44" s="32">
        <v>13.0</v>
      </c>
      <c r="Q44" s="32">
        <v>4.0</v>
      </c>
      <c r="R44" s="21">
        <f t="shared" si="3"/>
        <v>42</v>
      </c>
      <c r="S44" s="22">
        <f t="shared" si="4"/>
        <v>0.5</v>
      </c>
      <c r="T44" s="32">
        <v>5.0</v>
      </c>
      <c r="U44" s="32">
        <v>0.0</v>
      </c>
      <c r="V44" s="32">
        <v>2.0</v>
      </c>
      <c r="W44" s="32">
        <v>57.0</v>
      </c>
      <c r="X44" s="32">
        <v>9.0</v>
      </c>
      <c r="Y44" s="32">
        <v>2.0</v>
      </c>
      <c r="Z44" s="21">
        <f t="shared" si="5"/>
        <v>68</v>
      </c>
      <c r="AA44" s="32">
        <v>0.0</v>
      </c>
      <c r="AB44" s="21">
        <f t="shared" si="6"/>
        <v>39</v>
      </c>
      <c r="AC44" s="23">
        <f t="shared" si="7"/>
        <v>40.5</v>
      </c>
      <c r="AD44" s="21">
        <f t="shared" si="8"/>
        <v>5</v>
      </c>
      <c r="AE44" s="32">
        <v>5.0</v>
      </c>
      <c r="AF44" s="32">
        <v>0.0</v>
      </c>
      <c r="AG44" s="24">
        <f t="shared" si="9"/>
        <v>100</v>
      </c>
      <c r="AH44" s="32">
        <v>11.0</v>
      </c>
      <c r="AI44" s="22" t="str">
        <f t="shared" si="10"/>
        <v>0.61</v>
      </c>
      <c r="AJ44" s="26"/>
      <c r="AK44" s="26"/>
      <c r="AL44" s="27">
        <f t="shared" si="11"/>
        <v>1.388888889</v>
      </c>
      <c r="AM44" s="27">
        <f t="shared" si="12"/>
        <v>2.333333333</v>
      </c>
      <c r="AN44" s="28">
        <f t="shared" si="13"/>
        <v>0.5952380952</v>
      </c>
      <c r="AO44" s="27">
        <f t="shared" si="14"/>
        <v>0.2777777778</v>
      </c>
      <c r="AP44" s="27">
        <f t="shared" si="15"/>
        <v>0.5</v>
      </c>
      <c r="AQ44" s="27">
        <f t="shared" ref="AQ44:AR44" si="57">iferror(AB44/$M44,"-")</f>
        <v>2.166666667</v>
      </c>
      <c r="AR44" s="27">
        <f t="shared" si="57"/>
        <v>2.25</v>
      </c>
      <c r="AS44" s="29">
        <f t="shared" si="17"/>
        <v>0</v>
      </c>
      <c r="AT44" s="29" t="str">
        <f t="shared" si="18"/>
        <v>0.61</v>
      </c>
      <c r="AU44" s="26"/>
      <c r="AV44" s="26"/>
      <c r="AW44" s="26"/>
      <c r="AX44" s="26"/>
    </row>
    <row r="45">
      <c r="B45" s="17">
        <v>42.0</v>
      </c>
      <c r="C45" s="18">
        <f t="shared" si="2"/>
        <v>5</v>
      </c>
      <c r="D45" s="19" t="s">
        <v>188</v>
      </c>
      <c r="E45" s="31" t="s">
        <v>193</v>
      </c>
      <c r="F45" s="31">
        <v>1.0</v>
      </c>
      <c r="G45" s="31" t="s">
        <v>52</v>
      </c>
      <c r="H45" s="31" t="s">
        <v>57</v>
      </c>
      <c r="I45" s="31">
        <v>175.0</v>
      </c>
      <c r="J45" s="31">
        <v>60.0</v>
      </c>
      <c r="K45" s="32">
        <v>8.0</v>
      </c>
      <c r="L45" s="32">
        <v>0.0</v>
      </c>
      <c r="M45" s="32">
        <v>0.0</v>
      </c>
      <c r="N45" s="32">
        <v>0.0</v>
      </c>
      <c r="O45" s="32">
        <v>0.0</v>
      </c>
      <c r="P45" s="32">
        <v>0.0</v>
      </c>
      <c r="Q45" s="32">
        <v>0.0</v>
      </c>
      <c r="R45" s="30" t="str">
        <f t="shared" si="3"/>
        <v>-</v>
      </c>
      <c r="S45" s="22" t="str">
        <f t="shared" si="4"/>
        <v>-</v>
      </c>
      <c r="T45" s="32">
        <v>0.0</v>
      </c>
      <c r="U45" s="32">
        <v>0.0</v>
      </c>
      <c r="V45" s="32">
        <v>0.0</v>
      </c>
      <c r="W45" s="32">
        <v>0.0</v>
      </c>
      <c r="X45" s="32">
        <v>0.0</v>
      </c>
      <c r="Y45" s="32">
        <v>0.0</v>
      </c>
      <c r="Z45" s="30" t="str">
        <f t="shared" si="5"/>
        <v>-</v>
      </c>
      <c r="AA45" s="32">
        <v>0.0</v>
      </c>
      <c r="AB45" s="30" t="str">
        <f t="shared" si="6"/>
        <v>-</v>
      </c>
      <c r="AC45" s="23">
        <f t="shared" si="7"/>
        <v>0</v>
      </c>
      <c r="AD45" s="30" t="str">
        <f t="shared" si="8"/>
        <v>-</v>
      </c>
      <c r="AE45" s="32">
        <v>0.0</v>
      </c>
      <c r="AF45" s="32">
        <v>0.0</v>
      </c>
      <c r="AG45" s="24" t="str">
        <f t="shared" si="9"/>
        <v>-</v>
      </c>
      <c r="AH45" s="32">
        <v>0.0</v>
      </c>
      <c r="AI45" s="22" t="str">
        <f t="shared" si="10"/>
        <v>-</v>
      </c>
      <c r="AJ45" s="26"/>
      <c r="AK45" s="26"/>
      <c r="AL45" s="27" t="str">
        <f t="shared" si="11"/>
        <v>-</v>
      </c>
      <c r="AM45" s="27" t="str">
        <f t="shared" si="12"/>
        <v>-</v>
      </c>
      <c r="AN45" s="28" t="str">
        <f t="shared" si="13"/>
        <v>-</v>
      </c>
      <c r="AO45" s="27" t="str">
        <f t="shared" si="14"/>
        <v>-</v>
      </c>
      <c r="AP45" s="27" t="str">
        <f t="shared" si="15"/>
        <v>-</v>
      </c>
      <c r="AQ45" s="27" t="str">
        <f t="shared" ref="AQ45:AR45" si="58">iferror(AB45/$M45,"-")</f>
        <v>-</v>
      </c>
      <c r="AR45" s="27" t="str">
        <f t="shared" si="58"/>
        <v>-</v>
      </c>
      <c r="AS45" s="29" t="str">
        <f t="shared" si="17"/>
        <v>-</v>
      </c>
      <c r="AT45" s="29" t="str">
        <f t="shared" si="18"/>
        <v>-</v>
      </c>
      <c r="AU45" s="26"/>
      <c r="AV45" s="26"/>
      <c r="AW45" s="26"/>
      <c r="AX45" s="26"/>
    </row>
    <row r="46">
      <c r="B46" s="17">
        <v>43.0</v>
      </c>
      <c r="C46" s="18">
        <f t="shared" si="2"/>
        <v>6</v>
      </c>
      <c r="D46" s="19" t="s">
        <v>188</v>
      </c>
      <c r="E46" s="31" t="s">
        <v>194</v>
      </c>
      <c r="F46" s="31">
        <v>2.0</v>
      </c>
      <c r="G46" s="31" t="s">
        <v>54</v>
      </c>
      <c r="H46" s="31" t="s">
        <v>48</v>
      </c>
      <c r="I46" s="31">
        <v>167.0</v>
      </c>
      <c r="J46" s="31">
        <v>60.0</v>
      </c>
      <c r="K46" s="32">
        <v>9.0</v>
      </c>
      <c r="L46" s="32">
        <v>5.0</v>
      </c>
      <c r="M46" s="32">
        <v>18.0</v>
      </c>
      <c r="N46" s="32">
        <v>4.0</v>
      </c>
      <c r="O46" s="32">
        <v>230.0</v>
      </c>
      <c r="P46" s="32">
        <v>11.0</v>
      </c>
      <c r="Q46" s="32">
        <v>1.0</v>
      </c>
      <c r="R46" s="21">
        <f t="shared" si="3"/>
        <v>16</v>
      </c>
      <c r="S46" s="22">
        <f t="shared" si="4"/>
        <v>0.19</v>
      </c>
      <c r="T46" s="32">
        <v>2.0</v>
      </c>
      <c r="U46" s="32">
        <v>1.0</v>
      </c>
      <c r="V46" s="32">
        <v>2.0</v>
      </c>
      <c r="W46" s="32">
        <v>54.0</v>
      </c>
      <c r="X46" s="32">
        <v>8.0</v>
      </c>
      <c r="Y46" s="32">
        <v>4.0</v>
      </c>
      <c r="Z46" s="21">
        <f t="shared" si="5"/>
        <v>66</v>
      </c>
      <c r="AA46" s="32">
        <v>3.0</v>
      </c>
      <c r="AB46" s="21">
        <f t="shared" si="6"/>
        <v>14</v>
      </c>
      <c r="AC46" s="23">
        <f t="shared" si="7"/>
        <v>15.5</v>
      </c>
      <c r="AD46" s="21">
        <f t="shared" si="8"/>
        <v>3</v>
      </c>
      <c r="AE46" s="32">
        <v>0.0</v>
      </c>
      <c r="AF46" s="32">
        <v>3.0</v>
      </c>
      <c r="AG46" s="24">
        <f t="shared" si="9"/>
        <v>0</v>
      </c>
      <c r="AH46" s="32">
        <v>34.0</v>
      </c>
      <c r="AI46" s="22" t="str">
        <f t="shared" si="10"/>
        <v>1.89</v>
      </c>
      <c r="AJ46" s="26"/>
      <c r="AK46" s="26"/>
      <c r="AL46" s="27">
        <f t="shared" si="11"/>
        <v>0.2222222222</v>
      </c>
      <c r="AM46" s="27">
        <f t="shared" si="12"/>
        <v>0.8888888889</v>
      </c>
      <c r="AN46" s="28">
        <f t="shared" si="13"/>
        <v>0.25</v>
      </c>
      <c r="AO46" s="27">
        <f t="shared" si="14"/>
        <v>0.1111111111</v>
      </c>
      <c r="AP46" s="27">
        <f t="shared" si="15"/>
        <v>0.4444444444</v>
      </c>
      <c r="AQ46" s="27">
        <f t="shared" ref="AQ46:AR46" si="59">iferror(AB46/$M46,"-")</f>
        <v>0.7777777778</v>
      </c>
      <c r="AR46" s="27">
        <f t="shared" si="59"/>
        <v>0.8611111111</v>
      </c>
      <c r="AS46" s="29">
        <f t="shared" si="17"/>
        <v>0.1666666667</v>
      </c>
      <c r="AT46" s="29" t="str">
        <f t="shared" si="18"/>
        <v>1.89</v>
      </c>
      <c r="AU46" s="26"/>
      <c r="AV46" s="26"/>
      <c r="AW46" s="26"/>
      <c r="AX46" s="26"/>
    </row>
    <row r="47">
      <c r="B47" s="17">
        <v>44.0</v>
      </c>
      <c r="C47" s="18">
        <f t="shared" si="2"/>
        <v>7</v>
      </c>
      <c r="D47" s="19" t="s">
        <v>188</v>
      </c>
      <c r="E47" s="31" t="s">
        <v>195</v>
      </c>
      <c r="F47" s="31">
        <v>1.0</v>
      </c>
      <c r="G47" s="31" t="s">
        <v>52</v>
      </c>
      <c r="H47" s="31" t="s">
        <v>50</v>
      </c>
      <c r="I47" s="31">
        <v>160.0</v>
      </c>
      <c r="J47" s="31">
        <v>50.0</v>
      </c>
      <c r="K47" s="32">
        <v>10.0</v>
      </c>
      <c r="L47" s="32">
        <v>5.0</v>
      </c>
      <c r="M47" s="32">
        <v>18.0</v>
      </c>
      <c r="N47" s="32">
        <v>0.0</v>
      </c>
      <c r="O47" s="32">
        <v>6.0</v>
      </c>
      <c r="P47" s="32">
        <v>0.0</v>
      </c>
      <c r="Q47" s="32">
        <v>0.0</v>
      </c>
      <c r="R47" s="30" t="str">
        <f t="shared" si="3"/>
        <v>-</v>
      </c>
      <c r="S47" s="22" t="str">
        <f t="shared" si="4"/>
        <v>-</v>
      </c>
      <c r="T47" s="32">
        <v>0.0</v>
      </c>
      <c r="U47" s="32">
        <v>0.0</v>
      </c>
      <c r="V47" s="32">
        <v>0.0</v>
      </c>
      <c r="W47" s="32">
        <v>0.0</v>
      </c>
      <c r="X47" s="32">
        <v>0.0</v>
      </c>
      <c r="Y47" s="32">
        <v>0.0</v>
      </c>
      <c r="Z47" s="30" t="str">
        <f t="shared" si="5"/>
        <v>-</v>
      </c>
      <c r="AA47" s="32">
        <v>0.0</v>
      </c>
      <c r="AB47" s="30" t="str">
        <f t="shared" si="6"/>
        <v>-</v>
      </c>
      <c r="AC47" s="23">
        <f t="shared" si="7"/>
        <v>0</v>
      </c>
      <c r="AD47" s="21">
        <f t="shared" si="8"/>
        <v>104</v>
      </c>
      <c r="AE47" s="32">
        <v>96.0</v>
      </c>
      <c r="AF47" s="32">
        <v>8.0</v>
      </c>
      <c r="AG47" s="24">
        <f t="shared" si="9"/>
        <v>92.30769231</v>
      </c>
      <c r="AH47" s="32">
        <v>60.0</v>
      </c>
      <c r="AI47" s="22" t="str">
        <f t="shared" si="10"/>
        <v>3.33</v>
      </c>
      <c r="AJ47" s="26"/>
      <c r="AK47" s="26"/>
      <c r="AL47" s="27">
        <f t="shared" si="11"/>
        <v>0</v>
      </c>
      <c r="AM47" s="27" t="str">
        <f t="shared" si="12"/>
        <v>-</v>
      </c>
      <c r="AN47" s="28" t="str">
        <f t="shared" si="13"/>
        <v>-</v>
      </c>
      <c r="AO47" s="27">
        <f t="shared" si="14"/>
        <v>0</v>
      </c>
      <c r="AP47" s="27">
        <f t="shared" si="15"/>
        <v>0</v>
      </c>
      <c r="AQ47" s="27" t="str">
        <f t="shared" ref="AQ47:AR47" si="60">iferror(AB47/$M47,"-")</f>
        <v>-</v>
      </c>
      <c r="AR47" s="27">
        <f t="shared" si="60"/>
        <v>0</v>
      </c>
      <c r="AS47" s="29">
        <f t="shared" si="17"/>
        <v>0.4444444444</v>
      </c>
      <c r="AT47" s="29" t="str">
        <f t="shared" si="18"/>
        <v>3.33</v>
      </c>
      <c r="AU47" s="26"/>
      <c r="AV47" s="26"/>
      <c r="AW47" s="26"/>
      <c r="AX47" s="26"/>
    </row>
    <row r="48">
      <c r="B48" s="17">
        <v>45.0</v>
      </c>
      <c r="C48" s="18">
        <f t="shared" si="2"/>
        <v>8</v>
      </c>
      <c r="D48" s="19" t="s">
        <v>188</v>
      </c>
      <c r="E48" s="31" t="s">
        <v>196</v>
      </c>
      <c r="F48" s="31">
        <v>1.0</v>
      </c>
      <c r="G48" s="31" t="s">
        <v>54</v>
      </c>
      <c r="H48" s="31" t="s">
        <v>57</v>
      </c>
      <c r="I48" s="31">
        <v>170.0</v>
      </c>
      <c r="J48" s="31">
        <v>60.0</v>
      </c>
      <c r="K48" s="32">
        <v>12.0</v>
      </c>
      <c r="L48" s="32">
        <v>4.0</v>
      </c>
      <c r="M48" s="32">
        <v>5.0</v>
      </c>
      <c r="N48" s="32">
        <v>3.0</v>
      </c>
      <c r="O48" s="32">
        <v>2.0</v>
      </c>
      <c r="P48" s="32">
        <v>8.0</v>
      </c>
      <c r="Q48" s="32">
        <v>1.0</v>
      </c>
      <c r="R48" s="21">
        <f t="shared" si="3"/>
        <v>12</v>
      </c>
      <c r="S48" s="22">
        <f t="shared" si="4"/>
        <v>0.17</v>
      </c>
      <c r="T48" s="32">
        <v>0.0</v>
      </c>
      <c r="U48" s="32">
        <v>1.0</v>
      </c>
      <c r="V48" s="32">
        <v>5.0</v>
      </c>
      <c r="W48" s="32">
        <v>11.0</v>
      </c>
      <c r="X48" s="32">
        <v>2.0</v>
      </c>
      <c r="Y48" s="32">
        <v>2.0</v>
      </c>
      <c r="Z48" s="21">
        <f t="shared" si="5"/>
        <v>15</v>
      </c>
      <c r="AA48" s="32">
        <v>0.0</v>
      </c>
      <c r="AB48" s="21">
        <f t="shared" si="6"/>
        <v>5</v>
      </c>
      <c r="AC48" s="23">
        <f t="shared" si="7"/>
        <v>8.75</v>
      </c>
      <c r="AD48" s="30" t="str">
        <f t="shared" si="8"/>
        <v>-</v>
      </c>
      <c r="AE48" s="32">
        <v>0.0</v>
      </c>
      <c r="AF48" s="32">
        <v>0.0</v>
      </c>
      <c r="AG48" s="24" t="str">
        <f t="shared" si="9"/>
        <v>-</v>
      </c>
      <c r="AH48" s="32">
        <v>7.0</v>
      </c>
      <c r="AI48" s="22" t="str">
        <f t="shared" si="10"/>
        <v>1.40</v>
      </c>
      <c r="AJ48" s="26"/>
      <c r="AK48" s="26"/>
      <c r="AL48" s="27">
        <f t="shared" si="11"/>
        <v>0.6</v>
      </c>
      <c r="AM48" s="27">
        <f t="shared" si="12"/>
        <v>2.4</v>
      </c>
      <c r="AN48" s="28">
        <f t="shared" si="13"/>
        <v>0.25</v>
      </c>
      <c r="AO48" s="27">
        <f t="shared" si="14"/>
        <v>0</v>
      </c>
      <c r="AP48" s="27">
        <f t="shared" si="15"/>
        <v>0.4</v>
      </c>
      <c r="AQ48" s="27">
        <f t="shared" ref="AQ48:AR48" si="61">iferror(AB48/$M48,"-")</f>
        <v>1</v>
      </c>
      <c r="AR48" s="27">
        <f t="shared" si="61"/>
        <v>1.75</v>
      </c>
      <c r="AS48" s="29">
        <f t="shared" si="17"/>
        <v>0</v>
      </c>
      <c r="AT48" s="29" t="str">
        <f t="shared" si="18"/>
        <v>1.40</v>
      </c>
      <c r="AU48" s="26"/>
      <c r="AV48" s="26"/>
      <c r="AW48" s="26"/>
      <c r="AX48" s="26"/>
    </row>
    <row r="49">
      <c r="B49" s="17">
        <v>46.0</v>
      </c>
      <c r="C49" s="18">
        <f t="shared" si="2"/>
        <v>9</v>
      </c>
      <c r="D49" s="19" t="s">
        <v>188</v>
      </c>
      <c r="E49" s="31" t="s">
        <v>197</v>
      </c>
      <c r="F49" s="31">
        <v>3.0</v>
      </c>
      <c r="G49" s="31" t="s">
        <v>52</v>
      </c>
      <c r="H49" s="31" t="s">
        <v>48</v>
      </c>
      <c r="I49" s="31">
        <v>169.0</v>
      </c>
      <c r="J49" s="31">
        <v>58.0</v>
      </c>
      <c r="K49" s="32">
        <v>13.0</v>
      </c>
      <c r="L49" s="32">
        <v>2.0</v>
      </c>
      <c r="M49" s="32">
        <v>5.0</v>
      </c>
      <c r="N49" s="32">
        <v>0.0</v>
      </c>
      <c r="O49" s="32">
        <v>0.0</v>
      </c>
      <c r="P49" s="32">
        <v>1.0</v>
      </c>
      <c r="Q49" s="32">
        <v>0.0</v>
      </c>
      <c r="R49" s="21">
        <f t="shared" si="3"/>
        <v>1</v>
      </c>
      <c r="S49" s="22" t="str">
        <f t="shared" si="4"/>
        <v>-</v>
      </c>
      <c r="T49" s="32">
        <v>0.0</v>
      </c>
      <c r="U49" s="32">
        <v>0.0</v>
      </c>
      <c r="V49" s="32">
        <v>0.0</v>
      </c>
      <c r="W49" s="32">
        <v>9.0</v>
      </c>
      <c r="X49" s="32">
        <v>0.0</v>
      </c>
      <c r="Y49" s="32">
        <v>1.0</v>
      </c>
      <c r="Z49" s="21">
        <f t="shared" si="5"/>
        <v>10</v>
      </c>
      <c r="AA49" s="32">
        <v>0.0</v>
      </c>
      <c r="AB49" s="30" t="str">
        <f t="shared" si="6"/>
        <v>-</v>
      </c>
      <c r="AC49" s="23">
        <f t="shared" si="7"/>
        <v>0</v>
      </c>
      <c r="AD49" s="30" t="str">
        <f t="shared" si="8"/>
        <v>-</v>
      </c>
      <c r="AE49" s="32">
        <v>0.0</v>
      </c>
      <c r="AF49" s="32">
        <v>0.0</v>
      </c>
      <c r="AG49" s="24" t="str">
        <f t="shared" si="9"/>
        <v>-</v>
      </c>
      <c r="AH49" s="32">
        <v>0.0</v>
      </c>
      <c r="AI49" s="22" t="str">
        <f t="shared" si="10"/>
        <v>0</v>
      </c>
      <c r="AJ49" s="26"/>
      <c r="AK49" s="26"/>
      <c r="AL49" s="27">
        <f t="shared" si="11"/>
        <v>0</v>
      </c>
      <c r="AM49" s="27">
        <f t="shared" si="12"/>
        <v>0.2</v>
      </c>
      <c r="AN49" s="28">
        <f t="shared" si="13"/>
        <v>0</v>
      </c>
      <c r="AO49" s="27">
        <f t="shared" si="14"/>
        <v>0</v>
      </c>
      <c r="AP49" s="27">
        <f t="shared" si="15"/>
        <v>0</v>
      </c>
      <c r="AQ49" s="27" t="str">
        <f t="shared" ref="AQ49:AR49" si="62">iferror(AB49/$M49,"-")</f>
        <v>-</v>
      </c>
      <c r="AR49" s="27">
        <f t="shared" si="62"/>
        <v>0</v>
      </c>
      <c r="AS49" s="29">
        <f t="shared" si="17"/>
        <v>0</v>
      </c>
      <c r="AT49" s="29" t="str">
        <f t="shared" si="18"/>
        <v>0</v>
      </c>
      <c r="AU49" s="26"/>
      <c r="AV49" s="26"/>
      <c r="AW49" s="26"/>
      <c r="AX49" s="26"/>
    </row>
    <row r="50">
      <c r="B50" s="17">
        <v>47.0</v>
      </c>
      <c r="C50" s="18">
        <f t="shared" si="2"/>
        <v>10</v>
      </c>
      <c r="D50" s="19" t="s">
        <v>188</v>
      </c>
      <c r="E50" s="31" t="s">
        <v>198</v>
      </c>
      <c r="F50" s="31">
        <v>1.0</v>
      </c>
      <c r="G50" s="31" t="s">
        <v>57</v>
      </c>
      <c r="H50" s="31" t="s">
        <v>47</v>
      </c>
      <c r="I50" s="31">
        <v>181.0</v>
      </c>
      <c r="J50" s="31">
        <v>70.0</v>
      </c>
      <c r="K50" s="32">
        <v>16.0</v>
      </c>
      <c r="L50" s="32">
        <v>5.0</v>
      </c>
      <c r="M50" s="32">
        <v>17.0</v>
      </c>
      <c r="N50" s="32">
        <v>41.0</v>
      </c>
      <c r="O50" s="32">
        <v>0.0</v>
      </c>
      <c r="P50" s="32">
        <v>42.0</v>
      </c>
      <c r="Q50" s="32">
        <v>23.0</v>
      </c>
      <c r="R50" s="21">
        <f t="shared" si="3"/>
        <v>106</v>
      </c>
      <c r="S50" s="22">
        <f t="shared" si="4"/>
        <v>0.17</v>
      </c>
      <c r="T50" s="32">
        <v>5.0</v>
      </c>
      <c r="U50" s="32">
        <v>1.0</v>
      </c>
      <c r="V50" s="32">
        <v>3.0</v>
      </c>
      <c r="W50" s="32">
        <v>44.0</v>
      </c>
      <c r="X50" s="32">
        <v>2.0</v>
      </c>
      <c r="Y50" s="32">
        <v>4.0</v>
      </c>
      <c r="Z50" s="21">
        <f t="shared" si="5"/>
        <v>50</v>
      </c>
      <c r="AA50" s="32">
        <v>1.0</v>
      </c>
      <c r="AB50" s="21">
        <f t="shared" si="6"/>
        <v>48</v>
      </c>
      <c r="AC50" s="23">
        <f t="shared" si="7"/>
        <v>50.25</v>
      </c>
      <c r="AD50" s="21">
        <f t="shared" si="8"/>
        <v>3</v>
      </c>
      <c r="AE50" s="32">
        <v>2.0</v>
      </c>
      <c r="AF50" s="32">
        <v>1.0</v>
      </c>
      <c r="AG50" s="24">
        <f t="shared" si="9"/>
        <v>66.66666667</v>
      </c>
      <c r="AH50" s="32">
        <v>28.0</v>
      </c>
      <c r="AI50" s="22" t="str">
        <f t="shared" si="10"/>
        <v>1.65</v>
      </c>
      <c r="AJ50" s="26"/>
      <c r="AK50" s="26"/>
      <c r="AL50" s="27">
        <f t="shared" si="11"/>
        <v>2.411764706</v>
      </c>
      <c r="AM50" s="27">
        <f t="shared" si="12"/>
        <v>6.235294118</v>
      </c>
      <c r="AN50" s="28">
        <f t="shared" si="13"/>
        <v>0.3867924528</v>
      </c>
      <c r="AO50" s="27">
        <f t="shared" si="14"/>
        <v>0.2941176471</v>
      </c>
      <c r="AP50" s="27">
        <f t="shared" si="15"/>
        <v>0.1176470588</v>
      </c>
      <c r="AQ50" s="27">
        <f t="shared" ref="AQ50:AR50" si="63">iferror(AB50/$M50,"-")</f>
        <v>2.823529412</v>
      </c>
      <c r="AR50" s="27">
        <f t="shared" si="63"/>
        <v>2.955882353</v>
      </c>
      <c r="AS50" s="29">
        <f t="shared" si="17"/>
        <v>0.05882352941</v>
      </c>
      <c r="AT50" s="29" t="str">
        <f t="shared" si="18"/>
        <v>1.65</v>
      </c>
      <c r="AU50" s="26"/>
      <c r="AV50" s="26"/>
      <c r="AW50" s="26"/>
      <c r="AX50" s="26"/>
    </row>
    <row r="51">
      <c r="B51" s="17">
        <v>48.0</v>
      </c>
      <c r="C51" s="18">
        <f t="shared" si="2"/>
        <v>11</v>
      </c>
      <c r="D51" s="19" t="s">
        <v>188</v>
      </c>
      <c r="E51" s="31" t="s">
        <v>199</v>
      </c>
      <c r="F51" s="31">
        <v>2.0</v>
      </c>
      <c r="G51" s="31" t="s">
        <v>52</v>
      </c>
      <c r="H51" s="31" t="s">
        <v>57</v>
      </c>
      <c r="I51" s="31">
        <v>174.0</v>
      </c>
      <c r="J51" s="31">
        <v>67.0</v>
      </c>
      <c r="K51" s="32">
        <v>17.0</v>
      </c>
      <c r="L51" s="32">
        <v>5.0</v>
      </c>
      <c r="M51" s="32">
        <v>18.0</v>
      </c>
      <c r="N51" s="32">
        <v>81.0</v>
      </c>
      <c r="O51" s="32">
        <v>3.0</v>
      </c>
      <c r="P51" s="32">
        <v>72.0</v>
      </c>
      <c r="Q51" s="32">
        <v>26.0</v>
      </c>
      <c r="R51" s="21">
        <f t="shared" si="3"/>
        <v>179</v>
      </c>
      <c r="S51" s="22">
        <f t="shared" si="4"/>
        <v>0.31</v>
      </c>
      <c r="T51" s="32">
        <v>1.0</v>
      </c>
      <c r="U51" s="32">
        <v>0.0</v>
      </c>
      <c r="V51" s="32">
        <v>0.0</v>
      </c>
      <c r="W51" s="32">
        <v>53.0</v>
      </c>
      <c r="X51" s="32">
        <v>9.0</v>
      </c>
      <c r="Y51" s="32">
        <v>16.0</v>
      </c>
      <c r="Z51" s="21">
        <f t="shared" si="5"/>
        <v>78</v>
      </c>
      <c r="AA51" s="32">
        <v>1.0</v>
      </c>
      <c r="AB51" s="21">
        <f t="shared" si="6"/>
        <v>91</v>
      </c>
      <c r="AC51" s="23">
        <f t="shared" si="7"/>
        <v>91</v>
      </c>
      <c r="AD51" s="21">
        <f t="shared" si="8"/>
        <v>109</v>
      </c>
      <c r="AE51" s="32">
        <v>102.0</v>
      </c>
      <c r="AF51" s="32">
        <v>7.0</v>
      </c>
      <c r="AG51" s="24">
        <f t="shared" si="9"/>
        <v>93.57798165</v>
      </c>
      <c r="AH51" s="32">
        <v>42.0</v>
      </c>
      <c r="AI51" s="22" t="str">
        <f t="shared" si="10"/>
        <v>2.33</v>
      </c>
      <c r="AJ51" s="26"/>
      <c r="AK51" s="26"/>
      <c r="AL51" s="27">
        <f t="shared" si="11"/>
        <v>4.5</v>
      </c>
      <c r="AM51" s="27">
        <f t="shared" si="12"/>
        <v>9.944444444</v>
      </c>
      <c r="AN51" s="28">
        <f t="shared" si="13"/>
        <v>0.4525139665</v>
      </c>
      <c r="AO51" s="27">
        <f t="shared" si="14"/>
        <v>0.05555555556</v>
      </c>
      <c r="AP51" s="27">
        <f t="shared" si="15"/>
        <v>0.5</v>
      </c>
      <c r="AQ51" s="27">
        <f t="shared" ref="AQ51:AR51" si="64">iferror(AB51/$M51,"-")</f>
        <v>5.055555556</v>
      </c>
      <c r="AR51" s="27">
        <f t="shared" si="64"/>
        <v>5.055555556</v>
      </c>
      <c r="AS51" s="29">
        <f t="shared" si="17"/>
        <v>0.3888888889</v>
      </c>
      <c r="AT51" s="29" t="str">
        <f t="shared" si="18"/>
        <v>2.33</v>
      </c>
      <c r="AU51" s="26"/>
      <c r="AV51" s="26"/>
      <c r="AW51" s="26"/>
      <c r="AX51" s="26"/>
    </row>
    <row r="52">
      <c r="B52" s="17">
        <v>49.0</v>
      </c>
      <c r="C52" s="18">
        <f t="shared" si="2"/>
        <v>12</v>
      </c>
      <c r="D52" s="19" t="s">
        <v>188</v>
      </c>
      <c r="E52" s="31" t="s">
        <v>200</v>
      </c>
      <c r="F52" s="31">
        <v>2.0</v>
      </c>
      <c r="G52" s="31" t="s">
        <v>47</v>
      </c>
      <c r="H52" s="31" t="s">
        <v>52</v>
      </c>
      <c r="I52" s="31">
        <v>178.0</v>
      </c>
      <c r="J52" s="31">
        <v>70.0</v>
      </c>
      <c r="K52" s="32">
        <v>19.0</v>
      </c>
      <c r="L52" s="32">
        <v>5.0</v>
      </c>
      <c r="M52" s="32">
        <v>18.0</v>
      </c>
      <c r="N52" s="32">
        <v>42.0</v>
      </c>
      <c r="O52" s="32">
        <v>2.0</v>
      </c>
      <c r="P52" s="32">
        <v>51.0</v>
      </c>
      <c r="Q52" s="32">
        <v>13.0</v>
      </c>
      <c r="R52" s="21">
        <f t="shared" si="3"/>
        <v>106</v>
      </c>
      <c r="S52" s="22">
        <f t="shared" si="4"/>
        <v>0.27</v>
      </c>
      <c r="T52" s="32">
        <v>5.0</v>
      </c>
      <c r="U52" s="32">
        <v>1.0</v>
      </c>
      <c r="V52" s="32">
        <v>1.0</v>
      </c>
      <c r="W52" s="32">
        <v>47.0</v>
      </c>
      <c r="X52" s="32">
        <v>6.0</v>
      </c>
      <c r="Y52" s="32">
        <v>5.0</v>
      </c>
      <c r="Z52" s="21">
        <f t="shared" si="5"/>
        <v>58</v>
      </c>
      <c r="AA52" s="32">
        <v>0.0</v>
      </c>
      <c r="AB52" s="21">
        <f t="shared" si="6"/>
        <v>53</v>
      </c>
      <c r="AC52" s="23">
        <f t="shared" si="7"/>
        <v>53.75</v>
      </c>
      <c r="AD52" s="21">
        <f t="shared" si="8"/>
        <v>6</v>
      </c>
      <c r="AE52" s="32">
        <v>5.0</v>
      </c>
      <c r="AF52" s="32">
        <v>1.0</v>
      </c>
      <c r="AG52" s="24">
        <f t="shared" si="9"/>
        <v>83.33333333</v>
      </c>
      <c r="AH52" s="32">
        <v>9.0</v>
      </c>
      <c r="AI52" s="22" t="str">
        <f t="shared" si="10"/>
        <v>0.50</v>
      </c>
      <c r="AJ52" s="26"/>
      <c r="AK52" s="26"/>
      <c r="AL52" s="27">
        <f t="shared" si="11"/>
        <v>2.333333333</v>
      </c>
      <c r="AM52" s="27">
        <f t="shared" si="12"/>
        <v>5.888888889</v>
      </c>
      <c r="AN52" s="28">
        <f t="shared" si="13"/>
        <v>0.3962264151</v>
      </c>
      <c r="AO52" s="27">
        <f t="shared" si="14"/>
        <v>0.2777777778</v>
      </c>
      <c r="AP52" s="27">
        <f t="shared" si="15"/>
        <v>0.3333333333</v>
      </c>
      <c r="AQ52" s="27">
        <f t="shared" ref="AQ52:AR52" si="65">iferror(AB52/$M52,"-")</f>
        <v>2.944444444</v>
      </c>
      <c r="AR52" s="27">
        <f t="shared" si="65"/>
        <v>2.986111111</v>
      </c>
      <c r="AS52" s="29">
        <f t="shared" si="17"/>
        <v>0.05555555556</v>
      </c>
      <c r="AT52" s="29" t="str">
        <f t="shared" si="18"/>
        <v>0.50</v>
      </c>
      <c r="AU52" s="26"/>
      <c r="AV52" s="26"/>
      <c r="AW52" s="26"/>
      <c r="AX52" s="26"/>
    </row>
    <row r="53">
      <c r="B53" s="17">
        <v>50.0</v>
      </c>
      <c r="C53" s="18">
        <f t="shared" si="2"/>
        <v>1</v>
      </c>
      <c r="D53" s="19" t="s">
        <v>83</v>
      </c>
      <c r="E53" s="31" t="s">
        <v>84</v>
      </c>
      <c r="F53" s="31">
        <v>2.0</v>
      </c>
      <c r="G53" s="31" t="s">
        <v>47</v>
      </c>
      <c r="H53" s="31" t="s">
        <v>48</v>
      </c>
      <c r="I53" s="31">
        <v>174.0</v>
      </c>
      <c r="J53" s="31">
        <v>63.0</v>
      </c>
      <c r="K53" s="32">
        <v>1.0</v>
      </c>
      <c r="L53" s="32">
        <v>2.0</v>
      </c>
      <c r="M53" s="32">
        <v>3.0</v>
      </c>
      <c r="N53" s="32">
        <v>0.0</v>
      </c>
      <c r="O53" s="32">
        <v>0.0</v>
      </c>
      <c r="P53" s="32">
        <v>1.0</v>
      </c>
      <c r="Q53" s="32">
        <v>0.0</v>
      </c>
      <c r="R53" s="21">
        <f t="shared" si="3"/>
        <v>1</v>
      </c>
      <c r="S53" s="22" t="str">
        <f t="shared" si="4"/>
        <v>-</v>
      </c>
      <c r="T53" s="32">
        <v>0.0</v>
      </c>
      <c r="U53" s="32">
        <v>0.0</v>
      </c>
      <c r="V53" s="32">
        <v>0.0</v>
      </c>
      <c r="W53" s="32">
        <v>0.0</v>
      </c>
      <c r="X53" s="32">
        <v>0.0</v>
      </c>
      <c r="Y53" s="32">
        <v>0.0</v>
      </c>
      <c r="Z53" s="30" t="str">
        <f t="shared" si="5"/>
        <v>-</v>
      </c>
      <c r="AA53" s="32">
        <v>0.0</v>
      </c>
      <c r="AB53" s="30" t="str">
        <f t="shared" si="6"/>
        <v>-</v>
      </c>
      <c r="AC53" s="23">
        <f t="shared" si="7"/>
        <v>0</v>
      </c>
      <c r="AD53" s="21">
        <f t="shared" si="8"/>
        <v>2</v>
      </c>
      <c r="AE53" s="32">
        <v>2.0</v>
      </c>
      <c r="AF53" s="32">
        <v>0.0</v>
      </c>
      <c r="AG53" s="24">
        <f t="shared" si="9"/>
        <v>100</v>
      </c>
      <c r="AH53" s="32">
        <v>2.0</v>
      </c>
      <c r="AI53" s="22" t="str">
        <f t="shared" si="10"/>
        <v>0.67</v>
      </c>
      <c r="AJ53" s="26"/>
      <c r="AK53" s="26"/>
      <c r="AL53" s="27">
        <f t="shared" si="11"/>
        <v>0</v>
      </c>
      <c r="AM53" s="27">
        <f t="shared" si="12"/>
        <v>0.3333333333</v>
      </c>
      <c r="AN53" s="28">
        <f t="shared" si="13"/>
        <v>0</v>
      </c>
      <c r="AO53" s="27">
        <f t="shared" si="14"/>
        <v>0</v>
      </c>
      <c r="AP53" s="27">
        <f t="shared" si="15"/>
        <v>0</v>
      </c>
      <c r="AQ53" s="27" t="str">
        <f t="shared" ref="AQ53:AR53" si="66">iferror(AB53/$M53,"-")</f>
        <v>-</v>
      </c>
      <c r="AR53" s="27">
        <f t="shared" si="66"/>
        <v>0</v>
      </c>
      <c r="AS53" s="29">
        <f t="shared" si="17"/>
        <v>0</v>
      </c>
      <c r="AT53" s="29" t="str">
        <f t="shared" si="18"/>
        <v>0.67</v>
      </c>
      <c r="AU53" s="26"/>
      <c r="AV53" s="26"/>
      <c r="AW53" s="26"/>
      <c r="AX53" s="26"/>
    </row>
    <row r="54">
      <c r="B54" s="17">
        <v>51.0</v>
      </c>
      <c r="C54" s="18">
        <f t="shared" si="2"/>
        <v>2</v>
      </c>
      <c r="D54" s="19" t="s">
        <v>83</v>
      </c>
      <c r="E54" s="31" t="s">
        <v>85</v>
      </c>
      <c r="F54" s="31">
        <v>2.0</v>
      </c>
      <c r="G54" s="31" t="s">
        <v>52</v>
      </c>
      <c r="H54" s="31" t="s">
        <v>57</v>
      </c>
      <c r="I54" s="31">
        <v>174.0</v>
      </c>
      <c r="J54" s="31">
        <v>58.0</v>
      </c>
      <c r="K54" s="32">
        <v>2.0</v>
      </c>
      <c r="L54" s="32">
        <v>3.0</v>
      </c>
      <c r="M54" s="32">
        <v>11.0</v>
      </c>
      <c r="N54" s="32">
        <v>23.0</v>
      </c>
      <c r="O54" s="32">
        <v>2.0</v>
      </c>
      <c r="P54" s="32">
        <v>20.0</v>
      </c>
      <c r="Q54" s="32">
        <v>7.0</v>
      </c>
      <c r="R54" s="21">
        <f t="shared" si="3"/>
        <v>50</v>
      </c>
      <c r="S54" s="22">
        <f t="shared" si="4"/>
        <v>0.32</v>
      </c>
      <c r="T54" s="32">
        <v>2.0</v>
      </c>
      <c r="U54" s="32">
        <v>0.0</v>
      </c>
      <c r="V54" s="32">
        <v>0.0</v>
      </c>
      <c r="W54" s="32">
        <v>29.0</v>
      </c>
      <c r="X54" s="32">
        <v>5.0</v>
      </c>
      <c r="Y54" s="32">
        <v>4.0</v>
      </c>
      <c r="Z54" s="21">
        <f t="shared" si="5"/>
        <v>38</v>
      </c>
      <c r="AA54" s="32">
        <v>3.0</v>
      </c>
      <c r="AB54" s="21">
        <f t="shared" si="6"/>
        <v>30</v>
      </c>
      <c r="AC54" s="23">
        <f t="shared" si="7"/>
        <v>30</v>
      </c>
      <c r="AD54" s="21">
        <f t="shared" si="8"/>
        <v>72</v>
      </c>
      <c r="AE54" s="32">
        <v>54.0</v>
      </c>
      <c r="AF54" s="32">
        <v>18.0</v>
      </c>
      <c r="AG54" s="24">
        <f t="shared" si="9"/>
        <v>75</v>
      </c>
      <c r="AH54" s="32">
        <v>29.0</v>
      </c>
      <c r="AI54" s="22" t="str">
        <f t="shared" si="10"/>
        <v>2.64</v>
      </c>
      <c r="AJ54" s="26"/>
      <c r="AK54" s="26"/>
      <c r="AL54" s="27">
        <f t="shared" si="11"/>
        <v>2.090909091</v>
      </c>
      <c r="AM54" s="27">
        <f t="shared" si="12"/>
        <v>4.545454545</v>
      </c>
      <c r="AN54" s="28">
        <f t="shared" si="13"/>
        <v>0.46</v>
      </c>
      <c r="AO54" s="27">
        <f t="shared" si="14"/>
        <v>0.1818181818</v>
      </c>
      <c r="AP54" s="27">
        <f t="shared" si="15"/>
        <v>0.4545454545</v>
      </c>
      <c r="AQ54" s="27">
        <f t="shared" ref="AQ54:AR54" si="67">iferror(AB54/$M54,"-")</f>
        <v>2.727272727</v>
      </c>
      <c r="AR54" s="27">
        <f t="shared" si="67"/>
        <v>2.727272727</v>
      </c>
      <c r="AS54" s="29">
        <f t="shared" si="17"/>
        <v>1.636363636</v>
      </c>
      <c r="AT54" s="29" t="str">
        <f t="shared" si="18"/>
        <v>2.64</v>
      </c>
      <c r="AU54" s="26"/>
      <c r="AV54" s="26"/>
      <c r="AW54" s="26"/>
      <c r="AX54" s="26"/>
    </row>
    <row r="55">
      <c r="B55" s="17">
        <v>52.0</v>
      </c>
      <c r="C55" s="18">
        <f t="shared" si="2"/>
        <v>3</v>
      </c>
      <c r="D55" s="19" t="s">
        <v>83</v>
      </c>
      <c r="E55" s="31" t="s">
        <v>86</v>
      </c>
      <c r="F55" s="31">
        <v>2.0</v>
      </c>
      <c r="G55" s="31" t="s">
        <v>57</v>
      </c>
      <c r="H55" s="31" t="s">
        <v>52</v>
      </c>
      <c r="I55" s="31">
        <v>172.0</v>
      </c>
      <c r="J55" s="31">
        <v>59.0</v>
      </c>
      <c r="K55" s="32">
        <v>3.0</v>
      </c>
      <c r="L55" s="32">
        <v>3.0</v>
      </c>
      <c r="M55" s="32">
        <v>11.0</v>
      </c>
      <c r="N55" s="32">
        <v>14.0</v>
      </c>
      <c r="O55" s="32">
        <v>2.0</v>
      </c>
      <c r="P55" s="32">
        <v>20.0</v>
      </c>
      <c r="Q55" s="32">
        <v>6.0</v>
      </c>
      <c r="R55" s="21">
        <f t="shared" si="3"/>
        <v>40</v>
      </c>
      <c r="S55" s="22">
        <f t="shared" si="4"/>
        <v>0.2</v>
      </c>
      <c r="T55" s="32">
        <v>0.0</v>
      </c>
      <c r="U55" s="32">
        <v>0.0</v>
      </c>
      <c r="V55" s="32">
        <v>0.0</v>
      </c>
      <c r="W55" s="32">
        <v>29.0</v>
      </c>
      <c r="X55" s="32">
        <v>4.0</v>
      </c>
      <c r="Y55" s="32">
        <v>2.0</v>
      </c>
      <c r="Z55" s="21">
        <f t="shared" si="5"/>
        <v>35</v>
      </c>
      <c r="AA55" s="32">
        <v>3.0</v>
      </c>
      <c r="AB55" s="21">
        <f t="shared" si="6"/>
        <v>18</v>
      </c>
      <c r="AC55" s="23">
        <f t="shared" si="7"/>
        <v>18</v>
      </c>
      <c r="AD55" s="21">
        <f t="shared" si="8"/>
        <v>21</v>
      </c>
      <c r="AE55" s="32">
        <v>15.0</v>
      </c>
      <c r="AF55" s="32">
        <v>6.0</v>
      </c>
      <c r="AG55" s="24">
        <f t="shared" si="9"/>
        <v>71.42857143</v>
      </c>
      <c r="AH55" s="32">
        <v>27.0</v>
      </c>
      <c r="AI55" s="22" t="str">
        <f t="shared" si="10"/>
        <v>2.45</v>
      </c>
      <c r="AJ55" s="26"/>
      <c r="AK55" s="26"/>
      <c r="AL55" s="27">
        <f t="shared" si="11"/>
        <v>1.272727273</v>
      </c>
      <c r="AM55" s="27">
        <f t="shared" si="12"/>
        <v>3.636363636</v>
      </c>
      <c r="AN55" s="28">
        <f t="shared" si="13"/>
        <v>0.35</v>
      </c>
      <c r="AO55" s="27">
        <f t="shared" si="14"/>
        <v>0</v>
      </c>
      <c r="AP55" s="27">
        <f t="shared" si="15"/>
        <v>0.3636363636</v>
      </c>
      <c r="AQ55" s="27">
        <f t="shared" ref="AQ55:AR55" si="68">iferror(AB55/$M55,"-")</f>
        <v>1.636363636</v>
      </c>
      <c r="AR55" s="27">
        <f t="shared" si="68"/>
        <v>1.636363636</v>
      </c>
      <c r="AS55" s="29">
        <f t="shared" si="17"/>
        <v>0.5454545455</v>
      </c>
      <c r="AT55" s="29" t="str">
        <f t="shared" si="18"/>
        <v>2.45</v>
      </c>
      <c r="AU55" s="26"/>
      <c r="AV55" s="26"/>
      <c r="AW55" s="26"/>
      <c r="AX55" s="26"/>
    </row>
    <row r="56">
      <c r="B56" s="17">
        <v>53.0</v>
      </c>
      <c r="C56" s="18">
        <f t="shared" si="2"/>
        <v>4</v>
      </c>
      <c r="D56" s="19" t="s">
        <v>83</v>
      </c>
      <c r="E56" s="31" t="s">
        <v>87</v>
      </c>
      <c r="F56" s="31">
        <v>1.0</v>
      </c>
      <c r="G56" s="31" t="s">
        <v>57</v>
      </c>
      <c r="H56" s="31" t="s">
        <v>50</v>
      </c>
      <c r="I56" s="31">
        <v>164.0</v>
      </c>
      <c r="J56" s="31">
        <v>48.0</v>
      </c>
      <c r="K56" s="32">
        <v>4.0</v>
      </c>
      <c r="L56" s="32">
        <v>2.0</v>
      </c>
      <c r="M56" s="32">
        <v>3.0</v>
      </c>
      <c r="N56" s="32">
        <v>0.0</v>
      </c>
      <c r="O56" s="32">
        <v>0.0</v>
      </c>
      <c r="P56" s="32">
        <v>0.0</v>
      </c>
      <c r="Q56" s="32">
        <v>0.0</v>
      </c>
      <c r="R56" s="30" t="str">
        <f t="shared" si="3"/>
        <v>-</v>
      </c>
      <c r="S56" s="22" t="str">
        <f t="shared" si="4"/>
        <v>-</v>
      </c>
      <c r="T56" s="32">
        <v>0.0</v>
      </c>
      <c r="U56" s="32">
        <v>0.0</v>
      </c>
      <c r="V56" s="32">
        <v>0.0</v>
      </c>
      <c r="W56" s="32">
        <v>0.0</v>
      </c>
      <c r="X56" s="32">
        <v>0.0</v>
      </c>
      <c r="Y56" s="32">
        <v>0.0</v>
      </c>
      <c r="Z56" s="30" t="str">
        <f t="shared" si="5"/>
        <v>-</v>
      </c>
      <c r="AA56" s="32">
        <v>0.0</v>
      </c>
      <c r="AB56" s="30" t="str">
        <f t="shared" si="6"/>
        <v>-</v>
      </c>
      <c r="AC56" s="23">
        <f t="shared" si="7"/>
        <v>0</v>
      </c>
      <c r="AD56" s="21">
        <f t="shared" si="8"/>
        <v>4</v>
      </c>
      <c r="AE56" s="32">
        <v>4.0</v>
      </c>
      <c r="AF56" s="32">
        <v>0.0</v>
      </c>
      <c r="AG56" s="24">
        <f t="shared" si="9"/>
        <v>100</v>
      </c>
      <c r="AH56" s="32">
        <v>1.0</v>
      </c>
      <c r="AI56" s="22" t="str">
        <f t="shared" si="10"/>
        <v>0.33</v>
      </c>
      <c r="AJ56" s="26"/>
      <c r="AK56" s="26"/>
      <c r="AL56" s="27">
        <f t="shared" si="11"/>
        <v>0</v>
      </c>
      <c r="AM56" s="27" t="str">
        <f t="shared" si="12"/>
        <v>-</v>
      </c>
      <c r="AN56" s="28" t="str">
        <f t="shared" si="13"/>
        <v>-</v>
      </c>
      <c r="AO56" s="27">
        <f t="shared" si="14"/>
        <v>0</v>
      </c>
      <c r="AP56" s="27">
        <f t="shared" si="15"/>
        <v>0</v>
      </c>
      <c r="AQ56" s="27" t="str">
        <f t="shared" ref="AQ56:AR56" si="69">iferror(AB56/$M56,"-")</f>
        <v>-</v>
      </c>
      <c r="AR56" s="27">
        <f t="shared" si="69"/>
        <v>0</v>
      </c>
      <c r="AS56" s="29">
        <f t="shared" si="17"/>
        <v>0</v>
      </c>
      <c r="AT56" s="29" t="str">
        <f t="shared" si="18"/>
        <v>0.33</v>
      </c>
      <c r="AU56" s="26"/>
      <c r="AV56" s="26"/>
      <c r="AW56" s="26"/>
      <c r="AX56" s="26"/>
    </row>
    <row r="57">
      <c r="B57" s="17">
        <v>54.0</v>
      </c>
      <c r="C57" s="18">
        <f t="shared" si="2"/>
        <v>5</v>
      </c>
      <c r="D57" s="19" t="s">
        <v>83</v>
      </c>
      <c r="E57" s="31" t="s">
        <v>88</v>
      </c>
      <c r="F57" s="31">
        <v>3.0</v>
      </c>
      <c r="G57" s="31" t="s">
        <v>52</v>
      </c>
      <c r="H57" s="31" t="s">
        <v>57</v>
      </c>
      <c r="I57" s="31">
        <v>179.0</v>
      </c>
      <c r="J57" s="31">
        <v>58.0</v>
      </c>
      <c r="K57" s="32">
        <v>5.0</v>
      </c>
      <c r="L57" s="32">
        <v>3.0</v>
      </c>
      <c r="M57" s="32">
        <v>6.0</v>
      </c>
      <c r="N57" s="32">
        <v>6.0</v>
      </c>
      <c r="O57" s="32">
        <v>0.0</v>
      </c>
      <c r="P57" s="32">
        <v>15.0</v>
      </c>
      <c r="Q57" s="32">
        <v>9.0</v>
      </c>
      <c r="R57" s="21">
        <f t="shared" si="3"/>
        <v>30</v>
      </c>
      <c r="S57" s="22">
        <f t="shared" si="4"/>
        <v>-0.1</v>
      </c>
      <c r="T57" s="32">
        <v>0.0</v>
      </c>
      <c r="U57" s="32">
        <v>0.0</v>
      </c>
      <c r="V57" s="32">
        <v>0.0</v>
      </c>
      <c r="W57" s="32">
        <v>10.0</v>
      </c>
      <c r="X57" s="32">
        <v>0.0</v>
      </c>
      <c r="Y57" s="32">
        <v>0.0</v>
      </c>
      <c r="Z57" s="21">
        <f t="shared" si="5"/>
        <v>10</v>
      </c>
      <c r="AA57" s="32">
        <v>0.0</v>
      </c>
      <c r="AB57" s="21">
        <f t="shared" si="6"/>
        <v>6</v>
      </c>
      <c r="AC57" s="23">
        <f t="shared" si="7"/>
        <v>6</v>
      </c>
      <c r="AD57" s="21">
        <f t="shared" si="8"/>
        <v>18</v>
      </c>
      <c r="AE57" s="32">
        <v>15.0</v>
      </c>
      <c r="AF57" s="32">
        <v>3.0</v>
      </c>
      <c r="AG57" s="24">
        <f t="shared" si="9"/>
        <v>83.33333333</v>
      </c>
      <c r="AH57" s="32">
        <v>4.0</v>
      </c>
      <c r="AI57" s="22" t="str">
        <f t="shared" si="10"/>
        <v>0.67</v>
      </c>
      <c r="AJ57" s="26"/>
      <c r="AK57" s="26"/>
      <c r="AL57" s="27">
        <f t="shared" si="11"/>
        <v>1</v>
      </c>
      <c r="AM57" s="27">
        <f t="shared" si="12"/>
        <v>5</v>
      </c>
      <c r="AN57" s="28">
        <f t="shared" si="13"/>
        <v>0.2</v>
      </c>
      <c r="AO57" s="27">
        <f t="shared" si="14"/>
        <v>0</v>
      </c>
      <c r="AP57" s="27">
        <f t="shared" si="15"/>
        <v>0</v>
      </c>
      <c r="AQ57" s="27">
        <f t="shared" ref="AQ57:AR57" si="70">iferror(AB57/$M57,"-")</f>
        <v>1</v>
      </c>
      <c r="AR57" s="27">
        <f t="shared" si="70"/>
        <v>1</v>
      </c>
      <c r="AS57" s="29">
        <f t="shared" si="17"/>
        <v>0.5</v>
      </c>
      <c r="AT57" s="29" t="str">
        <f t="shared" si="18"/>
        <v>0.67</v>
      </c>
      <c r="AU57" s="26"/>
      <c r="AV57" s="26"/>
      <c r="AW57" s="26"/>
      <c r="AX57" s="26"/>
    </row>
    <row r="58">
      <c r="B58" s="17">
        <v>55.0</v>
      </c>
      <c r="C58" s="18">
        <f t="shared" si="2"/>
        <v>6</v>
      </c>
      <c r="D58" s="19" t="s">
        <v>83</v>
      </c>
      <c r="E58" s="31" t="s">
        <v>89</v>
      </c>
      <c r="F58" s="31">
        <v>1.0</v>
      </c>
      <c r="G58" s="31" t="s">
        <v>57</v>
      </c>
      <c r="H58" s="31" t="s">
        <v>48</v>
      </c>
      <c r="I58" s="31">
        <v>161.0</v>
      </c>
      <c r="J58" s="31">
        <v>50.0</v>
      </c>
      <c r="K58" s="32">
        <v>6.0</v>
      </c>
      <c r="L58" s="32">
        <v>3.0</v>
      </c>
      <c r="M58" s="32">
        <v>5.0</v>
      </c>
      <c r="N58" s="32">
        <v>0.0</v>
      </c>
      <c r="O58" s="32">
        <v>1.0</v>
      </c>
      <c r="P58" s="32">
        <v>0.0</v>
      </c>
      <c r="Q58" s="32">
        <v>0.0</v>
      </c>
      <c r="R58" s="30" t="str">
        <f t="shared" si="3"/>
        <v>-</v>
      </c>
      <c r="S58" s="22" t="str">
        <f t="shared" si="4"/>
        <v>-</v>
      </c>
      <c r="T58" s="32">
        <v>0.0</v>
      </c>
      <c r="U58" s="32">
        <v>0.0</v>
      </c>
      <c r="V58" s="32">
        <v>0.0</v>
      </c>
      <c r="W58" s="32">
        <v>0.0</v>
      </c>
      <c r="X58" s="32">
        <v>0.0</v>
      </c>
      <c r="Y58" s="32">
        <v>0.0</v>
      </c>
      <c r="Z58" s="30" t="str">
        <f t="shared" si="5"/>
        <v>-</v>
      </c>
      <c r="AA58" s="32">
        <v>0.0</v>
      </c>
      <c r="AB58" s="30" t="str">
        <f t="shared" si="6"/>
        <v>-</v>
      </c>
      <c r="AC58" s="23">
        <f t="shared" si="7"/>
        <v>0</v>
      </c>
      <c r="AD58" s="21">
        <f t="shared" si="8"/>
        <v>9</v>
      </c>
      <c r="AE58" s="32">
        <v>8.0</v>
      </c>
      <c r="AF58" s="32">
        <v>1.0</v>
      </c>
      <c r="AG58" s="24">
        <f t="shared" si="9"/>
        <v>88.88888889</v>
      </c>
      <c r="AH58" s="32">
        <v>4.0</v>
      </c>
      <c r="AI58" s="22" t="str">
        <f t="shared" si="10"/>
        <v>0.80</v>
      </c>
      <c r="AJ58" s="26"/>
      <c r="AK58" s="26"/>
      <c r="AL58" s="27">
        <f t="shared" si="11"/>
        <v>0</v>
      </c>
      <c r="AM58" s="27" t="str">
        <f t="shared" si="12"/>
        <v>-</v>
      </c>
      <c r="AN58" s="28" t="str">
        <f t="shared" si="13"/>
        <v>-</v>
      </c>
      <c r="AO58" s="27">
        <f t="shared" si="14"/>
        <v>0</v>
      </c>
      <c r="AP58" s="27">
        <f t="shared" si="15"/>
        <v>0</v>
      </c>
      <c r="AQ58" s="27" t="str">
        <f t="shared" ref="AQ58:AR58" si="71">iferror(AB58/$M58,"-")</f>
        <v>-</v>
      </c>
      <c r="AR58" s="27">
        <f t="shared" si="71"/>
        <v>0</v>
      </c>
      <c r="AS58" s="29">
        <f t="shared" si="17"/>
        <v>0.2</v>
      </c>
      <c r="AT58" s="29" t="str">
        <f t="shared" si="18"/>
        <v>0.80</v>
      </c>
      <c r="AU58" s="26"/>
      <c r="AV58" s="26"/>
      <c r="AW58" s="26"/>
      <c r="AX58" s="26"/>
    </row>
    <row r="59">
      <c r="B59" s="17">
        <v>56.0</v>
      </c>
      <c r="C59" s="18">
        <f t="shared" si="2"/>
        <v>7</v>
      </c>
      <c r="D59" s="19" t="s">
        <v>83</v>
      </c>
      <c r="E59" s="31" t="s">
        <v>90</v>
      </c>
      <c r="F59" s="31">
        <v>3.0</v>
      </c>
      <c r="G59" s="31" t="s">
        <v>50</v>
      </c>
      <c r="H59" s="31" t="s">
        <v>48</v>
      </c>
      <c r="I59" s="31">
        <v>162.0</v>
      </c>
      <c r="J59" s="31">
        <v>56.0</v>
      </c>
      <c r="K59" s="32">
        <v>7.0</v>
      </c>
      <c r="L59" s="32">
        <v>3.0</v>
      </c>
      <c r="M59" s="32">
        <v>13.0</v>
      </c>
      <c r="N59" s="32">
        <v>0.0</v>
      </c>
      <c r="O59" s="32">
        <v>7.0</v>
      </c>
      <c r="P59" s="32">
        <v>0.0</v>
      </c>
      <c r="Q59" s="32">
        <v>0.0</v>
      </c>
      <c r="R59" s="30" t="str">
        <f t="shared" si="3"/>
        <v>-</v>
      </c>
      <c r="S59" s="22" t="str">
        <f t="shared" si="4"/>
        <v>-</v>
      </c>
      <c r="T59" s="32">
        <v>0.0</v>
      </c>
      <c r="U59" s="32">
        <v>0.0</v>
      </c>
      <c r="V59" s="32">
        <v>0.0</v>
      </c>
      <c r="W59" s="32">
        <v>0.0</v>
      </c>
      <c r="X59" s="32">
        <v>0.0</v>
      </c>
      <c r="Y59" s="32">
        <v>0.0</v>
      </c>
      <c r="Z59" s="30" t="str">
        <f t="shared" si="5"/>
        <v>-</v>
      </c>
      <c r="AA59" s="32">
        <v>1.0</v>
      </c>
      <c r="AB59" s="30" t="str">
        <f t="shared" si="6"/>
        <v>-</v>
      </c>
      <c r="AC59" s="23">
        <f t="shared" si="7"/>
        <v>0</v>
      </c>
      <c r="AD59" s="21">
        <f t="shared" si="8"/>
        <v>59</v>
      </c>
      <c r="AE59" s="32">
        <v>52.0</v>
      </c>
      <c r="AF59" s="32">
        <v>7.0</v>
      </c>
      <c r="AG59" s="24">
        <f t="shared" si="9"/>
        <v>88.13559322</v>
      </c>
      <c r="AH59" s="32">
        <v>26.0</v>
      </c>
      <c r="AI59" s="22" t="str">
        <f t="shared" si="10"/>
        <v>2</v>
      </c>
      <c r="AJ59" s="26"/>
      <c r="AK59" s="26"/>
      <c r="AL59" s="27">
        <f t="shared" si="11"/>
        <v>0</v>
      </c>
      <c r="AM59" s="27" t="str">
        <f t="shared" si="12"/>
        <v>-</v>
      </c>
      <c r="AN59" s="28" t="str">
        <f t="shared" si="13"/>
        <v>-</v>
      </c>
      <c r="AO59" s="27">
        <f t="shared" si="14"/>
        <v>0</v>
      </c>
      <c r="AP59" s="27">
        <f t="shared" si="15"/>
        <v>0</v>
      </c>
      <c r="AQ59" s="27" t="str">
        <f t="shared" ref="AQ59:AR59" si="72">iferror(AB59/$M59,"-")</f>
        <v>-</v>
      </c>
      <c r="AR59" s="27">
        <f t="shared" si="72"/>
        <v>0</v>
      </c>
      <c r="AS59" s="29">
        <f t="shared" si="17"/>
        <v>0.5384615385</v>
      </c>
      <c r="AT59" s="29" t="str">
        <f t="shared" si="18"/>
        <v>2</v>
      </c>
      <c r="AU59" s="26"/>
      <c r="AV59" s="26"/>
      <c r="AW59" s="26"/>
      <c r="AX59" s="26"/>
    </row>
    <row r="60">
      <c r="B60" s="17">
        <v>57.0</v>
      </c>
      <c r="C60" s="18">
        <f t="shared" si="2"/>
        <v>8</v>
      </c>
      <c r="D60" s="19" t="s">
        <v>83</v>
      </c>
      <c r="E60" s="31" t="s">
        <v>91</v>
      </c>
      <c r="F60" s="31">
        <v>1.0</v>
      </c>
      <c r="G60" s="31" t="s">
        <v>54</v>
      </c>
      <c r="H60" s="31" t="s">
        <v>57</v>
      </c>
      <c r="I60" s="31">
        <v>168.0</v>
      </c>
      <c r="J60" s="31">
        <v>59.0</v>
      </c>
      <c r="K60" s="32">
        <v>8.0</v>
      </c>
      <c r="L60" s="32">
        <v>1.0</v>
      </c>
      <c r="M60" s="32">
        <v>1.0</v>
      </c>
      <c r="N60" s="32">
        <v>0.0</v>
      </c>
      <c r="O60" s="32">
        <v>0.0</v>
      </c>
      <c r="P60" s="32">
        <v>1.0</v>
      </c>
      <c r="Q60" s="32">
        <v>0.0</v>
      </c>
      <c r="R60" s="21">
        <f t="shared" si="3"/>
        <v>1</v>
      </c>
      <c r="S60" s="22" t="str">
        <f t="shared" si="4"/>
        <v>-</v>
      </c>
      <c r="T60" s="32">
        <v>0.0</v>
      </c>
      <c r="U60" s="32">
        <v>0.0</v>
      </c>
      <c r="V60" s="32">
        <v>0.0</v>
      </c>
      <c r="W60" s="32">
        <v>0.0</v>
      </c>
      <c r="X60" s="32">
        <v>0.0</v>
      </c>
      <c r="Y60" s="32">
        <v>0.0</v>
      </c>
      <c r="Z60" s="30" t="str">
        <f t="shared" si="5"/>
        <v>-</v>
      </c>
      <c r="AA60" s="32">
        <v>0.0</v>
      </c>
      <c r="AB60" s="30" t="str">
        <f t="shared" si="6"/>
        <v>-</v>
      </c>
      <c r="AC60" s="23">
        <f t="shared" si="7"/>
        <v>0</v>
      </c>
      <c r="AD60" s="30" t="str">
        <f t="shared" si="8"/>
        <v>-</v>
      </c>
      <c r="AE60" s="32">
        <v>0.0</v>
      </c>
      <c r="AF60" s="32">
        <v>0.0</v>
      </c>
      <c r="AG60" s="24" t="str">
        <f t="shared" si="9"/>
        <v>-</v>
      </c>
      <c r="AH60" s="32">
        <v>1.0</v>
      </c>
      <c r="AI60" s="22" t="str">
        <f t="shared" si="10"/>
        <v>1</v>
      </c>
      <c r="AJ60" s="26"/>
      <c r="AK60" s="26"/>
      <c r="AL60" s="27">
        <f t="shared" si="11"/>
        <v>0</v>
      </c>
      <c r="AM60" s="27">
        <f t="shared" si="12"/>
        <v>1</v>
      </c>
      <c r="AN60" s="28">
        <f t="shared" si="13"/>
        <v>0</v>
      </c>
      <c r="AO60" s="27">
        <f t="shared" si="14"/>
        <v>0</v>
      </c>
      <c r="AP60" s="27">
        <f t="shared" si="15"/>
        <v>0</v>
      </c>
      <c r="AQ60" s="27" t="str">
        <f t="shared" ref="AQ60:AR60" si="73">iferror(AB60/$M60,"-")</f>
        <v>-</v>
      </c>
      <c r="AR60" s="27">
        <f t="shared" si="73"/>
        <v>0</v>
      </c>
      <c r="AS60" s="29">
        <f t="shared" si="17"/>
        <v>0</v>
      </c>
      <c r="AT60" s="29" t="str">
        <f t="shared" si="18"/>
        <v>1</v>
      </c>
      <c r="AU60" s="26"/>
      <c r="AV60" s="26"/>
      <c r="AW60" s="26"/>
      <c r="AX60" s="26"/>
    </row>
    <row r="61">
      <c r="B61" s="17">
        <v>58.0</v>
      </c>
      <c r="C61" s="18">
        <f t="shared" si="2"/>
        <v>9</v>
      </c>
      <c r="D61" s="19" t="s">
        <v>83</v>
      </c>
      <c r="E61" s="31" t="s">
        <v>92</v>
      </c>
      <c r="F61" s="31">
        <v>3.0</v>
      </c>
      <c r="G61" s="31" t="s">
        <v>54</v>
      </c>
      <c r="H61" s="31" t="s">
        <v>57</v>
      </c>
      <c r="I61" s="31">
        <v>167.0</v>
      </c>
      <c r="J61" s="31">
        <v>53.0</v>
      </c>
      <c r="K61" s="32">
        <v>9.0</v>
      </c>
      <c r="L61" s="32">
        <v>3.0</v>
      </c>
      <c r="M61" s="32">
        <v>13.0</v>
      </c>
      <c r="N61" s="32">
        <v>2.0</v>
      </c>
      <c r="O61" s="32">
        <v>108.0</v>
      </c>
      <c r="P61" s="32">
        <v>8.0</v>
      </c>
      <c r="Q61" s="32">
        <v>2.0</v>
      </c>
      <c r="R61" s="21">
        <f t="shared" si="3"/>
        <v>12</v>
      </c>
      <c r="S61" s="22" t="str">
        <f t="shared" si="4"/>
        <v>-</v>
      </c>
      <c r="T61" s="32">
        <v>0.0</v>
      </c>
      <c r="U61" s="32">
        <v>0.0</v>
      </c>
      <c r="V61" s="32">
        <v>0.0</v>
      </c>
      <c r="W61" s="32">
        <v>33.0</v>
      </c>
      <c r="X61" s="32">
        <v>1.0</v>
      </c>
      <c r="Y61" s="32">
        <v>1.0</v>
      </c>
      <c r="Z61" s="21">
        <f t="shared" si="5"/>
        <v>35</v>
      </c>
      <c r="AA61" s="32">
        <v>4.0</v>
      </c>
      <c r="AB61" s="21">
        <f t="shared" si="6"/>
        <v>3</v>
      </c>
      <c r="AC61" s="23">
        <f t="shared" si="7"/>
        <v>3</v>
      </c>
      <c r="AD61" s="21">
        <f t="shared" si="8"/>
        <v>6</v>
      </c>
      <c r="AE61" s="32">
        <v>2.0</v>
      </c>
      <c r="AF61" s="32">
        <v>4.0</v>
      </c>
      <c r="AG61" s="24">
        <f t="shared" si="9"/>
        <v>33.33333333</v>
      </c>
      <c r="AH61" s="32">
        <v>15.0</v>
      </c>
      <c r="AI61" s="22" t="str">
        <f t="shared" si="10"/>
        <v>1.15</v>
      </c>
      <c r="AJ61" s="26"/>
      <c r="AK61" s="26"/>
      <c r="AL61" s="27">
        <f t="shared" si="11"/>
        <v>0.1538461538</v>
      </c>
      <c r="AM61" s="27">
        <f t="shared" si="12"/>
        <v>0.9230769231</v>
      </c>
      <c r="AN61" s="28">
        <f t="shared" si="13"/>
        <v>0.1666666667</v>
      </c>
      <c r="AO61" s="27">
        <f t="shared" si="14"/>
        <v>0</v>
      </c>
      <c r="AP61" s="27">
        <f t="shared" si="15"/>
        <v>0.07692307692</v>
      </c>
      <c r="AQ61" s="27">
        <f t="shared" ref="AQ61:AR61" si="74">iferror(AB61/$M61,"-")</f>
        <v>0.2307692308</v>
      </c>
      <c r="AR61" s="27">
        <f t="shared" si="74"/>
        <v>0.2307692308</v>
      </c>
      <c r="AS61" s="29">
        <f t="shared" si="17"/>
        <v>0.3076923077</v>
      </c>
      <c r="AT61" s="29" t="str">
        <f t="shared" si="18"/>
        <v>1.15</v>
      </c>
      <c r="AU61" s="26"/>
      <c r="AV61" s="26"/>
      <c r="AW61" s="26"/>
      <c r="AX61" s="26"/>
    </row>
    <row r="62">
      <c r="B62" s="17">
        <v>59.0</v>
      </c>
      <c r="C62" s="18">
        <f t="shared" si="2"/>
        <v>10</v>
      </c>
      <c r="D62" s="19" t="s">
        <v>83</v>
      </c>
      <c r="E62" s="31" t="s">
        <v>93</v>
      </c>
      <c r="F62" s="31">
        <v>1.0</v>
      </c>
      <c r="G62" s="31" t="s">
        <v>47</v>
      </c>
      <c r="H62" s="31" t="s">
        <v>52</v>
      </c>
      <c r="I62" s="31">
        <v>180.0</v>
      </c>
      <c r="J62" s="31">
        <v>67.0</v>
      </c>
      <c r="K62" s="32">
        <v>10.0</v>
      </c>
      <c r="L62" s="32">
        <v>2.0</v>
      </c>
      <c r="M62" s="32">
        <v>3.0</v>
      </c>
      <c r="N62" s="32">
        <v>3.0</v>
      </c>
      <c r="O62" s="32">
        <v>0.0</v>
      </c>
      <c r="P62" s="32">
        <v>5.0</v>
      </c>
      <c r="Q62" s="32">
        <v>0.0</v>
      </c>
      <c r="R62" s="21">
        <f t="shared" si="3"/>
        <v>8</v>
      </c>
      <c r="S62" s="22">
        <f t="shared" si="4"/>
        <v>0.38</v>
      </c>
      <c r="T62" s="32">
        <v>2.0</v>
      </c>
      <c r="U62" s="32">
        <v>0.0</v>
      </c>
      <c r="V62" s="32">
        <v>1.0</v>
      </c>
      <c r="W62" s="32">
        <v>3.0</v>
      </c>
      <c r="X62" s="32">
        <v>1.0</v>
      </c>
      <c r="Y62" s="32">
        <v>2.0</v>
      </c>
      <c r="Z62" s="21">
        <f t="shared" si="5"/>
        <v>6</v>
      </c>
      <c r="AA62" s="32">
        <v>0.0</v>
      </c>
      <c r="AB62" s="21">
        <f t="shared" si="6"/>
        <v>6</v>
      </c>
      <c r="AC62" s="23">
        <f t="shared" si="7"/>
        <v>6.75</v>
      </c>
      <c r="AD62" s="21">
        <f t="shared" si="8"/>
        <v>4</v>
      </c>
      <c r="AE62" s="32">
        <v>4.0</v>
      </c>
      <c r="AF62" s="32">
        <v>0.0</v>
      </c>
      <c r="AG62" s="24">
        <f t="shared" si="9"/>
        <v>100</v>
      </c>
      <c r="AH62" s="32">
        <v>0.0</v>
      </c>
      <c r="AI62" s="22" t="str">
        <f t="shared" si="10"/>
        <v>0</v>
      </c>
      <c r="AJ62" s="26"/>
      <c r="AK62" s="26"/>
      <c r="AL62" s="27">
        <f t="shared" si="11"/>
        <v>1</v>
      </c>
      <c r="AM62" s="27">
        <f t="shared" si="12"/>
        <v>2.666666667</v>
      </c>
      <c r="AN62" s="28">
        <f t="shared" si="13"/>
        <v>0.375</v>
      </c>
      <c r="AO62" s="27">
        <f t="shared" si="14"/>
        <v>0.6666666667</v>
      </c>
      <c r="AP62" s="27">
        <f t="shared" si="15"/>
        <v>0.3333333333</v>
      </c>
      <c r="AQ62" s="27">
        <f t="shared" ref="AQ62:AR62" si="75">iferror(AB62/$M62,"-")</f>
        <v>2</v>
      </c>
      <c r="AR62" s="27">
        <f t="shared" si="75"/>
        <v>2.25</v>
      </c>
      <c r="AS62" s="29">
        <f t="shared" si="17"/>
        <v>0</v>
      </c>
      <c r="AT62" s="29" t="str">
        <f t="shared" si="18"/>
        <v>0</v>
      </c>
      <c r="AU62" s="26"/>
      <c r="AV62" s="26"/>
      <c r="AW62" s="26"/>
      <c r="AX62" s="26"/>
    </row>
    <row r="63">
      <c r="B63" s="17">
        <v>60.0</v>
      </c>
      <c r="C63" s="18">
        <f t="shared" si="2"/>
        <v>11</v>
      </c>
      <c r="D63" s="19" t="s">
        <v>83</v>
      </c>
      <c r="E63" s="31" t="s">
        <v>94</v>
      </c>
      <c r="F63" s="31">
        <v>3.0</v>
      </c>
      <c r="G63" s="31" t="s">
        <v>54</v>
      </c>
      <c r="H63" s="31" t="s">
        <v>48</v>
      </c>
      <c r="I63" s="31">
        <v>177.0</v>
      </c>
      <c r="J63" s="31">
        <v>72.0</v>
      </c>
      <c r="K63" s="32">
        <v>11.0</v>
      </c>
      <c r="L63" s="32">
        <v>1.0</v>
      </c>
      <c r="M63" s="32">
        <v>1.0</v>
      </c>
      <c r="N63" s="32">
        <v>0.0</v>
      </c>
      <c r="O63" s="32">
        <v>0.0</v>
      </c>
      <c r="P63" s="32">
        <v>0.0</v>
      </c>
      <c r="Q63" s="32">
        <v>0.0</v>
      </c>
      <c r="R63" s="30" t="str">
        <f t="shared" si="3"/>
        <v>-</v>
      </c>
      <c r="S63" s="22" t="str">
        <f t="shared" si="4"/>
        <v>-</v>
      </c>
      <c r="T63" s="32">
        <v>0.0</v>
      </c>
      <c r="U63" s="32">
        <v>0.0</v>
      </c>
      <c r="V63" s="32">
        <v>0.0</v>
      </c>
      <c r="W63" s="32">
        <v>0.0</v>
      </c>
      <c r="X63" s="32">
        <v>0.0</v>
      </c>
      <c r="Y63" s="32">
        <v>1.0</v>
      </c>
      <c r="Z63" s="21">
        <f t="shared" si="5"/>
        <v>1</v>
      </c>
      <c r="AA63" s="32">
        <v>0.0</v>
      </c>
      <c r="AB63" s="30" t="str">
        <f t="shared" si="6"/>
        <v>-</v>
      </c>
      <c r="AC63" s="23">
        <f t="shared" si="7"/>
        <v>0</v>
      </c>
      <c r="AD63" s="30" t="str">
        <f t="shared" si="8"/>
        <v>-</v>
      </c>
      <c r="AE63" s="32">
        <v>0.0</v>
      </c>
      <c r="AF63" s="32">
        <v>0.0</v>
      </c>
      <c r="AG63" s="24" t="str">
        <f t="shared" si="9"/>
        <v>-</v>
      </c>
      <c r="AH63" s="32">
        <v>0.0</v>
      </c>
      <c r="AI63" s="22" t="str">
        <f t="shared" si="10"/>
        <v>0</v>
      </c>
      <c r="AJ63" s="26"/>
      <c r="AK63" s="26"/>
      <c r="AL63" s="27">
        <f t="shared" si="11"/>
        <v>0</v>
      </c>
      <c r="AM63" s="27" t="str">
        <f t="shared" si="12"/>
        <v>-</v>
      </c>
      <c r="AN63" s="28" t="str">
        <f t="shared" si="13"/>
        <v>-</v>
      </c>
      <c r="AO63" s="27">
        <f t="shared" si="14"/>
        <v>0</v>
      </c>
      <c r="AP63" s="27">
        <f t="shared" si="15"/>
        <v>0</v>
      </c>
      <c r="AQ63" s="27" t="str">
        <f t="shared" ref="AQ63:AR63" si="76">iferror(AB63/$M63,"-")</f>
        <v>-</v>
      </c>
      <c r="AR63" s="27">
        <f t="shared" si="76"/>
        <v>0</v>
      </c>
      <c r="AS63" s="29">
        <f t="shared" si="17"/>
        <v>0</v>
      </c>
      <c r="AT63" s="29" t="str">
        <f t="shared" si="18"/>
        <v>0</v>
      </c>
      <c r="AU63" s="26"/>
      <c r="AV63" s="26"/>
      <c r="AW63" s="26"/>
      <c r="AX63" s="26"/>
    </row>
    <row r="64">
      <c r="B64" s="17">
        <v>61.0</v>
      </c>
      <c r="C64" s="18">
        <f t="shared" si="2"/>
        <v>12</v>
      </c>
      <c r="D64" s="19" t="s">
        <v>83</v>
      </c>
      <c r="E64" s="31" t="s">
        <v>95</v>
      </c>
      <c r="F64" s="31">
        <v>3.0</v>
      </c>
      <c r="G64" s="31" t="s">
        <v>52</v>
      </c>
      <c r="H64" s="31" t="s">
        <v>48</v>
      </c>
      <c r="I64" s="31">
        <v>178.0</v>
      </c>
      <c r="J64" s="31">
        <v>62.0</v>
      </c>
      <c r="K64" s="32">
        <v>15.0</v>
      </c>
      <c r="L64" s="32">
        <v>3.0</v>
      </c>
      <c r="M64" s="32">
        <v>13.0</v>
      </c>
      <c r="N64" s="32">
        <v>46.0</v>
      </c>
      <c r="O64" s="32">
        <v>1.0</v>
      </c>
      <c r="P64" s="32">
        <v>76.0</v>
      </c>
      <c r="Q64" s="32">
        <v>18.0</v>
      </c>
      <c r="R64" s="21">
        <f t="shared" si="3"/>
        <v>140</v>
      </c>
      <c r="S64" s="22">
        <f t="shared" si="4"/>
        <v>0.2</v>
      </c>
      <c r="T64" s="32">
        <v>3.0</v>
      </c>
      <c r="U64" s="32">
        <v>0.0</v>
      </c>
      <c r="V64" s="32">
        <v>1.0</v>
      </c>
      <c r="W64" s="32">
        <v>34.0</v>
      </c>
      <c r="X64" s="32">
        <v>5.0</v>
      </c>
      <c r="Y64" s="32">
        <v>4.0</v>
      </c>
      <c r="Z64" s="21">
        <f t="shared" si="5"/>
        <v>43</v>
      </c>
      <c r="AA64" s="32">
        <v>2.0</v>
      </c>
      <c r="AB64" s="21">
        <f t="shared" si="6"/>
        <v>54</v>
      </c>
      <c r="AC64" s="23">
        <f t="shared" si="7"/>
        <v>54.75</v>
      </c>
      <c r="AD64" s="21">
        <f t="shared" si="8"/>
        <v>53</v>
      </c>
      <c r="AE64" s="32">
        <v>45.0</v>
      </c>
      <c r="AF64" s="32">
        <v>8.0</v>
      </c>
      <c r="AG64" s="24">
        <f t="shared" si="9"/>
        <v>84.90566038</v>
      </c>
      <c r="AH64" s="32">
        <v>19.0</v>
      </c>
      <c r="AI64" s="22" t="str">
        <f t="shared" si="10"/>
        <v>1.46</v>
      </c>
      <c r="AJ64" s="26"/>
      <c r="AK64" s="26"/>
      <c r="AL64" s="27">
        <f t="shared" si="11"/>
        <v>3.538461538</v>
      </c>
      <c r="AM64" s="27">
        <f t="shared" si="12"/>
        <v>10.76923077</v>
      </c>
      <c r="AN64" s="28">
        <f t="shared" si="13"/>
        <v>0.3285714286</v>
      </c>
      <c r="AO64" s="27">
        <f t="shared" si="14"/>
        <v>0.2307692308</v>
      </c>
      <c r="AP64" s="27">
        <f t="shared" si="15"/>
        <v>0.3846153846</v>
      </c>
      <c r="AQ64" s="27">
        <f t="shared" ref="AQ64:AR64" si="77">iferror(AB64/$M64,"-")</f>
        <v>4.153846154</v>
      </c>
      <c r="AR64" s="27">
        <f t="shared" si="77"/>
        <v>4.211538462</v>
      </c>
      <c r="AS64" s="29">
        <f t="shared" si="17"/>
        <v>0.6153846154</v>
      </c>
      <c r="AT64" s="29" t="str">
        <f t="shared" si="18"/>
        <v>1.46</v>
      </c>
      <c r="AU64" s="26"/>
      <c r="AV64" s="26"/>
      <c r="AW64" s="26"/>
      <c r="AX64" s="26"/>
    </row>
    <row r="65">
      <c r="B65" s="17">
        <v>62.0</v>
      </c>
      <c r="C65" s="18">
        <f t="shared" si="2"/>
        <v>13</v>
      </c>
      <c r="D65" s="19" t="s">
        <v>83</v>
      </c>
      <c r="E65" s="31" t="s">
        <v>96</v>
      </c>
      <c r="F65" s="31">
        <v>1.0</v>
      </c>
      <c r="G65" s="31" t="s">
        <v>57</v>
      </c>
      <c r="H65" s="31" t="s">
        <v>48</v>
      </c>
      <c r="I65" s="31">
        <v>170.0</v>
      </c>
      <c r="J65" s="31">
        <v>73.0</v>
      </c>
      <c r="K65" s="32">
        <v>16.0</v>
      </c>
      <c r="L65" s="32">
        <v>1.0</v>
      </c>
      <c r="M65" s="32">
        <v>1.0</v>
      </c>
      <c r="N65" s="32">
        <v>0.0</v>
      </c>
      <c r="O65" s="32">
        <v>0.0</v>
      </c>
      <c r="P65" s="32">
        <v>1.0</v>
      </c>
      <c r="Q65" s="32">
        <v>0.0</v>
      </c>
      <c r="R65" s="21">
        <f t="shared" si="3"/>
        <v>1</v>
      </c>
      <c r="S65" s="22" t="str">
        <f t="shared" si="4"/>
        <v>-</v>
      </c>
      <c r="T65" s="32">
        <v>0.0</v>
      </c>
      <c r="U65" s="32">
        <v>0.0</v>
      </c>
      <c r="V65" s="32">
        <v>0.0</v>
      </c>
      <c r="W65" s="32">
        <v>0.0</v>
      </c>
      <c r="X65" s="32">
        <v>0.0</v>
      </c>
      <c r="Y65" s="32">
        <v>0.0</v>
      </c>
      <c r="Z65" s="30" t="str">
        <f t="shared" si="5"/>
        <v>-</v>
      </c>
      <c r="AA65" s="32">
        <v>0.0</v>
      </c>
      <c r="AB65" s="30" t="str">
        <f t="shared" si="6"/>
        <v>-</v>
      </c>
      <c r="AC65" s="23">
        <f t="shared" si="7"/>
        <v>0</v>
      </c>
      <c r="AD65" s="30" t="str">
        <f t="shared" si="8"/>
        <v>-</v>
      </c>
      <c r="AE65" s="32">
        <v>0.0</v>
      </c>
      <c r="AF65" s="32">
        <v>0.0</v>
      </c>
      <c r="AG65" s="24" t="str">
        <f t="shared" si="9"/>
        <v>-</v>
      </c>
      <c r="AH65" s="32">
        <v>0.0</v>
      </c>
      <c r="AI65" s="22" t="str">
        <f t="shared" si="10"/>
        <v>0</v>
      </c>
      <c r="AJ65" s="26"/>
      <c r="AK65" s="26"/>
      <c r="AL65" s="27">
        <f t="shared" si="11"/>
        <v>0</v>
      </c>
      <c r="AM65" s="27">
        <f t="shared" si="12"/>
        <v>1</v>
      </c>
      <c r="AN65" s="28">
        <f t="shared" si="13"/>
        <v>0</v>
      </c>
      <c r="AO65" s="27">
        <f t="shared" si="14"/>
        <v>0</v>
      </c>
      <c r="AP65" s="27">
        <f t="shared" si="15"/>
        <v>0</v>
      </c>
      <c r="AQ65" s="27" t="str">
        <f t="shared" ref="AQ65:AR65" si="78">iferror(AB65/$M65,"-")</f>
        <v>-</v>
      </c>
      <c r="AR65" s="27">
        <f t="shared" si="78"/>
        <v>0</v>
      </c>
      <c r="AS65" s="29">
        <f t="shared" si="17"/>
        <v>0</v>
      </c>
      <c r="AT65" s="29" t="str">
        <f t="shared" si="18"/>
        <v>0</v>
      </c>
      <c r="AU65" s="26"/>
      <c r="AV65" s="26"/>
      <c r="AW65" s="26"/>
      <c r="AX65" s="26"/>
    </row>
    <row r="66">
      <c r="B66" s="17">
        <v>63.0</v>
      </c>
      <c r="C66" s="18">
        <f t="shared" si="2"/>
        <v>14</v>
      </c>
      <c r="D66" s="19" t="s">
        <v>83</v>
      </c>
      <c r="E66" s="31" t="s">
        <v>97</v>
      </c>
      <c r="F66" s="31">
        <v>3.0</v>
      </c>
      <c r="G66" s="31" t="s">
        <v>47</v>
      </c>
      <c r="H66" s="31" t="s">
        <v>48</v>
      </c>
      <c r="I66" s="31">
        <v>174.0</v>
      </c>
      <c r="J66" s="31">
        <v>60.0</v>
      </c>
      <c r="K66" s="32">
        <v>17.0</v>
      </c>
      <c r="L66" s="32">
        <v>3.0</v>
      </c>
      <c r="M66" s="32">
        <v>13.0</v>
      </c>
      <c r="N66" s="32">
        <v>13.0</v>
      </c>
      <c r="O66" s="32">
        <v>0.0</v>
      </c>
      <c r="P66" s="32">
        <v>27.0</v>
      </c>
      <c r="Q66" s="32">
        <v>12.0</v>
      </c>
      <c r="R66" s="21">
        <f t="shared" si="3"/>
        <v>52</v>
      </c>
      <c r="S66" s="22">
        <f t="shared" si="4"/>
        <v>0.02</v>
      </c>
      <c r="T66" s="32">
        <v>2.0</v>
      </c>
      <c r="U66" s="32">
        <v>0.0</v>
      </c>
      <c r="V66" s="32">
        <v>2.0</v>
      </c>
      <c r="W66" s="32">
        <v>34.0</v>
      </c>
      <c r="X66" s="32">
        <v>1.0</v>
      </c>
      <c r="Y66" s="32">
        <v>3.0</v>
      </c>
      <c r="Z66" s="21">
        <f t="shared" si="5"/>
        <v>38</v>
      </c>
      <c r="AA66" s="32">
        <v>0.0</v>
      </c>
      <c r="AB66" s="21">
        <f t="shared" si="6"/>
        <v>16</v>
      </c>
      <c r="AC66" s="23">
        <f t="shared" si="7"/>
        <v>17.5</v>
      </c>
      <c r="AD66" s="21">
        <f t="shared" si="8"/>
        <v>3</v>
      </c>
      <c r="AE66" s="32">
        <v>2.0</v>
      </c>
      <c r="AF66" s="32">
        <v>1.0</v>
      </c>
      <c r="AG66" s="24">
        <f t="shared" si="9"/>
        <v>66.66666667</v>
      </c>
      <c r="AH66" s="32">
        <v>5.0</v>
      </c>
      <c r="AI66" s="22" t="str">
        <f t="shared" si="10"/>
        <v>0.38</v>
      </c>
      <c r="AJ66" s="26"/>
      <c r="AK66" s="26"/>
      <c r="AL66" s="27">
        <f t="shared" si="11"/>
        <v>1</v>
      </c>
      <c r="AM66" s="27">
        <f t="shared" si="12"/>
        <v>4</v>
      </c>
      <c r="AN66" s="28">
        <f t="shared" si="13"/>
        <v>0.25</v>
      </c>
      <c r="AO66" s="27">
        <f t="shared" si="14"/>
        <v>0.1538461538</v>
      </c>
      <c r="AP66" s="27">
        <f t="shared" si="15"/>
        <v>0.07692307692</v>
      </c>
      <c r="AQ66" s="27">
        <f t="shared" ref="AQ66:AR66" si="79">iferror(AB66/$M66,"-")</f>
        <v>1.230769231</v>
      </c>
      <c r="AR66" s="27">
        <f t="shared" si="79"/>
        <v>1.346153846</v>
      </c>
      <c r="AS66" s="29">
        <f t="shared" si="17"/>
        <v>0.07692307692</v>
      </c>
      <c r="AT66" s="29" t="str">
        <f t="shared" si="18"/>
        <v>0.38</v>
      </c>
      <c r="AU66" s="26"/>
      <c r="AV66" s="26"/>
      <c r="AW66" s="26"/>
      <c r="AX66" s="26"/>
    </row>
    <row r="67">
      <c r="B67" s="17">
        <v>64.0</v>
      </c>
      <c r="C67" s="18">
        <f t="shared" si="2"/>
        <v>15</v>
      </c>
      <c r="D67" s="19" t="s">
        <v>83</v>
      </c>
      <c r="E67" s="31" t="s">
        <v>98</v>
      </c>
      <c r="F67" s="31">
        <v>1.0</v>
      </c>
      <c r="G67" s="31" t="s">
        <v>47</v>
      </c>
      <c r="H67" s="31" t="s">
        <v>48</v>
      </c>
      <c r="I67" s="31">
        <v>187.0</v>
      </c>
      <c r="J67" s="31">
        <v>68.0</v>
      </c>
      <c r="K67" s="32">
        <v>18.0</v>
      </c>
      <c r="L67" s="32">
        <v>0.0</v>
      </c>
      <c r="M67" s="32">
        <v>0.0</v>
      </c>
      <c r="N67" s="32">
        <v>0.0</v>
      </c>
      <c r="O67" s="32">
        <v>0.0</v>
      </c>
      <c r="P67" s="32">
        <v>0.0</v>
      </c>
      <c r="Q67" s="32">
        <v>0.0</v>
      </c>
      <c r="R67" s="30" t="str">
        <f t="shared" si="3"/>
        <v>-</v>
      </c>
      <c r="S67" s="22" t="str">
        <f t="shared" si="4"/>
        <v>-</v>
      </c>
      <c r="T67" s="32">
        <v>0.0</v>
      </c>
      <c r="U67" s="32">
        <v>0.0</v>
      </c>
      <c r="V67" s="32">
        <v>0.0</v>
      </c>
      <c r="W67" s="32">
        <v>0.0</v>
      </c>
      <c r="X67" s="32">
        <v>0.0</v>
      </c>
      <c r="Y67" s="32">
        <v>0.0</v>
      </c>
      <c r="Z67" s="30" t="str">
        <f t="shared" si="5"/>
        <v>-</v>
      </c>
      <c r="AA67" s="32">
        <v>0.0</v>
      </c>
      <c r="AB67" s="30" t="str">
        <f t="shared" si="6"/>
        <v>-</v>
      </c>
      <c r="AC67" s="23">
        <f t="shared" si="7"/>
        <v>0</v>
      </c>
      <c r="AD67" s="30" t="str">
        <f t="shared" si="8"/>
        <v>-</v>
      </c>
      <c r="AE67" s="32">
        <v>0.0</v>
      </c>
      <c r="AF67" s="32">
        <v>0.0</v>
      </c>
      <c r="AG67" s="24" t="str">
        <f t="shared" si="9"/>
        <v>-</v>
      </c>
      <c r="AH67" s="32">
        <v>0.0</v>
      </c>
      <c r="AI67" s="22" t="str">
        <f t="shared" si="10"/>
        <v>-</v>
      </c>
      <c r="AJ67" s="26"/>
      <c r="AK67" s="26"/>
      <c r="AL67" s="27" t="str">
        <f t="shared" si="11"/>
        <v>-</v>
      </c>
      <c r="AM67" s="27" t="str">
        <f t="shared" si="12"/>
        <v>-</v>
      </c>
      <c r="AN67" s="28" t="str">
        <f t="shared" si="13"/>
        <v>-</v>
      </c>
      <c r="AO67" s="27" t="str">
        <f t="shared" si="14"/>
        <v>-</v>
      </c>
      <c r="AP67" s="27" t="str">
        <f t="shared" si="15"/>
        <v>-</v>
      </c>
      <c r="AQ67" s="27" t="str">
        <f t="shared" ref="AQ67:AR67" si="80">iferror(AB67/$M67,"-")</f>
        <v>-</v>
      </c>
      <c r="AR67" s="27" t="str">
        <f t="shared" si="80"/>
        <v>-</v>
      </c>
      <c r="AS67" s="29" t="str">
        <f t="shared" si="17"/>
        <v>-</v>
      </c>
      <c r="AT67" s="29" t="str">
        <f t="shared" si="18"/>
        <v>-</v>
      </c>
      <c r="AU67" s="26"/>
      <c r="AV67" s="26"/>
      <c r="AW67" s="26"/>
      <c r="AX67" s="26"/>
    </row>
    <row r="68">
      <c r="B68" s="17">
        <v>65.0</v>
      </c>
      <c r="C68" s="18">
        <f t="shared" si="2"/>
        <v>16</v>
      </c>
      <c r="D68" s="19" t="s">
        <v>83</v>
      </c>
      <c r="E68" s="31" t="s">
        <v>99</v>
      </c>
      <c r="F68" s="31">
        <v>3.0</v>
      </c>
      <c r="G68" s="31" t="s">
        <v>57</v>
      </c>
      <c r="H68" s="31" t="s">
        <v>52</v>
      </c>
      <c r="I68" s="31">
        <v>177.0</v>
      </c>
      <c r="J68" s="31">
        <v>67.0</v>
      </c>
      <c r="K68" s="32">
        <v>19.0</v>
      </c>
      <c r="L68" s="32">
        <v>3.0</v>
      </c>
      <c r="M68" s="32">
        <v>13.0</v>
      </c>
      <c r="N68" s="32">
        <v>19.0</v>
      </c>
      <c r="O68" s="32">
        <v>1.0</v>
      </c>
      <c r="P68" s="32">
        <v>21.0</v>
      </c>
      <c r="Q68" s="32">
        <v>4.0</v>
      </c>
      <c r="R68" s="21">
        <f t="shared" si="3"/>
        <v>44</v>
      </c>
      <c r="S68" s="22">
        <f t="shared" si="4"/>
        <v>0.34</v>
      </c>
      <c r="T68" s="32">
        <v>2.0</v>
      </c>
      <c r="U68" s="32">
        <v>0.0</v>
      </c>
      <c r="V68" s="32">
        <v>1.0</v>
      </c>
      <c r="W68" s="32">
        <v>40.0</v>
      </c>
      <c r="X68" s="32">
        <v>1.0</v>
      </c>
      <c r="Y68" s="32">
        <v>0.0</v>
      </c>
      <c r="Z68" s="21">
        <f t="shared" si="5"/>
        <v>41</v>
      </c>
      <c r="AA68" s="32">
        <v>0.0</v>
      </c>
      <c r="AB68" s="21">
        <f t="shared" si="6"/>
        <v>22</v>
      </c>
      <c r="AC68" s="23">
        <f t="shared" si="7"/>
        <v>22.75</v>
      </c>
      <c r="AD68" s="21">
        <f t="shared" si="8"/>
        <v>18</v>
      </c>
      <c r="AE68" s="32">
        <v>16.0</v>
      </c>
      <c r="AF68" s="32">
        <v>2.0</v>
      </c>
      <c r="AG68" s="24">
        <f t="shared" si="9"/>
        <v>88.88888889</v>
      </c>
      <c r="AH68" s="32">
        <v>13.0</v>
      </c>
      <c r="AI68" s="22" t="str">
        <f t="shared" si="10"/>
        <v>1</v>
      </c>
      <c r="AJ68" s="26"/>
      <c r="AK68" s="26"/>
      <c r="AL68" s="27">
        <f t="shared" si="11"/>
        <v>1.461538462</v>
      </c>
      <c r="AM68" s="27">
        <f t="shared" si="12"/>
        <v>3.384615385</v>
      </c>
      <c r="AN68" s="28">
        <f t="shared" si="13"/>
        <v>0.4318181818</v>
      </c>
      <c r="AO68" s="27">
        <f t="shared" si="14"/>
        <v>0.1538461538</v>
      </c>
      <c r="AP68" s="27">
        <f t="shared" si="15"/>
        <v>0.07692307692</v>
      </c>
      <c r="AQ68" s="27">
        <f t="shared" ref="AQ68:AR68" si="81">iferror(AB68/$M68,"-")</f>
        <v>1.692307692</v>
      </c>
      <c r="AR68" s="27">
        <f t="shared" si="81"/>
        <v>1.75</v>
      </c>
      <c r="AS68" s="29">
        <f t="shared" si="17"/>
        <v>0.1538461538</v>
      </c>
      <c r="AT68" s="29" t="str">
        <f t="shared" si="18"/>
        <v>1</v>
      </c>
      <c r="AU68" s="26"/>
      <c r="AV68" s="26"/>
      <c r="AW68" s="26"/>
      <c r="AX68" s="26"/>
    </row>
    <row r="69">
      <c r="B69" s="17">
        <v>66.0</v>
      </c>
      <c r="C69" s="18">
        <f t="shared" si="2"/>
        <v>1</v>
      </c>
      <c r="D69" s="19" t="s">
        <v>201</v>
      </c>
      <c r="E69" s="31" t="s">
        <v>202</v>
      </c>
      <c r="F69" s="31">
        <v>1.0</v>
      </c>
      <c r="G69" s="31" t="s">
        <v>57</v>
      </c>
      <c r="H69" s="31" t="s">
        <v>48</v>
      </c>
      <c r="I69" s="31">
        <v>173.0</v>
      </c>
      <c r="J69" s="31">
        <v>64.0</v>
      </c>
      <c r="K69" s="32">
        <v>1.0</v>
      </c>
      <c r="L69" s="32">
        <v>3.0</v>
      </c>
      <c r="M69" s="32">
        <v>9.0</v>
      </c>
      <c r="N69" s="32">
        <v>25.0</v>
      </c>
      <c r="O69" s="32">
        <v>1.0</v>
      </c>
      <c r="P69" s="32">
        <v>32.0</v>
      </c>
      <c r="Q69" s="32">
        <v>8.0</v>
      </c>
      <c r="R69" s="21">
        <f t="shared" si="3"/>
        <v>65</v>
      </c>
      <c r="S69" s="22">
        <f t="shared" si="4"/>
        <v>0.26</v>
      </c>
      <c r="T69" s="32">
        <v>4.0</v>
      </c>
      <c r="U69" s="32">
        <v>0.0</v>
      </c>
      <c r="V69" s="32">
        <v>2.0</v>
      </c>
      <c r="W69" s="32">
        <v>24.0</v>
      </c>
      <c r="X69" s="32">
        <v>0.0</v>
      </c>
      <c r="Y69" s="32">
        <v>0.0</v>
      </c>
      <c r="Z69" s="21">
        <f t="shared" si="5"/>
        <v>24</v>
      </c>
      <c r="AA69" s="32">
        <v>2.0</v>
      </c>
      <c r="AB69" s="21">
        <f t="shared" si="6"/>
        <v>29</v>
      </c>
      <c r="AC69" s="23">
        <f t="shared" si="7"/>
        <v>30.5</v>
      </c>
      <c r="AD69" s="21">
        <f t="shared" si="8"/>
        <v>39</v>
      </c>
      <c r="AE69" s="32">
        <v>33.0</v>
      </c>
      <c r="AF69" s="32">
        <v>6.0</v>
      </c>
      <c r="AG69" s="24">
        <f t="shared" si="9"/>
        <v>84.61538462</v>
      </c>
      <c r="AH69" s="32">
        <v>18.0</v>
      </c>
      <c r="AI69" s="22" t="str">
        <f t="shared" si="10"/>
        <v>2</v>
      </c>
      <c r="AJ69" s="26"/>
      <c r="AK69" s="26"/>
      <c r="AL69" s="27">
        <f t="shared" si="11"/>
        <v>2.777777778</v>
      </c>
      <c r="AM69" s="27">
        <f t="shared" si="12"/>
        <v>7.222222222</v>
      </c>
      <c r="AN69" s="28">
        <f t="shared" si="13"/>
        <v>0.3846153846</v>
      </c>
      <c r="AO69" s="27">
        <f t="shared" si="14"/>
        <v>0.4444444444</v>
      </c>
      <c r="AP69" s="27">
        <f t="shared" si="15"/>
        <v>0</v>
      </c>
      <c r="AQ69" s="27">
        <f t="shared" ref="AQ69:AR69" si="82">iferror(AB69/$M69,"-")</f>
        <v>3.222222222</v>
      </c>
      <c r="AR69" s="27">
        <f t="shared" si="82"/>
        <v>3.388888889</v>
      </c>
      <c r="AS69" s="29">
        <f t="shared" si="17"/>
        <v>0.6666666667</v>
      </c>
      <c r="AT69" s="29" t="str">
        <f t="shared" si="18"/>
        <v>2</v>
      </c>
      <c r="AU69" s="26"/>
      <c r="AV69" s="26"/>
      <c r="AW69" s="26"/>
      <c r="AX69" s="26"/>
    </row>
    <row r="70">
      <c r="B70" s="17">
        <v>67.0</v>
      </c>
      <c r="C70" s="18">
        <f t="shared" si="2"/>
        <v>2</v>
      </c>
      <c r="D70" s="19" t="s">
        <v>201</v>
      </c>
      <c r="E70" s="31" t="s">
        <v>203</v>
      </c>
      <c r="F70" s="31">
        <v>1.0</v>
      </c>
      <c r="G70" s="31" t="s">
        <v>54</v>
      </c>
      <c r="H70" s="31" t="s">
        <v>48</v>
      </c>
      <c r="I70" s="31">
        <v>170.0</v>
      </c>
      <c r="J70" s="31">
        <v>58.0</v>
      </c>
      <c r="K70" s="32">
        <v>3.0</v>
      </c>
      <c r="L70" s="32">
        <v>3.0</v>
      </c>
      <c r="M70" s="32">
        <v>9.0</v>
      </c>
      <c r="N70" s="32">
        <v>4.0</v>
      </c>
      <c r="O70" s="32">
        <v>93.0</v>
      </c>
      <c r="P70" s="32">
        <v>2.0</v>
      </c>
      <c r="Q70" s="32">
        <v>1.0</v>
      </c>
      <c r="R70" s="21">
        <f t="shared" si="3"/>
        <v>7</v>
      </c>
      <c r="S70" s="22">
        <f t="shared" si="4"/>
        <v>0.43</v>
      </c>
      <c r="T70" s="32">
        <v>0.0</v>
      </c>
      <c r="U70" s="32">
        <v>0.0</v>
      </c>
      <c r="V70" s="32">
        <v>1.0</v>
      </c>
      <c r="W70" s="32">
        <v>29.0</v>
      </c>
      <c r="X70" s="32">
        <v>3.0</v>
      </c>
      <c r="Y70" s="32">
        <v>1.0</v>
      </c>
      <c r="Z70" s="21">
        <f t="shared" si="5"/>
        <v>33</v>
      </c>
      <c r="AA70" s="32">
        <v>1.0</v>
      </c>
      <c r="AB70" s="21">
        <f t="shared" si="6"/>
        <v>7</v>
      </c>
      <c r="AC70" s="23">
        <f t="shared" si="7"/>
        <v>7.75</v>
      </c>
      <c r="AD70" s="21">
        <f t="shared" si="8"/>
        <v>2</v>
      </c>
      <c r="AE70" s="32">
        <v>1.0</v>
      </c>
      <c r="AF70" s="32">
        <v>1.0</v>
      </c>
      <c r="AG70" s="24">
        <f t="shared" si="9"/>
        <v>50</v>
      </c>
      <c r="AH70" s="32">
        <v>12.0</v>
      </c>
      <c r="AI70" s="22" t="str">
        <f t="shared" si="10"/>
        <v>1.33</v>
      </c>
      <c r="AJ70" s="26"/>
      <c r="AK70" s="26"/>
      <c r="AL70" s="27">
        <f t="shared" si="11"/>
        <v>0.4444444444</v>
      </c>
      <c r="AM70" s="27">
        <f t="shared" si="12"/>
        <v>0.7777777778</v>
      </c>
      <c r="AN70" s="28">
        <f t="shared" si="13"/>
        <v>0.5714285714</v>
      </c>
      <c r="AO70" s="27">
        <f t="shared" si="14"/>
        <v>0</v>
      </c>
      <c r="AP70" s="27">
        <f t="shared" si="15"/>
        <v>0.3333333333</v>
      </c>
      <c r="AQ70" s="27">
        <f t="shared" ref="AQ70:AR70" si="83">iferror(AB70/$M70,"-")</f>
        <v>0.7777777778</v>
      </c>
      <c r="AR70" s="27">
        <f t="shared" si="83"/>
        <v>0.8611111111</v>
      </c>
      <c r="AS70" s="29">
        <f t="shared" si="17"/>
        <v>0.1111111111</v>
      </c>
      <c r="AT70" s="29" t="str">
        <f t="shared" si="18"/>
        <v>1.33</v>
      </c>
      <c r="AU70" s="26"/>
      <c r="AV70" s="26"/>
      <c r="AW70" s="26"/>
      <c r="AX70" s="26"/>
    </row>
    <row r="71">
      <c r="B71" s="17">
        <v>68.0</v>
      </c>
      <c r="C71" s="18">
        <f t="shared" si="2"/>
        <v>3</v>
      </c>
      <c r="D71" s="19" t="s">
        <v>201</v>
      </c>
      <c r="E71" s="31" t="s">
        <v>204</v>
      </c>
      <c r="F71" s="31">
        <v>1.0</v>
      </c>
      <c r="G71" s="31" t="s">
        <v>52</v>
      </c>
      <c r="H71" s="31" t="s">
        <v>47</v>
      </c>
      <c r="I71" s="31">
        <v>176.0</v>
      </c>
      <c r="J71" s="31">
        <v>65.0</v>
      </c>
      <c r="K71" s="32">
        <v>4.0</v>
      </c>
      <c r="L71" s="32">
        <v>3.0</v>
      </c>
      <c r="M71" s="32">
        <v>9.0</v>
      </c>
      <c r="N71" s="32">
        <v>16.0</v>
      </c>
      <c r="O71" s="32">
        <v>0.0</v>
      </c>
      <c r="P71" s="32">
        <v>24.0</v>
      </c>
      <c r="Q71" s="32">
        <v>10.0</v>
      </c>
      <c r="R71" s="21">
        <f t="shared" si="3"/>
        <v>50</v>
      </c>
      <c r="S71" s="22">
        <f t="shared" si="4"/>
        <v>0.12</v>
      </c>
      <c r="T71" s="32">
        <v>1.0</v>
      </c>
      <c r="U71" s="32">
        <v>0.0</v>
      </c>
      <c r="V71" s="32">
        <v>1.0</v>
      </c>
      <c r="W71" s="32">
        <v>31.0</v>
      </c>
      <c r="X71" s="32">
        <v>5.0</v>
      </c>
      <c r="Y71" s="32">
        <v>3.0</v>
      </c>
      <c r="Z71" s="21">
        <f t="shared" si="5"/>
        <v>39</v>
      </c>
      <c r="AA71" s="32">
        <v>2.0</v>
      </c>
      <c r="AB71" s="21">
        <f t="shared" si="6"/>
        <v>22</v>
      </c>
      <c r="AC71" s="23">
        <f t="shared" si="7"/>
        <v>22.75</v>
      </c>
      <c r="AD71" s="21">
        <f t="shared" si="8"/>
        <v>32</v>
      </c>
      <c r="AE71" s="32">
        <v>26.0</v>
      </c>
      <c r="AF71" s="32">
        <v>6.0</v>
      </c>
      <c r="AG71" s="24">
        <f t="shared" si="9"/>
        <v>81.25</v>
      </c>
      <c r="AH71" s="32">
        <v>19.0</v>
      </c>
      <c r="AI71" s="22" t="str">
        <f t="shared" si="10"/>
        <v>2.11</v>
      </c>
      <c r="AJ71" s="26"/>
      <c r="AK71" s="26"/>
      <c r="AL71" s="27">
        <f t="shared" si="11"/>
        <v>1.777777778</v>
      </c>
      <c r="AM71" s="27">
        <f t="shared" si="12"/>
        <v>5.555555556</v>
      </c>
      <c r="AN71" s="28">
        <f t="shared" si="13"/>
        <v>0.32</v>
      </c>
      <c r="AO71" s="27">
        <f t="shared" si="14"/>
        <v>0.1111111111</v>
      </c>
      <c r="AP71" s="27">
        <f t="shared" si="15"/>
        <v>0.5555555556</v>
      </c>
      <c r="AQ71" s="27">
        <f t="shared" ref="AQ71:AR71" si="84">iferror(AB71/$M71,"-")</f>
        <v>2.444444444</v>
      </c>
      <c r="AR71" s="27">
        <f t="shared" si="84"/>
        <v>2.527777778</v>
      </c>
      <c r="AS71" s="29">
        <f t="shared" si="17"/>
        <v>0.6666666667</v>
      </c>
      <c r="AT71" s="29" t="str">
        <f t="shared" si="18"/>
        <v>2.11</v>
      </c>
      <c r="AU71" s="26"/>
      <c r="AV71" s="26"/>
      <c r="AW71" s="26"/>
      <c r="AX71" s="26"/>
    </row>
    <row r="72">
      <c r="B72" s="17">
        <v>69.0</v>
      </c>
      <c r="C72" s="18">
        <f t="shared" si="2"/>
        <v>4</v>
      </c>
      <c r="D72" s="19" t="s">
        <v>201</v>
      </c>
      <c r="E72" s="31" t="s">
        <v>205</v>
      </c>
      <c r="F72" s="31">
        <v>2.0</v>
      </c>
      <c r="G72" s="31" t="s">
        <v>52</v>
      </c>
      <c r="H72" s="31" t="s">
        <v>48</v>
      </c>
      <c r="I72" s="31">
        <v>176.0</v>
      </c>
      <c r="J72" s="31">
        <v>60.0</v>
      </c>
      <c r="K72" s="32">
        <v>7.0</v>
      </c>
      <c r="L72" s="32">
        <v>3.0</v>
      </c>
      <c r="M72" s="32">
        <v>9.0</v>
      </c>
      <c r="N72" s="32">
        <v>37.0</v>
      </c>
      <c r="O72" s="32">
        <v>0.0</v>
      </c>
      <c r="P72" s="32">
        <v>44.0</v>
      </c>
      <c r="Q72" s="32">
        <v>11.0</v>
      </c>
      <c r="R72" s="21">
        <f t="shared" si="3"/>
        <v>92</v>
      </c>
      <c r="S72" s="22">
        <f t="shared" si="4"/>
        <v>0.28</v>
      </c>
      <c r="T72" s="32">
        <v>1.0</v>
      </c>
      <c r="U72" s="32">
        <v>0.0</v>
      </c>
      <c r="V72" s="32">
        <v>0.0</v>
      </c>
      <c r="W72" s="32">
        <v>36.0</v>
      </c>
      <c r="X72" s="32">
        <v>7.0</v>
      </c>
      <c r="Y72" s="32">
        <v>5.0</v>
      </c>
      <c r="Z72" s="21">
        <f t="shared" si="5"/>
        <v>48</v>
      </c>
      <c r="AA72" s="32">
        <v>0.0</v>
      </c>
      <c r="AB72" s="21">
        <f t="shared" si="6"/>
        <v>45</v>
      </c>
      <c r="AC72" s="23">
        <f t="shared" si="7"/>
        <v>45</v>
      </c>
      <c r="AD72" s="21">
        <f t="shared" si="8"/>
        <v>63</v>
      </c>
      <c r="AE72" s="32">
        <v>58.0</v>
      </c>
      <c r="AF72" s="32">
        <v>5.0</v>
      </c>
      <c r="AG72" s="24">
        <f t="shared" si="9"/>
        <v>92.06349206</v>
      </c>
      <c r="AH72" s="32">
        <v>32.0</v>
      </c>
      <c r="AI72" s="22" t="str">
        <f t="shared" si="10"/>
        <v>3.56</v>
      </c>
      <c r="AJ72" s="26"/>
      <c r="AK72" s="26"/>
      <c r="AL72" s="27">
        <f t="shared" si="11"/>
        <v>4.111111111</v>
      </c>
      <c r="AM72" s="27">
        <f t="shared" si="12"/>
        <v>10.22222222</v>
      </c>
      <c r="AN72" s="28">
        <f t="shared" si="13"/>
        <v>0.402173913</v>
      </c>
      <c r="AO72" s="27">
        <f t="shared" si="14"/>
        <v>0.1111111111</v>
      </c>
      <c r="AP72" s="27">
        <f t="shared" si="15"/>
        <v>0.7777777778</v>
      </c>
      <c r="AQ72" s="27">
        <f t="shared" ref="AQ72:AR72" si="85">iferror(AB72/$M72,"-")</f>
        <v>5</v>
      </c>
      <c r="AR72" s="27">
        <f t="shared" si="85"/>
        <v>5</v>
      </c>
      <c r="AS72" s="29">
        <f t="shared" si="17"/>
        <v>0.5555555556</v>
      </c>
      <c r="AT72" s="29" t="str">
        <f t="shared" si="18"/>
        <v>3.56</v>
      </c>
      <c r="AU72" s="26"/>
      <c r="AV72" s="26"/>
      <c r="AW72" s="26"/>
      <c r="AX72" s="26"/>
    </row>
    <row r="73">
      <c r="B73" s="17">
        <v>70.0</v>
      </c>
      <c r="C73" s="18">
        <f t="shared" si="2"/>
        <v>5</v>
      </c>
      <c r="D73" s="19" t="s">
        <v>201</v>
      </c>
      <c r="E73" s="31" t="s">
        <v>206</v>
      </c>
      <c r="F73" s="31">
        <v>1.0</v>
      </c>
      <c r="G73" s="31" t="s">
        <v>52</v>
      </c>
      <c r="H73" s="31" t="s">
        <v>50</v>
      </c>
      <c r="I73" s="31">
        <v>160.0</v>
      </c>
      <c r="J73" s="31">
        <v>51.0</v>
      </c>
      <c r="K73" s="32">
        <v>10.0</v>
      </c>
      <c r="L73" s="32">
        <v>3.0</v>
      </c>
      <c r="M73" s="32">
        <v>9.0</v>
      </c>
      <c r="N73" s="32">
        <v>0.0</v>
      </c>
      <c r="O73" s="32">
        <v>4.0</v>
      </c>
      <c r="P73" s="32">
        <v>4.0</v>
      </c>
      <c r="Q73" s="32">
        <v>0.0</v>
      </c>
      <c r="R73" s="21">
        <f t="shared" si="3"/>
        <v>4</v>
      </c>
      <c r="S73" s="22" t="str">
        <f t="shared" si="4"/>
        <v>-</v>
      </c>
      <c r="T73" s="32">
        <v>0.0</v>
      </c>
      <c r="U73" s="32">
        <v>1.0</v>
      </c>
      <c r="V73" s="32">
        <v>1.0</v>
      </c>
      <c r="W73" s="32">
        <v>23.0</v>
      </c>
      <c r="X73" s="32">
        <v>1.0</v>
      </c>
      <c r="Y73" s="32">
        <v>1.0</v>
      </c>
      <c r="Z73" s="21">
        <f t="shared" si="5"/>
        <v>25</v>
      </c>
      <c r="AA73" s="32">
        <v>1.0</v>
      </c>
      <c r="AB73" s="21">
        <f t="shared" si="6"/>
        <v>1</v>
      </c>
      <c r="AC73" s="23">
        <f t="shared" si="7"/>
        <v>1.75</v>
      </c>
      <c r="AD73" s="21">
        <f t="shared" si="8"/>
        <v>25</v>
      </c>
      <c r="AE73" s="32">
        <v>22.0</v>
      </c>
      <c r="AF73" s="32">
        <v>3.0</v>
      </c>
      <c r="AG73" s="24">
        <f t="shared" si="9"/>
        <v>88</v>
      </c>
      <c r="AH73" s="32">
        <v>18.0</v>
      </c>
      <c r="AI73" s="22" t="str">
        <f t="shared" si="10"/>
        <v>2</v>
      </c>
      <c r="AJ73" s="26"/>
      <c r="AK73" s="26"/>
      <c r="AL73" s="27">
        <f t="shared" si="11"/>
        <v>0</v>
      </c>
      <c r="AM73" s="27">
        <f t="shared" si="12"/>
        <v>0.4444444444</v>
      </c>
      <c r="AN73" s="28">
        <f t="shared" si="13"/>
        <v>0</v>
      </c>
      <c r="AO73" s="27">
        <f t="shared" si="14"/>
        <v>0</v>
      </c>
      <c r="AP73" s="27">
        <f t="shared" si="15"/>
        <v>0.1111111111</v>
      </c>
      <c r="AQ73" s="27">
        <f t="shared" ref="AQ73:AR73" si="86">iferror(AB73/$M73,"-")</f>
        <v>0.1111111111</v>
      </c>
      <c r="AR73" s="27">
        <f t="shared" si="86"/>
        <v>0.1944444444</v>
      </c>
      <c r="AS73" s="29">
        <f t="shared" si="17"/>
        <v>0.3333333333</v>
      </c>
      <c r="AT73" s="29" t="str">
        <f t="shared" si="18"/>
        <v>2</v>
      </c>
      <c r="AU73" s="26"/>
      <c r="AV73" s="26"/>
      <c r="AW73" s="26"/>
      <c r="AX73" s="26"/>
    </row>
    <row r="74">
      <c r="B74" s="17">
        <v>71.0</v>
      </c>
      <c r="C74" s="18">
        <f t="shared" si="2"/>
        <v>6</v>
      </c>
      <c r="D74" s="19" t="s">
        <v>201</v>
      </c>
      <c r="E74" s="31" t="s">
        <v>207</v>
      </c>
      <c r="F74" s="31">
        <v>1.0</v>
      </c>
      <c r="G74" s="31" t="s">
        <v>47</v>
      </c>
      <c r="H74" s="31" t="s">
        <v>48</v>
      </c>
      <c r="I74" s="31">
        <v>183.0</v>
      </c>
      <c r="J74" s="31">
        <v>85.0</v>
      </c>
      <c r="K74" s="32">
        <v>15.0</v>
      </c>
      <c r="L74" s="32">
        <v>3.0</v>
      </c>
      <c r="M74" s="32">
        <v>9.0</v>
      </c>
      <c r="N74" s="32">
        <v>27.0</v>
      </c>
      <c r="O74" s="32">
        <v>3.0</v>
      </c>
      <c r="P74" s="32">
        <v>15.0</v>
      </c>
      <c r="Q74" s="32">
        <v>7.0</v>
      </c>
      <c r="R74" s="21">
        <f t="shared" si="3"/>
        <v>49</v>
      </c>
      <c r="S74" s="22">
        <f t="shared" si="4"/>
        <v>0.41</v>
      </c>
      <c r="T74" s="32">
        <v>2.0</v>
      </c>
      <c r="U74" s="32">
        <v>0.0</v>
      </c>
      <c r="V74" s="32">
        <v>2.0</v>
      </c>
      <c r="W74" s="32">
        <v>20.0</v>
      </c>
      <c r="X74" s="32">
        <v>2.0</v>
      </c>
      <c r="Y74" s="32">
        <v>5.0</v>
      </c>
      <c r="Z74" s="21">
        <f t="shared" si="5"/>
        <v>27</v>
      </c>
      <c r="AA74" s="32">
        <v>0.0</v>
      </c>
      <c r="AB74" s="21">
        <f t="shared" si="6"/>
        <v>31</v>
      </c>
      <c r="AC74" s="23">
        <f t="shared" si="7"/>
        <v>32.5</v>
      </c>
      <c r="AD74" s="21">
        <f t="shared" si="8"/>
        <v>8</v>
      </c>
      <c r="AE74" s="32">
        <v>5.0</v>
      </c>
      <c r="AF74" s="32">
        <v>3.0</v>
      </c>
      <c r="AG74" s="24">
        <f t="shared" si="9"/>
        <v>62.5</v>
      </c>
      <c r="AH74" s="32">
        <v>16.0</v>
      </c>
      <c r="AI74" s="22" t="str">
        <f t="shared" si="10"/>
        <v>1.78</v>
      </c>
      <c r="AJ74" s="26"/>
      <c r="AK74" s="26"/>
      <c r="AL74" s="27">
        <f t="shared" si="11"/>
        <v>3</v>
      </c>
      <c r="AM74" s="27">
        <f t="shared" si="12"/>
        <v>5.444444444</v>
      </c>
      <c r="AN74" s="28">
        <f t="shared" si="13"/>
        <v>0.5510204082</v>
      </c>
      <c r="AO74" s="27">
        <f t="shared" si="14"/>
        <v>0.2222222222</v>
      </c>
      <c r="AP74" s="27">
        <f t="shared" si="15"/>
        <v>0.2222222222</v>
      </c>
      <c r="AQ74" s="27">
        <f t="shared" ref="AQ74:AR74" si="87">iferror(AB74/$M74,"-")</f>
        <v>3.444444444</v>
      </c>
      <c r="AR74" s="27">
        <f t="shared" si="87"/>
        <v>3.611111111</v>
      </c>
      <c r="AS74" s="29">
        <f t="shared" si="17"/>
        <v>0.3333333333</v>
      </c>
      <c r="AT74" s="29" t="str">
        <f t="shared" si="18"/>
        <v>1.78</v>
      </c>
      <c r="AU74" s="26"/>
      <c r="AV74" s="26"/>
      <c r="AW74" s="26"/>
      <c r="AX74" s="26"/>
    </row>
    <row r="75">
      <c r="B75" s="17">
        <v>72.0</v>
      </c>
      <c r="C75" s="18">
        <f t="shared" si="2"/>
        <v>1</v>
      </c>
      <c r="D75" s="19" t="s">
        <v>162</v>
      </c>
      <c r="E75" s="31" t="s">
        <v>163</v>
      </c>
      <c r="F75" s="31">
        <v>1.0</v>
      </c>
      <c r="G75" s="31" t="s">
        <v>57</v>
      </c>
      <c r="H75" s="31" t="s">
        <v>52</v>
      </c>
      <c r="I75" s="31">
        <v>170.0</v>
      </c>
      <c r="J75" s="31">
        <v>45.0</v>
      </c>
      <c r="K75" s="32">
        <v>1.0</v>
      </c>
      <c r="L75" s="32">
        <v>3.0</v>
      </c>
      <c r="M75" s="32">
        <v>8.0</v>
      </c>
      <c r="N75" s="32">
        <v>6.0</v>
      </c>
      <c r="O75" s="32">
        <v>0.0</v>
      </c>
      <c r="P75" s="32">
        <v>7.0</v>
      </c>
      <c r="Q75" s="32">
        <v>4.0</v>
      </c>
      <c r="R75" s="21">
        <f t="shared" si="3"/>
        <v>17</v>
      </c>
      <c r="S75" s="22">
        <f t="shared" si="4"/>
        <v>0.12</v>
      </c>
      <c r="T75" s="32">
        <v>2.0</v>
      </c>
      <c r="U75" s="32">
        <v>0.0</v>
      </c>
      <c r="V75" s="32">
        <v>2.0</v>
      </c>
      <c r="W75" s="32">
        <v>13.0</v>
      </c>
      <c r="X75" s="32">
        <v>0.0</v>
      </c>
      <c r="Y75" s="32">
        <v>4.0</v>
      </c>
      <c r="Z75" s="21">
        <f t="shared" si="5"/>
        <v>17</v>
      </c>
      <c r="AA75" s="32">
        <v>1.0</v>
      </c>
      <c r="AB75" s="21">
        <f t="shared" si="6"/>
        <v>8</v>
      </c>
      <c r="AC75" s="23">
        <f t="shared" si="7"/>
        <v>9.5</v>
      </c>
      <c r="AD75" s="21">
        <f t="shared" si="8"/>
        <v>4</v>
      </c>
      <c r="AE75" s="32">
        <v>2.0</v>
      </c>
      <c r="AF75" s="32">
        <v>2.0</v>
      </c>
      <c r="AG75" s="24">
        <f t="shared" si="9"/>
        <v>50</v>
      </c>
      <c r="AH75" s="32">
        <v>6.0</v>
      </c>
      <c r="AI75" s="22" t="str">
        <f t="shared" si="10"/>
        <v>0.75</v>
      </c>
      <c r="AJ75" s="26"/>
      <c r="AK75" s="26"/>
      <c r="AL75" s="27">
        <f t="shared" si="11"/>
        <v>0.75</v>
      </c>
      <c r="AM75" s="27">
        <f t="shared" si="12"/>
        <v>2.125</v>
      </c>
      <c r="AN75" s="28">
        <f t="shared" si="13"/>
        <v>0.3529411765</v>
      </c>
      <c r="AO75" s="27">
        <f t="shared" si="14"/>
        <v>0.25</v>
      </c>
      <c r="AP75" s="27">
        <f t="shared" si="15"/>
        <v>0</v>
      </c>
      <c r="AQ75" s="27">
        <f t="shared" ref="AQ75:AR75" si="88">iferror(AB75/$M75,"-")</f>
        <v>1</v>
      </c>
      <c r="AR75" s="27">
        <f t="shared" si="88"/>
        <v>1.1875</v>
      </c>
      <c r="AS75" s="29">
        <f t="shared" si="17"/>
        <v>0.25</v>
      </c>
      <c r="AT75" s="29" t="str">
        <f t="shared" si="18"/>
        <v>0.75</v>
      </c>
      <c r="AU75" s="26"/>
      <c r="AV75" s="26"/>
      <c r="AW75" s="26"/>
      <c r="AX75" s="26"/>
    </row>
    <row r="76">
      <c r="B76" s="17">
        <v>73.0</v>
      </c>
      <c r="C76" s="18">
        <f t="shared" si="2"/>
        <v>2</v>
      </c>
      <c r="D76" s="19" t="s">
        <v>162</v>
      </c>
      <c r="E76" s="31" t="s">
        <v>164</v>
      </c>
      <c r="F76" s="31">
        <v>2.0</v>
      </c>
      <c r="G76" s="31" t="s">
        <v>47</v>
      </c>
      <c r="H76" s="31" t="s">
        <v>52</v>
      </c>
      <c r="I76" s="31">
        <v>175.0</v>
      </c>
      <c r="J76" s="31">
        <v>62.0</v>
      </c>
      <c r="K76" s="32">
        <v>2.0</v>
      </c>
      <c r="L76" s="32">
        <v>3.0</v>
      </c>
      <c r="M76" s="32">
        <v>9.0</v>
      </c>
      <c r="N76" s="32">
        <v>14.0</v>
      </c>
      <c r="O76" s="32">
        <v>1.0</v>
      </c>
      <c r="P76" s="32">
        <v>26.0</v>
      </c>
      <c r="Q76" s="32">
        <v>12.0</v>
      </c>
      <c r="R76" s="21">
        <f t="shared" si="3"/>
        <v>52</v>
      </c>
      <c r="S76" s="22">
        <f t="shared" si="4"/>
        <v>0.04</v>
      </c>
      <c r="T76" s="32">
        <v>1.0</v>
      </c>
      <c r="U76" s="32">
        <v>1.0</v>
      </c>
      <c r="V76" s="32">
        <v>2.0</v>
      </c>
      <c r="W76" s="32">
        <v>9.0</v>
      </c>
      <c r="X76" s="32">
        <v>2.0</v>
      </c>
      <c r="Y76" s="32">
        <v>9.0</v>
      </c>
      <c r="Z76" s="21">
        <f t="shared" si="5"/>
        <v>20</v>
      </c>
      <c r="AA76" s="32">
        <v>1.0</v>
      </c>
      <c r="AB76" s="21">
        <f t="shared" si="6"/>
        <v>17</v>
      </c>
      <c r="AC76" s="23">
        <f t="shared" si="7"/>
        <v>18.5</v>
      </c>
      <c r="AD76" s="21">
        <f t="shared" si="8"/>
        <v>6</v>
      </c>
      <c r="AE76" s="32">
        <v>4.0</v>
      </c>
      <c r="AF76" s="32">
        <v>2.0</v>
      </c>
      <c r="AG76" s="24">
        <f t="shared" si="9"/>
        <v>66.66666667</v>
      </c>
      <c r="AH76" s="32">
        <v>4.0</v>
      </c>
      <c r="AI76" s="22" t="str">
        <f t="shared" si="10"/>
        <v>0.44</v>
      </c>
      <c r="AJ76" s="26"/>
      <c r="AK76" s="26"/>
      <c r="AL76" s="27">
        <f t="shared" si="11"/>
        <v>1.555555556</v>
      </c>
      <c r="AM76" s="27">
        <f t="shared" si="12"/>
        <v>5.777777778</v>
      </c>
      <c r="AN76" s="28">
        <f t="shared" si="13"/>
        <v>0.2692307692</v>
      </c>
      <c r="AO76" s="27">
        <f t="shared" si="14"/>
        <v>0.1111111111</v>
      </c>
      <c r="AP76" s="27">
        <f t="shared" si="15"/>
        <v>0.2222222222</v>
      </c>
      <c r="AQ76" s="27">
        <f t="shared" ref="AQ76:AR76" si="89">iferror(AB76/$M76,"-")</f>
        <v>1.888888889</v>
      </c>
      <c r="AR76" s="27">
        <f t="shared" si="89"/>
        <v>2.055555556</v>
      </c>
      <c r="AS76" s="29">
        <f t="shared" si="17"/>
        <v>0.2222222222</v>
      </c>
      <c r="AT76" s="29" t="str">
        <f t="shared" si="18"/>
        <v>0.44</v>
      </c>
      <c r="AU76" s="26"/>
      <c r="AV76" s="26"/>
      <c r="AW76" s="26"/>
      <c r="AX76" s="26"/>
    </row>
    <row r="77">
      <c r="B77" s="17">
        <v>74.0</v>
      </c>
      <c r="C77" s="18">
        <f t="shared" si="2"/>
        <v>3</v>
      </c>
      <c r="D77" s="19" t="s">
        <v>162</v>
      </c>
      <c r="E77" s="31" t="s">
        <v>165</v>
      </c>
      <c r="F77" s="31">
        <v>2.0</v>
      </c>
      <c r="G77" s="31" t="s">
        <v>52</v>
      </c>
      <c r="H77" s="31" t="s">
        <v>57</v>
      </c>
      <c r="I77" s="31">
        <v>175.0</v>
      </c>
      <c r="J77" s="31">
        <v>65.0</v>
      </c>
      <c r="K77" s="32">
        <v>4.0</v>
      </c>
      <c r="L77" s="32">
        <v>3.0</v>
      </c>
      <c r="M77" s="32">
        <v>9.0</v>
      </c>
      <c r="N77" s="32">
        <v>13.0</v>
      </c>
      <c r="O77" s="32">
        <v>0.0</v>
      </c>
      <c r="P77" s="32">
        <v>32.0</v>
      </c>
      <c r="Q77" s="32">
        <v>10.0</v>
      </c>
      <c r="R77" s="21">
        <f t="shared" si="3"/>
        <v>55</v>
      </c>
      <c r="S77" s="22">
        <f t="shared" si="4"/>
        <v>0.05</v>
      </c>
      <c r="T77" s="32">
        <v>1.0</v>
      </c>
      <c r="U77" s="32">
        <v>0.0</v>
      </c>
      <c r="V77" s="32">
        <v>0.0</v>
      </c>
      <c r="W77" s="32">
        <v>13.0</v>
      </c>
      <c r="X77" s="32">
        <v>0.0</v>
      </c>
      <c r="Y77" s="32">
        <v>5.0</v>
      </c>
      <c r="Z77" s="21">
        <f t="shared" si="5"/>
        <v>18</v>
      </c>
      <c r="AA77" s="32">
        <v>0.0</v>
      </c>
      <c r="AB77" s="21">
        <f t="shared" si="6"/>
        <v>14</v>
      </c>
      <c r="AC77" s="23">
        <f t="shared" si="7"/>
        <v>14</v>
      </c>
      <c r="AD77" s="21">
        <f t="shared" si="8"/>
        <v>34</v>
      </c>
      <c r="AE77" s="32">
        <v>32.0</v>
      </c>
      <c r="AF77" s="32">
        <v>2.0</v>
      </c>
      <c r="AG77" s="24">
        <f t="shared" si="9"/>
        <v>94.11764706</v>
      </c>
      <c r="AH77" s="32">
        <v>5.0</v>
      </c>
      <c r="AI77" s="22" t="str">
        <f t="shared" si="10"/>
        <v>0.56</v>
      </c>
      <c r="AJ77" s="26"/>
      <c r="AK77" s="26"/>
      <c r="AL77" s="27">
        <f t="shared" si="11"/>
        <v>1.444444444</v>
      </c>
      <c r="AM77" s="27">
        <f t="shared" si="12"/>
        <v>6.111111111</v>
      </c>
      <c r="AN77" s="28">
        <f t="shared" si="13"/>
        <v>0.2363636364</v>
      </c>
      <c r="AO77" s="27">
        <f t="shared" si="14"/>
        <v>0.1111111111</v>
      </c>
      <c r="AP77" s="27">
        <f t="shared" si="15"/>
        <v>0</v>
      </c>
      <c r="AQ77" s="27">
        <f t="shared" ref="AQ77:AR77" si="90">iferror(AB77/$M77,"-")</f>
        <v>1.555555556</v>
      </c>
      <c r="AR77" s="27">
        <f t="shared" si="90"/>
        <v>1.555555556</v>
      </c>
      <c r="AS77" s="29">
        <f t="shared" si="17"/>
        <v>0.2222222222</v>
      </c>
      <c r="AT77" s="29" t="str">
        <f t="shared" si="18"/>
        <v>0.56</v>
      </c>
      <c r="AU77" s="26"/>
      <c r="AV77" s="26"/>
      <c r="AW77" s="26"/>
      <c r="AX77" s="26"/>
    </row>
    <row r="78">
      <c r="B78" s="17">
        <v>75.0</v>
      </c>
      <c r="C78" s="18">
        <f t="shared" si="2"/>
        <v>4</v>
      </c>
      <c r="D78" s="19" t="s">
        <v>162</v>
      </c>
      <c r="E78" s="31" t="s">
        <v>166</v>
      </c>
      <c r="F78" s="31">
        <v>2.0</v>
      </c>
      <c r="G78" s="31" t="s">
        <v>52</v>
      </c>
      <c r="H78" s="31" t="s">
        <v>50</v>
      </c>
      <c r="I78" s="31">
        <v>168.0</v>
      </c>
      <c r="J78" s="31">
        <v>50.0</v>
      </c>
      <c r="K78" s="32">
        <v>5.0</v>
      </c>
      <c r="L78" s="32">
        <v>3.0</v>
      </c>
      <c r="M78" s="32">
        <v>9.0</v>
      </c>
      <c r="N78" s="32">
        <v>1.0</v>
      </c>
      <c r="O78" s="32">
        <v>3.0</v>
      </c>
      <c r="P78" s="32">
        <v>1.0</v>
      </c>
      <c r="Q78" s="32">
        <v>0.0</v>
      </c>
      <c r="R78" s="21">
        <f t="shared" si="3"/>
        <v>2</v>
      </c>
      <c r="S78" s="22">
        <f t="shared" si="4"/>
        <v>0.5</v>
      </c>
      <c r="T78" s="32">
        <v>0.0</v>
      </c>
      <c r="U78" s="32">
        <v>0.0</v>
      </c>
      <c r="V78" s="32">
        <v>0.0</v>
      </c>
      <c r="W78" s="32">
        <v>8.0</v>
      </c>
      <c r="X78" s="32">
        <v>1.0</v>
      </c>
      <c r="Y78" s="32">
        <v>0.0</v>
      </c>
      <c r="Z78" s="21">
        <f t="shared" si="5"/>
        <v>9</v>
      </c>
      <c r="AA78" s="32">
        <v>3.0</v>
      </c>
      <c r="AB78" s="21">
        <f t="shared" si="6"/>
        <v>2</v>
      </c>
      <c r="AC78" s="23">
        <f t="shared" si="7"/>
        <v>2</v>
      </c>
      <c r="AD78" s="21">
        <f t="shared" si="8"/>
        <v>30</v>
      </c>
      <c r="AE78" s="32">
        <v>23.0</v>
      </c>
      <c r="AF78" s="32">
        <v>7.0</v>
      </c>
      <c r="AG78" s="24">
        <f t="shared" si="9"/>
        <v>76.66666667</v>
      </c>
      <c r="AH78" s="32">
        <v>19.0</v>
      </c>
      <c r="AI78" s="22" t="str">
        <f t="shared" si="10"/>
        <v>2.11</v>
      </c>
      <c r="AJ78" s="26"/>
      <c r="AK78" s="26"/>
      <c r="AL78" s="27">
        <f t="shared" si="11"/>
        <v>0.1111111111</v>
      </c>
      <c r="AM78" s="27">
        <f t="shared" si="12"/>
        <v>0.2222222222</v>
      </c>
      <c r="AN78" s="28">
        <f t="shared" si="13"/>
        <v>0.5</v>
      </c>
      <c r="AO78" s="27">
        <f t="shared" si="14"/>
        <v>0</v>
      </c>
      <c r="AP78" s="27">
        <f t="shared" si="15"/>
        <v>0.1111111111</v>
      </c>
      <c r="AQ78" s="27">
        <f t="shared" ref="AQ78:AR78" si="91">iferror(AB78/$M78,"-")</f>
        <v>0.2222222222</v>
      </c>
      <c r="AR78" s="27">
        <f t="shared" si="91"/>
        <v>0.2222222222</v>
      </c>
      <c r="AS78" s="29">
        <f t="shared" si="17"/>
        <v>0.7777777778</v>
      </c>
      <c r="AT78" s="29" t="str">
        <f t="shared" si="18"/>
        <v>2.11</v>
      </c>
      <c r="AU78" s="26"/>
      <c r="AV78" s="26"/>
      <c r="AW78" s="26"/>
      <c r="AX78" s="26"/>
    </row>
    <row r="79">
      <c r="B79" s="17">
        <v>76.0</v>
      </c>
      <c r="C79" s="18">
        <f t="shared" si="2"/>
        <v>5</v>
      </c>
      <c r="D79" s="19" t="s">
        <v>162</v>
      </c>
      <c r="E79" s="31" t="s">
        <v>167</v>
      </c>
      <c r="F79" s="31">
        <v>3.0</v>
      </c>
      <c r="G79" s="31" t="s">
        <v>50</v>
      </c>
      <c r="H79" s="31" t="s">
        <v>52</v>
      </c>
      <c r="I79" s="31">
        <v>165.0</v>
      </c>
      <c r="J79" s="31">
        <v>55.0</v>
      </c>
      <c r="K79" s="32">
        <v>7.0</v>
      </c>
      <c r="L79" s="32">
        <v>3.0</v>
      </c>
      <c r="M79" s="32">
        <v>9.0</v>
      </c>
      <c r="N79" s="32">
        <v>0.0</v>
      </c>
      <c r="O79" s="32">
        <v>1.0</v>
      </c>
      <c r="P79" s="32">
        <v>0.0</v>
      </c>
      <c r="Q79" s="32">
        <v>0.0</v>
      </c>
      <c r="R79" s="30" t="str">
        <f t="shared" si="3"/>
        <v>-</v>
      </c>
      <c r="S79" s="22" t="str">
        <f t="shared" si="4"/>
        <v>-</v>
      </c>
      <c r="T79" s="32">
        <v>0.0</v>
      </c>
      <c r="U79" s="32">
        <v>0.0</v>
      </c>
      <c r="V79" s="32">
        <v>0.0</v>
      </c>
      <c r="W79" s="32">
        <v>3.0</v>
      </c>
      <c r="X79" s="32">
        <v>0.0</v>
      </c>
      <c r="Y79" s="32">
        <v>0.0</v>
      </c>
      <c r="Z79" s="21">
        <f t="shared" si="5"/>
        <v>3</v>
      </c>
      <c r="AA79" s="32">
        <v>0.0</v>
      </c>
      <c r="AB79" s="30" t="str">
        <f t="shared" si="6"/>
        <v>-</v>
      </c>
      <c r="AC79" s="23">
        <f t="shared" si="7"/>
        <v>0</v>
      </c>
      <c r="AD79" s="21">
        <f t="shared" si="8"/>
        <v>64</v>
      </c>
      <c r="AE79" s="32">
        <v>52.0</v>
      </c>
      <c r="AF79" s="32">
        <v>12.0</v>
      </c>
      <c r="AG79" s="24">
        <f t="shared" si="9"/>
        <v>81.25</v>
      </c>
      <c r="AH79" s="32">
        <v>9.0</v>
      </c>
      <c r="AI79" s="22" t="str">
        <f t="shared" si="10"/>
        <v>1</v>
      </c>
      <c r="AJ79" s="26"/>
      <c r="AK79" s="26"/>
      <c r="AL79" s="27">
        <f t="shared" si="11"/>
        <v>0</v>
      </c>
      <c r="AM79" s="27" t="str">
        <f t="shared" si="12"/>
        <v>-</v>
      </c>
      <c r="AN79" s="28" t="str">
        <f t="shared" si="13"/>
        <v>-</v>
      </c>
      <c r="AO79" s="27">
        <f t="shared" si="14"/>
        <v>0</v>
      </c>
      <c r="AP79" s="27">
        <f t="shared" si="15"/>
        <v>0</v>
      </c>
      <c r="AQ79" s="27" t="str">
        <f t="shared" ref="AQ79:AR79" si="92">iferror(AB79/$M79,"-")</f>
        <v>-</v>
      </c>
      <c r="AR79" s="27">
        <f t="shared" si="92"/>
        <v>0</v>
      </c>
      <c r="AS79" s="29">
        <f t="shared" si="17"/>
        <v>1.333333333</v>
      </c>
      <c r="AT79" s="29" t="str">
        <f t="shared" si="18"/>
        <v>1</v>
      </c>
      <c r="AU79" s="26"/>
      <c r="AV79" s="26"/>
      <c r="AW79" s="26"/>
      <c r="AX79" s="26"/>
    </row>
    <row r="80">
      <c r="B80" s="17">
        <v>77.0</v>
      </c>
      <c r="C80" s="18">
        <f t="shared" si="2"/>
        <v>6</v>
      </c>
      <c r="D80" s="19" t="s">
        <v>162</v>
      </c>
      <c r="E80" s="31" t="s">
        <v>168</v>
      </c>
      <c r="F80" s="31">
        <v>3.0</v>
      </c>
      <c r="G80" s="31" t="s">
        <v>52</v>
      </c>
      <c r="H80" s="31" t="s">
        <v>50</v>
      </c>
      <c r="I80" s="31">
        <v>166.0</v>
      </c>
      <c r="J80" s="31">
        <v>60.0</v>
      </c>
      <c r="K80" s="32">
        <v>8.0</v>
      </c>
      <c r="L80" s="32">
        <v>0.0</v>
      </c>
      <c r="M80" s="32">
        <v>0.0</v>
      </c>
      <c r="N80" s="32">
        <v>0.0</v>
      </c>
      <c r="O80" s="32">
        <v>0.0</v>
      </c>
      <c r="P80" s="32">
        <v>0.0</v>
      </c>
      <c r="Q80" s="32">
        <v>0.0</v>
      </c>
      <c r="R80" s="30" t="str">
        <f t="shared" si="3"/>
        <v>-</v>
      </c>
      <c r="S80" s="22" t="str">
        <f t="shared" si="4"/>
        <v>-</v>
      </c>
      <c r="T80" s="32">
        <v>0.0</v>
      </c>
      <c r="U80" s="32">
        <v>0.0</v>
      </c>
      <c r="V80" s="32">
        <v>0.0</v>
      </c>
      <c r="W80" s="32">
        <v>0.0</v>
      </c>
      <c r="X80" s="32">
        <v>0.0</v>
      </c>
      <c r="Y80" s="32">
        <v>0.0</v>
      </c>
      <c r="Z80" s="30" t="str">
        <f t="shared" si="5"/>
        <v>-</v>
      </c>
      <c r="AA80" s="32">
        <v>0.0</v>
      </c>
      <c r="AB80" s="30" t="str">
        <f t="shared" si="6"/>
        <v>-</v>
      </c>
      <c r="AC80" s="23">
        <f t="shared" si="7"/>
        <v>0</v>
      </c>
      <c r="AD80" s="30" t="str">
        <f t="shared" si="8"/>
        <v>-</v>
      </c>
      <c r="AE80" s="32">
        <v>0.0</v>
      </c>
      <c r="AF80" s="32">
        <v>0.0</v>
      </c>
      <c r="AG80" s="24" t="str">
        <f t="shared" si="9"/>
        <v>-</v>
      </c>
      <c r="AH80" s="32">
        <v>0.0</v>
      </c>
      <c r="AI80" s="22" t="str">
        <f t="shared" si="10"/>
        <v>-</v>
      </c>
      <c r="AJ80" s="26"/>
      <c r="AK80" s="26"/>
      <c r="AL80" s="27" t="str">
        <f t="shared" si="11"/>
        <v>-</v>
      </c>
      <c r="AM80" s="27" t="str">
        <f t="shared" si="12"/>
        <v>-</v>
      </c>
      <c r="AN80" s="28" t="str">
        <f t="shared" si="13"/>
        <v>-</v>
      </c>
      <c r="AO80" s="27" t="str">
        <f t="shared" si="14"/>
        <v>-</v>
      </c>
      <c r="AP80" s="27" t="str">
        <f t="shared" si="15"/>
        <v>-</v>
      </c>
      <c r="AQ80" s="27" t="str">
        <f t="shared" ref="AQ80:AR80" si="93">iferror(AB80/$M80,"-")</f>
        <v>-</v>
      </c>
      <c r="AR80" s="27" t="str">
        <f t="shared" si="93"/>
        <v>-</v>
      </c>
      <c r="AS80" s="29" t="str">
        <f t="shared" si="17"/>
        <v>-</v>
      </c>
      <c r="AT80" s="29" t="str">
        <f t="shared" si="18"/>
        <v>-</v>
      </c>
      <c r="AU80" s="26"/>
      <c r="AV80" s="26"/>
      <c r="AW80" s="26"/>
      <c r="AX80" s="26"/>
    </row>
    <row r="81">
      <c r="B81" s="17">
        <v>78.0</v>
      </c>
      <c r="C81" s="18">
        <f t="shared" si="2"/>
        <v>7</v>
      </c>
      <c r="D81" s="19" t="s">
        <v>162</v>
      </c>
      <c r="E81" s="31" t="s">
        <v>169</v>
      </c>
      <c r="F81" s="31">
        <v>1.0</v>
      </c>
      <c r="G81" s="31" t="s">
        <v>54</v>
      </c>
      <c r="H81" s="31" t="s">
        <v>57</v>
      </c>
      <c r="I81" s="31">
        <v>165.0</v>
      </c>
      <c r="J81" s="31">
        <v>55.0</v>
      </c>
      <c r="K81" s="32">
        <v>9.0</v>
      </c>
      <c r="L81" s="32">
        <v>3.0</v>
      </c>
      <c r="M81" s="32">
        <v>9.0</v>
      </c>
      <c r="N81" s="32">
        <v>3.0</v>
      </c>
      <c r="O81" s="32">
        <v>52.0</v>
      </c>
      <c r="P81" s="32">
        <v>3.0</v>
      </c>
      <c r="Q81" s="32">
        <v>1.0</v>
      </c>
      <c r="R81" s="21">
        <f t="shared" si="3"/>
        <v>7</v>
      </c>
      <c r="S81" s="22">
        <f t="shared" si="4"/>
        <v>0.29</v>
      </c>
      <c r="T81" s="32">
        <v>1.0</v>
      </c>
      <c r="U81" s="32">
        <v>1.0</v>
      </c>
      <c r="V81" s="32">
        <v>0.0</v>
      </c>
      <c r="W81" s="32">
        <v>16.0</v>
      </c>
      <c r="X81" s="32">
        <v>2.0</v>
      </c>
      <c r="Y81" s="32">
        <v>2.0</v>
      </c>
      <c r="Z81" s="21">
        <f t="shared" si="5"/>
        <v>20</v>
      </c>
      <c r="AA81" s="32">
        <v>4.0</v>
      </c>
      <c r="AB81" s="21">
        <f t="shared" si="6"/>
        <v>6</v>
      </c>
      <c r="AC81" s="23">
        <f t="shared" si="7"/>
        <v>6</v>
      </c>
      <c r="AD81" s="21">
        <f t="shared" si="8"/>
        <v>6</v>
      </c>
      <c r="AE81" s="32">
        <v>0.0</v>
      </c>
      <c r="AF81" s="32">
        <v>6.0</v>
      </c>
      <c r="AG81" s="24">
        <f t="shared" si="9"/>
        <v>0</v>
      </c>
      <c r="AH81" s="32">
        <v>14.0</v>
      </c>
      <c r="AI81" s="22" t="str">
        <f t="shared" si="10"/>
        <v>1.56</v>
      </c>
      <c r="AJ81" s="26"/>
      <c r="AK81" s="26"/>
      <c r="AL81" s="27">
        <f t="shared" si="11"/>
        <v>0.3333333333</v>
      </c>
      <c r="AM81" s="27">
        <f t="shared" si="12"/>
        <v>0.7777777778</v>
      </c>
      <c r="AN81" s="28">
        <f t="shared" si="13"/>
        <v>0.4285714286</v>
      </c>
      <c r="AO81" s="27">
        <f t="shared" si="14"/>
        <v>0.1111111111</v>
      </c>
      <c r="AP81" s="27">
        <f t="shared" si="15"/>
        <v>0.2222222222</v>
      </c>
      <c r="AQ81" s="27">
        <f t="shared" ref="AQ81:AR81" si="94">iferror(AB81/$M81,"-")</f>
        <v>0.6666666667</v>
      </c>
      <c r="AR81" s="27">
        <f t="shared" si="94"/>
        <v>0.6666666667</v>
      </c>
      <c r="AS81" s="29">
        <f t="shared" si="17"/>
        <v>0.6666666667</v>
      </c>
      <c r="AT81" s="29" t="str">
        <f t="shared" si="18"/>
        <v>1.56</v>
      </c>
      <c r="AU81" s="26"/>
      <c r="AV81" s="26"/>
      <c r="AW81" s="26"/>
      <c r="AX81" s="26"/>
    </row>
    <row r="82">
      <c r="B82" s="17">
        <v>79.0</v>
      </c>
      <c r="C82" s="18">
        <f t="shared" si="2"/>
        <v>8</v>
      </c>
      <c r="D82" s="19" t="s">
        <v>162</v>
      </c>
      <c r="E82" s="31" t="s">
        <v>170</v>
      </c>
      <c r="F82" s="31">
        <v>3.0</v>
      </c>
      <c r="G82" s="31" t="s">
        <v>52</v>
      </c>
      <c r="H82" s="31" t="s">
        <v>50</v>
      </c>
      <c r="I82" s="31">
        <v>175.0</v>
      </c>
      <c r="J82" s="31">
        <v>65.0</v>
      </c>
      <c r="K82" s="32">
        <v>10.0</v>
      </c>
      <c r="L82" s="32">
        <v>3.0</v>
      </c>
      <c r="M82" s="32">
        <v>9.0</v>
      </c>
      <c r="N82" s="32">
        <v>19.0</v>
      </c>
      <c r="O82" s="32">
        <v>3.0</v>
      </c>
      <c r="P82" s="32">
        <v>42.0</v>
      </c>
      <c r="Q82" s="32">
        <v>17.0</v>
      </c>
      <c r="R82" s="21">
        <f t="shared" si="3"/>
        <v>78</v>
      </c>
      <c r="S82" s="22">
        <f t="shared" si="4"/>
        <v>0.03</v>
      </c>
      <c r="T82" s="32">
        <v>0.0</v>
      </c>
      <c r="U82" s="32">
        <v>0.0</v>
      </c>
      <c r="V82" s="32">
        <v>0.0</v>
      </c>
      <c r="W82" s="32">
        <v>22.0</v>
      </c>
      <c r="X82" s="32">
        <v>2.0</v>
      </c>
      <c r="Y82" s="32">
        <v>1.0</v>
      </c>
      <c r="Z82" s="21">
        <f t="shared" si="5"/>
        <v>25</v>
      </c>
      <c r="AA82" s="32">
        <v>0.0</v>
      </c>
      <c r="AB82" s="21">
        <f t="shared" si="6"/>
        <v>21</v>
      </c>
      <c r="AC82" s="23">
        <f t="shared" si="7"/>
        <v>21</v>
      </c>
      <c r="AD82" s="21">
        <f t="shared" si="8"/>
        <v>56</v>
      </c>
      <c r="AE82" s="32">
        <v>50.0</v>
      </c>
      <c r="AF82" s="32">
        <v>6.0</v>
      </c>
      <c r="AG82" s="24">
        <f t="shared" si="9"/>
        <v>89.28571429</v>
      </c>
      <c r="AH82" s="32">
        <v>13.0</v>
      </c>
      <c r="AI82" s="22" t="str">
        <f t="shared" si="10"/>
        <v>1.44</v>
      </c>
      <c r="AJ82" s="26"/>
      <c r="AK82" s="26"/>
      <c r="AL82" s="27">
        <f t="shared" si="11"/>
        <v>2.111111111</v>
      </c>
      <c r="AM82" s="27">
        <f t="shared" si="12"/>
        <v>8.666666667</v>
      </c>
      <c r="AN82" s="28">
        <f t="shared" si="13"/>
        <v>0.2435897436</v>
      </c>
      <c r="AO82" s="27">
        <f t="shared" si="14"/>
        <v>0</v>
      </c>
      <c r="AP82" s="27">
        <f t="shared" si="15"/>
        <v>0.2222222222</v>
      </c>
      <c r="AQ82" s="27">
        <f t="shared" ref="AQ82:AR82" si="95">iferror(AB82/$M82,"-")</f>
        <v>2.333333333</v>
      </c>
      <c r="AR82" s="27">
        <f t="shared" si="95"/>
        <v>2.333333333</v>
      </c>
      <c r="AS82" s="29">
        <f t="shared" si="17"/>
        <v>0.6666666667</v>
      </c>
      <c r="AT82" s="29" t="str">
        <f t="shared" si="18"/>
        <v>1.44</v>
      </c>
      <c r="AU82" s="26"/>
      <c r="AV82" s="26"/>
      <c r="AW82" s="26"/>
      <c r="AX82" s="26"/>
    </row>
    <row r="83">
      <c r="B83" s="17">
        <v>80.0</v>
      </c>
      <c r="C83" s="18">
        <f t="shared" si="2"/>
        <v>9</v>
      </c>
      <c r="D83" s="19" t="s">
        <v>162</v>
      </c>
      <c r="E83" s="31" t="s">
        <v>171</v>
      </c>
      <c r="F83" s="31">
        <v>2.0</v>
      </c>
      <c r="G83" s="31" t="s">
        <v>47</v>
      </c>
      <c r="H83" s="31" t="s">
        <v>57</v>
      </c>
      <c r="I83" s="31">
        <v>175.0</v>
      </c>
      <c r="J83" s="31">
        <v>60.0</v>
      </c>
      <c r="K83" s="32">
        <v>11.0</v>
      </c>
      <c r="L83" s="32">
        <v>3.0</v>
      </c>
      <c r="M83" s="32">
        <v>9.0</v>
      </c>
      <c r="N83" s="32">
        <v>10.0</v>
      </c>
      <c r="O83" s="32">
        <v>0.0</v>
      </c>
      <c r="P83" s="32">
        <v>15.0</v>
      </c>
      <c r="Q83" s="32">
        <v>5.0</v>
      </c>
      <c r="R83" s="21">
        <f t="shared" si="3"/>
        <v>30</v>
      </c>
      <c r="S83" s="22">
        <f t="shared" si="4"/>
        <v>0.17</v>
      </c>
      <c r="T83" s="32">
        <v>2.0</v>
      </c>
      <c r="U83" s="32">
        <v>0.0</v>
      </c>
      <c r="V83" s="32">
        <v>1.0</v>
      </c>
      <c r="W83" s="32">
        <v>14.0</v>
      </c>
      <c r="X83" s="32">
        <v>0.0</v>
      </c>
      <c r="Y83" s="32">
        <v>4.0</v>
      </c>
      <c r="Z83" s="21">
        <f t="shared" si="5"/>
        <v>18</v>
      </c>
      <c r="AA83" s="32">
        <v>0.0</v>
      </c>
      <c r="AB83" s="21">
        <f t="shared" si="6"/>
        <v>12</v>
      </c>
      <c r="AC83" s="23">
        <f t="shared" si="7"/>
        <v>12.75</v>
      </c>
      <c r="AD83" s="21">
        <f t="shared" si="8"/>
        <v>4</v>
      </c>
      <c r="AE83" s="32">
        <v>3.0</v>
      </c>
      <c r="AF83" s="32">
        <v>1.0</v>
      </c>
      <c r="AG83" s="24">
        <f t="shared" si="9"/>
        <v>75</v>
      </c>
      <c r="AH83" s="32">
        <v>4.0</v>
      </c>
      <c r="AI83" s="22" t="str">
        <f t="shared" si="10"/>
        <v>0.44</v>
      </c>
      <c r="AJ83" s="26"/>
      <c r="AK83" s="26"/>
      <c r="AL83" s="27">
        <f t="shared" si="11"/>
        <v>1.111111111</v>
      </c>
      <c r="AM83" s="27">
        <f t="shared" si="12"/>
        <v>3.333333333</v>
      </c>
      <c r="AN83" s="28">
        <f t="shared" si="13"/>
        <v>0.3333333333</v>
      </c>
      <c r="AO83" s="27">
        <f t="shared" si="14"/>
        <v>0.2222222222</v>
      </c>
      <c r="AP83" s="27">
        <f t="shared" si="15"/>
        <v>0</v>
      </c>
      <c r="AQ83" s="27">
        <f t="shared" ref="AQ83:AR83" si="96">iferror(AB83/$M83,"-")</f>
        <v>1.333333333</v>
      </c>
      <c r="AR83" s="27">
        <f t="shared" si="96"/>
        <v>1.416666667</v>
      </c>
      <c r="AS83" s="29">
        <f t="shared" si="17"/>
        <v>0.1111111111</v>
      </c>
      <c r="AT83" s="29" t="str">
        <f t="shared" si="18"/>
        <v>0.44</v>
      </c>
      <c r="AU83" s="26"/>
      <c r="AV83" s="26"/>
      <c r="AW83" s="26"/>
      <c r="AX83" s="26"/>
    </row>
    <row r="84">
      <c r="B84" s="17">
        <v>81.0</v>
      </c>
      <c r="C84" s="18">
        <f t="shared" si="2"/>
        <v>10</v>
      </c>
      <c r="D84" s="19" t="s">
        <v>162</v>
      </c>
      <c r="E84" s="31" t="s">
        <v>172</v>
      </c>
      <c r="F84" s="31">
        <v>1.0</v>
      </c>
      <c r="G84" s="31" t="s">
        <v>57</v>
      </c>
      <c r="H84" s="31" t="s">
        <v>52</v>
      </c>
      <c r="I84" s="31">
        <v>168.0</v>
      </c>
      <c r="J84" s="31">
        <v>53.0</v>
      </c>
      <c r="K84" s="32">
        <v>12.0</v>
      </c>
      <c r="L84" s="32">
        <v>3.0</v>
      </c>
      <c r="M84" s="32">
        <v>7.0</v>
      </c>
      <c r="N84" s="32">
        <v>0.0</v>
      </c>
      <c r="O84" s="32">
        <v>0.0</v>
      </c>
      <c r="P84" s="32">
        <v>0.0</v>
      </c>
      <c r="Q84" s="32">
        <v>0.0</v>
      </c>
      <c r="R84" s="30" t="str">
        <f t="shared" si="3"/>
        <v>-</v>
      </c>
      <c r="S84" s="22" t="str">
        <f t="shared" si="4"/>
        <v>-</v>
      </c>
      <c r="T84" s="32">
        <v>0.0</v>
      </c>
      <c r="U84" s="32">
        <v>0.0</v>
      </c>
      <c r="V84" s="32">
        <v>0.0</v>
      </c>
      <c r="W84" s="32">
        <v>4.0</v>
      </c>
      <c r="X84" s="32">
        <v>1.0</v>
      </c>
      <c r="Y84" s="32">
        <v>2.0</v>
      </c>
      <c r="Z84" s="21">
        <f t="shared" si="5"/>
        <v>7</v>
      </c>
      <c r="AA84" s="32">
        <v>0.0</v>
      </c>
      <c r="AB84" s="21">
        <f t="shared" si="6"/>
        <v>1</v>
      </c>
      <c r="AC84" s="23">
        <f t="shared" si="7"/>
        <v>1</v>
      </c>
      <c r="AD84" s="21">
        <f t="shared" si="8"/>
        <v>2</v>
      </c>
      <c r="AE84" s="32">
        <v>1.0</v>
      </c>
      <c r="AF84" s="32">
        <v>1.0</v>
      </c>
      <c r="AG84" s="24">
        <f t="shared" si="9"/>
        <v>50</v>
      </c>
      <c r="AH84" s="32">
        <v>1.0</v>
      </c>
      <c r="AI84" s="22" t="str">
        <f t="shared" si="10"/>
        <v>0.14</v>
      </c>
      <c r="AJ84" s="26"/>
      <c r="AK84" s="26"/>
      <c r="AL84" s="27">
        <f t="shared" si="11"/>
        <v>0</v>
      </c>
      <c r="AM84" s="27" t="str">
        <f t="shared" si="12"/>
        <v>-</v>
      </c>
      <c r="AN84" s="28" t="str">
        <f t="shared" si="13"/>
        <v>-</v>
      </c>
      <c r="AO84" s="27">
        <f t="shared" si="14"/>
        <v>0</v>
      </c>
      <c r="AP84" s="27">
        <f t="shared" si="15"/>
        <v>0.1428571429</v>
      </c>
      <c r="AQ84" s="27">
        <f t="shared" ref="AQ84:AR84" si="97">iferror(AB84/$M84,"-")</f>
        <v>0.1428571429</v>
      </c>
      <c r="AR84" s="27">
        <f t="shared" si="97"/>
        <v>0.1428571429</v>
      </c>
      <c r="AS84" s="29">
        <f t="shared" si="17"/>
        <v>0.1428571429</v>
      </c>
      <c r="AT84" s="29" t="str">
        <f t="shared" si="18"/>
        <v>0.14</v>
      </c>
      <c r="AU84" s="26"/>
      <c r="AV84" s="26"/>
      <c r="AW84" s="26"/>
      <c r="AX84" s="26"/>
    </row>
    <row r="85">
      <c r="B85" s="17">
        <v>82.0</v>
      </c>
      <c r="C85" s="18">
        <f t="shared" si="2"/>
        <v>1</v>
      </c>
      <c r="D85" s="19"/>
      <c r="E85" s="19"/>
      <c r="F85" s="31"/>
      <c r="G85" s="31"/>
      <c r="H85" s="31"/>
      <c r="I85" s="31"/>
      <c r="J85" s="31"/>
      <c r="K85" s="32"/>
      <c r="L85" s="32"/>
      <c r="M85" s="32"/>
      <c r="N85" s="32"/>
      <c r="O85" s="32"/>
      <c r="P85" s="32"/>
      <c r="Q85" s="32"/>
      <c r="R85" s="33" t="str">
        <f t="shared" si="3"/>
        <v>-</v>
      </c>
      <c r="S85" s="34" t="str">
        <f t="shared" si="4"/>
        <v>-</v>
      </c>
      <c r="T85" s="32"/>
      <c r="U85" s="32"/>
      <c r="V85" s="32"/>
      <c r="W85" s="32"/>
      <c r="X85" s="32"/>
      <c r="Y85" s="32"/>
      <c r="Z85" s="33" t="str">
        <f t="shared" si="5"/>
        <v>-</v>
      </c>
      <c r="AA85" s="32"/>
      <c r="AB85" s="33" t="str">
        <f t="shared" si="6"/>
        <v>-</v>
      </c>
      <c r="AC85" s="23">
        <f t="shared" si="7"/>
        <v>0</v>
      </c>
      <c r="AD85" s="33" t="str">
        <f t="shared" si="8"/>
        <v>-</v>
      </c>
      <c r="AE85" s="32"/>
      <c r="AF85" s="32"/>
      <c r="AG85" s="36" t="str">
        <f t="shared" si="9"/>
        <v>-</v>
      </c>
      <c r="AH85" s="32"/>
      <c r="AI85" s="34" t="str">
        <f t="shared" si="10"/>
        <v>-</v>
      </c>
      <c r="AJ85" s="14"/>
      <c r="AK85" s="14"/>
      <c r="AL85" s="27" t="str">
        <f t="shared" si="11"/>
        <v>-</v>
      </c>
      <c r="AM85" s="27" t="str">
        <f t="shared" si="12"/>
        <v>-</v>
      </c>
      <c r="AN85" s="28" t="str">
        <f t="shared" si="13"/>
        <v>-</v>
      </c>
      <c r="AO85" s="27" t="str">
        <f t="shared" si="14"/>
        <v>-</v>
      </c>
      <c r="AP85" s="27" t="str">
        <f t="shared" si="15"/>
        <v>-</v>
      </c>
      <c r="AQ85" s="27" t="str">
        <f t="shared" ref="AQ85:AR85" si="98">iferror(AB85/$M85,"-")</f>
        <v>-</v>
      </c>
      <c r="AR85" s="27" t="str">
        <f t="shared" si="98"/>
        <v>-</v>
      </c>
      <c r="AS85" s="29" t="str">
        <f t="shared" si="17"/>
        <v>-</v>
      </c>
      <c r="AT85" s="29" t="str">
        <f t="shared" si="18"/>
        <v>-</v>
      </c>
      <c r="AU85" s="14"/>
      <c r="AV85" s="14"/>
      <c r="AW85" s="14"/>
      <c r="AX85" s="14"/>
    </row>
    <row r="86">
      <c r="B86" s="17">
        <v>83.0</v>
      </c>
      <c r="C86" s="18">
        <f t="shared" si="2"/>
        <v>2</v>
      </c>
      <c r="D86" s="19"/>
      <c r="E86" s="19"/>
      <c r="F86" s="31"/>
      <c r="G86" s="31"/>
      <c r="H86" s="31"/>
      <c r="I86" s="31"/>
      <c r="J86" s="31"/>
      <c r="K86" s="32"/>
      <c r="L86" s="32"/>
      <c r="M86" s="32"/>
      <c r="N86" s="32"/>
      <c r="O86" s="32"/>
      <c r="P86" s="32"/>
      <c r="Q86" s="32"/>
      <c r="R86" s="33" t="str">
        <f t="shared" si="3"/>
        <v>-</v>
      </c>
      <c r="S86" s="34" t="str">
        <f t="shared" si="4"/>
        <v>-</v>
      </c>
      <c r="T86" s="32"/>
      <c r="U86" s="32"/>
      <c r="V86" s="32"/>
      <c r="W86" s="32"/>
      <c r="X86" s="32"/>
      <c r="Y86" s="32"/>
      <c r="Z86" s="33" t="str">
        <f t="shared" si="5"/>
        <v>-</v>
      </c>
      <c r="AA86" s="32"/>
      <c r="AB86" s="33" t="str">
        <f t="shared" si="6"/>
        <v>-</v>
      </c>
      <c r="AC86" s="23">
        <f t="shared" si="7"/>
        <v>0</v>
      </c>
      <c r="AD86" s="33" t="str">
        <f t="shared" si="8"/>
        <v>-</v>
      </c>
      <c r="AE86" s="32"/>
      <c r="AF86" s="32"/>
      <c r="AG86" s="36" t="str">
        <f t="shared" si="9"/>
        <v>-</v>
      </c>
      <c r="AH86" s="32"/>
      <c r="AI86" s="34" t="str">
        <f t="shared" si="10"/>
        <v>-</v>
      </c>
      <c r="AJ86" s="14"/>
      <c r="AK86" s="14"/>
      <c r="AL86" s="27" t="str">
        <f t="shared" si="11"/>
        <v>-</v>
      </c>
      <c r="AM86" s="27" t="str">
        <f t="shared" si="12"/>
        <v>-</v>
      </c>
      <c r="AN86" s="28" t="str">
        <f t="shared" si="13"/>
        <v>-</v>
      </c>
      <c r="AO86" s="27" t="str">
        <f t="shared" si="14"/>
        <v>-</v>
      </c>
      <c r="AP86" s="27" t="str">
        <f t="shared" si="15"/>
        <v>-</v>
      </c>
      <c r="AQ86" s="27" t="str">
        <f t="shared" ref="AQ86:AR86" si="99">iferror(AB86/$M86,"-")</f>
        <v>-</v>
      </c>
      <c r="AR86" s="27" t="str">
        <f t="shared" si="99"/>
        <v>-</v>
      </c>
      <c r="AS86" s="29" t="str">
        <f t="shared" si="17"/>
        <v>-</v>
      </c>
      <c r="AT86" s="29" t="str">
        <f t="shared" si="18"/>
        <v>-</v>
      </c>
      <c r="AU86" s="14"/>
      <c r="AV86" s="14"/>
      <c r="AW86" s="14"/>
      <c r="AX86" s="14"/>
    </row>
    <row r="87">
      <c r="B87" s="17"/>
      <c r="C87" s="18"/>
      <c r="D87" s="18" t="s">
        <v>208</v>
      </c>
      <c r="E87" s="18"/>
      <c r="F87" s="37"/>
      <c r="G87" s="37"/>
      <c r="H87" s="37"/>
      <c r="I87" s="37"/>
      <c r="J87" s="37"/>
      <c r="K87" s="38"/>
      <c r="L87" s="38">
        <f t="shared" ref="L87:Q87" si="100">SUM(L4:L86)</f>
        <v>233</v>
      </c>
      <c r="M87" s="38">
        <f t="shared" si="100"/>
        <v>711</v>
      </c>
      <c r="N87" s="38">
        <f t="shared" si="100"/>
        <v>990</v>
      </c>
      <c r="O87" s="38">
        <f t="shared" si="100"/>
        <v>942</v>
      </c>
      <c r="P87" s="38">
        <f t="shared" si="100"/>
        <v>1203</v>
      </c>
      <c r="Q87" s="38">
        <f t="shared" si="100"/>
        <v>356</v>
      </c>
      <c r="R87" s="35">
        <f t="shared" si="3"/>
        <v>2549</v>
      </c>
      <c r="S87" s="34">
        <f t="shared" si="4"/>
        <v>0.25</v>
      </c>
      <c r="T87" s="38">
        <f t="shared" ref="T87:Y87" si="101">SUM(T4:T86)</f>
        <v>96</v>
      </c>
      <c r="U87" s="38">
        <f t="shared" si="101"/>
        <v>13</v>
      </c>
      <c r="V87" s="38">
        <f t="shared" si="101"/>
        <v>68</v>
      </c>
      <c r="W87" s="38">
        <f t="shared" si="101"/>
        <v>1396</v>
      </c>
      <c r="X87" s="38">
        <f t="shared" si="101"/>
        <v>150</v>
      </c>
      <c r="Y87" s="38">
        <f t="shared" si="101"/>
        <v>182</v>
      </c>
      <c r="Z87" s="35">
        <f t="shared" si="5"/>
        <v>1728</v>
      </c>
      <c r="AA87" s="38">
        <f>SUM(AA4:AA86)</f>
        <v>49</v>
      </c>
      <c r="AB87" s="35">
        <f t="shared" si="6"/>
        <v>1236</v>
      </c>
      <c r="AC87" s="23">
        <f t="shared" si="7"/>
        <v>1287</v>
      </c>
      <c r="AD87" s="35">
        <f t="shared" si="8"/>
        <v>1627</v>
      </c>
      <c r="AE87" s="38">
        <f t="shared" ref="AE87:AF87" si="102">SUM(AE4:AE86)</f>
        <v>1424</v>
      </c>
      <c r="AF87" s="38">
        <f t="shared" si="102"/>
        <v>203</v>
      </c>
      <c r="AG87" s="36">
        <f t="shared" si="9"/>
        <v>87.52304856</v>
      </c>
      <c r="AH87" s="38">
        <f>SUM(AH4:AH86)</f>
        <v>1070</v>
      </c>
      <c r="AI87" s="34" t="str">
        <f t="shared" si="10"/>
        <v>1.50</v>
      </c>
      <c r="AJ87" s="14"/>
      <c r="AK87" s="14"/>
      <c r="AL87" s="27">
        <f t="shared" si="11"/>
        <v>1.392405063</v>
      </c>
      <c r="AM87" s="27">
        <f t="shared" si="12"/>
        <v>3.585091421</v>
      </c>
      <c r="AN87" s="28">
        <f t="shared" si="13"/>
        <v>0.388387603</v>
      </c>
      <c r="AO87" s="27">
        <f t="shared" si="14"/>
        <v>0.135021097</v>
      </c>
      <c r="AP87" s="27">
        <f t="shared" si="15"/>
        <v>0.2109704641</v>
      </c>
      <c r="AQ87" s="27">
        <f t="shared" ref="AQ87:AR87" si="103">iferror(AB87/$M87,"-")</f>
        <v>1.738396624</v>
      </c>
      <c r="AR87" s="27">
        <f t="shared" si="103"/>
        <v>1.810126582</v>
      </c>
      <c r="AS87" s="29">
        <f t="shared" si="17"/>
        <v>0.2855133615</v>
      </c>
      <c r="AT87" s="29" t="str">
        <f t="shared" si="18"/>
        <v>1.50</v>
      </c>
      <c r="AU87" s="14"/>
      <c r="AV87" s="14"/>
      <c r="AW87" s="14"/>
      <c r="AX87" s="14"/>
    </row>
    <row r="88">
      <c r="AV88" s="14"/>
      <c r="AW88" s="14"/>
      <c r="AX88" s="14"/>
    </row>
    <row r="89">
      <c r="AV89" s="14"/>
      <c r="AW89" s="14"/>
      <c r="AX89" s="14"/>
    </row>
    <row r="90">
      <c r="D90" s="44" t="s">
        <v>217</v>
      </c>
      <c r="E90" s="45"/>
      <c r="L90" s="46" t="s">
        <v>100</v>
      </c>
      <c r="AV90" s="14"/>
      <c r="AW90" s="14"/>
      <c r="AX90" s="14"/>
    </row>
    <row r="91">
      <c r="D91" s="44" t="s">
        <v>100</v>
      </c>
      <c r="E91" s="45">
        <f t="shared" ref="E91:E97" si="104">COUNTIF($D$4:$D$84, D91)</f>
        <v>13</v>
      </c>
      <c r="L91" s="46" t="s">
        <v>173</v>
      </c>
      <c r="AV91" s="14"/>
      <c r="AW91" s="14"/>
      <c r="AX91" s="14"/>
    </row>
    <row r="92">
      <c r="D92" s="44" t="s">
        <v>173</v>
      </c>
      <c r="E92" s="45">
        <f t="shared" si="104"/>
        <v>14</v>
      </c>
      <c r="L92" s="46" t="s">
        <v>127</v>
      </c>
      <c r="AV92" s="14"/>
      <c r="AW92" s="14"/>
      <c r="AX92" s="14"/>
    </row>
    <row r="93">
      <c r="D93" s="44" t="s">
        <v>127</v>
      </c>
      <c r="E93" s="45">
        <f t="shared" si="104"/>
        <v>10</v>
      </c>
      <c r="L93" s="46" t="s">
        <v>188</v>
      </c>
      <c r="AV93" s="14"/>
      <c r="AW93" s="14"/>
      <c r="AX93" s="14"/>
    </row>
    <row r="94">
      <c r="D94" s="44" t="s">
        <v>188</v>
      </c>
      <c r="E94" s="45">
        <f t="shared" si="104"/>
        <v>12</v>
      </c>
      <c r="L94" s="46" t="s">
        <v>83</v>
      </c>
      <c r="AV94" s="14"/>
      <c r="AW94" s="14"/>
      <c r="AX94" s="14"/>
    </row>
    <row r="95">
      <c r="D95" s="44" t="s">
        <v>83</v>
      </c>
      <c r="E95" s="45">
        <f t="shared" si="104"/>
        <v>16</v>
      </c>
      <c r="L95" s="46" t="s">
        <v>201</v>
      </c>
      <c r="AV95" s="14"/>
      <c r="AW95" s="14"/>
      <c r="AX95" s="14"/>
    </row>
    <row r="96">
      <c r="D96" s="44" t="s">
        <v>201</v>
      </c>
      <c r="E96" s="45">
        <f t="shared" si="104"/>
        <v>6</v>
      </c>
      <c r="L96" s="46" t="s">
        <v>162</v>
      </c>
      <c r="AV96" s="14"/>
      <c r="AW96" s="14"/>
      <c r="AX96" s="14"/>
    </row>
    <row r="97">
      <c r="D97" s="44" t="s">
        <v>162</v>
      </c>
      <c r="E97" s="45">
        <f t="shared" si="104"/>
        <v>10</v>
      </c>
      <c r="AV97" s="14"/>
      <c r="AW97" s="14"/>
      <c r="AX97" s="14"/>
    </row>
    <row r="98">
      <c r="D98" s="44" t="s">
        <v>218</v>
      </c>
      <c r="E98" s="45">
        <f>SUM(E91:E97)</f>
        <v>81</v>
      </c>
      <c r="AV98" s="14"/>
      <c r="AW98" s="14"/>
      <c r="AX98" s="14"/>
    </row>
    <row r="99">
      <c r="D99" s="45"/>
      <c r="E99" s="45">
        <f>COUNTIF($D$4:$D$114, D99)</f>
        <v>0</v>
      </c>
      <c r="AV99" s="14"/>
      <c r="AW99" s="14"/>
      <c r="AX99" s="14"/>
    </row>
    <row r="100">
      <c r="AV100" s="14"/>
      <c r="AW100" s="14"/>
      <c r="AX100" s="14"/>
    </row>
    <row r="101">
      <c r="AV101" s="14"/>
      <c r="AW101" s="14"/>
      <c r="AX101" s="14"/>
    </row>
    <row r="102">
      <c r="AV102" s="14"/>
      <c r="AW102" s="14"/>
      <c r="AX102" s="14"/>
    </row>
    <row r="103">
      <c r="AV103" s="14"/>
      <c r="AW103" s="14"/>
      <c r="AX103" s="14"/>
    </row>
    <row r="104">
      <c r="AV104" s="14"/>
      <c r="AW104" s="14"/>
      <c r="AX104" s="14"/>
    </row>
    <row r="105">
      <c r="AV105" s="14"/>
      <c r="AW105" s="14"/>
      <c r="AX105" s="14"/>
    </row>
    <row r="106">
      <c r="AV106" s="14"/>
      <c r="AW106" s="14"/>
      <c r="AX106" s="14"/>
    </row>
    <row r="107">
      <c r="AV107" s="14"/>
      <c r="AW107" s="14"/>
      <c r="AX107" s="14"/>
    </row>
    <row r="108">
      <c r="AV108" s="14"/>
      <c r="AW108" s="14"/>
      <c r="AX108" s="14"/>
    </row>
    <row r="109">
      <c r="AV109" s="14"/>
      <c r="AW109" s="14"/>
      <c r="AX109" s="14"/>
    </row>
    <row r="110">
      <c r="AV110" s="14"/>
      <c r="AW110" s="14"/>
      <c r="AX110" s="14"/>
    </row>
    <row r="111">
      <c r="AV111" s="14"/>
      <c r="AW111" s="14"/>
      <c r="AX111" s="14"/>
    </row>
    <row r="112">
      <c r="AV112" s="14"/>
      <c r="AW112" s="14"/>
      <c r="AX112" s="14"/>
    </row>
    <row r="113">
      <c r="AV113" s="14"/>
      <c r="AW113" s="14"/>
      <c r="AX113" s="14"/>
    </row>
    <row r="114">
      <c r="AV114" s="14"/>
      <c r="AW114" s="14"/>
      <c r="AX114" s="14"/>
    </row>
    <row r="115">
      <c r="AV115" s="14"/>
      <c r="AW115" s="14"/>
      <c r="AX115" s="14"/>
    </row>
  </sheetData>
  <mergeCells count="9">
    <mergeCell ref="L95:M95"/>
    <mergeCell ref="L96:M96"/>
    <mergeCell ref="B1:AI1"/>
    <mergeCell ref="B3:C3"/>
    <mergeCell ref="L90:M90"/>
    <mergeCell ref="L91:M91"/>
    <mergeCell ref="L92:M92"/>
    <mergeCell ref="L93:M93"/>
    <mergeCell ref="L94:M94"/>
  </mergeCells>
  <conditionalFormatting sqref="S4:S87">
    <cfRule type="cellIs" dxfId="3" priority="1" operator="lessThan">
      <formula>0</formula>
    </cfRule>
  </conditionalFormatting>
  <conditionalFormatting sqref="D4:E87">
    <cfRule type="cellIs" dxfId="4" priority="2" operator="equal">
      <formula>"광주체고"</formula>
    </cfRule>
  </conditionalFormatting>
  <conditionalFormatting sqref="D4:E87">
    <cfRule type="cellIs" dxfId="5" priority="3" operator="equal">
      <formula>"경일고"</formula>
    </cfRule>
  </conditionalFormatting>
  <conditionalFormatting sqref="D4:E87">
    <cfRule type="cellIs" dxfId="6" priority="4" operator="equal">
      <formula>"천안청수"</formula>
    </cfRule>
  </conditionalFormatting>
  <conditionalFormatting sqref="D4:E87">
    <cfRule type="containsText" dxfId="7" priority="5" operator="containsText" text="강릉여고">
      <formula>NOT(ISERROR(SEARCH(("강릉여고"),(D4))))</formula>
    </cfRule>
  </conditionalFormatting>
  <conditionalFormatting sqref="D4:E87">
    <cfRule type="containsText" dxfId="8" priority="6" operator="containsText" text="경남여고">
      <formula>NOT(ISERROR(SEARCH(("경남여고"),(D4))))</formula>
    </cfRule>
  </conditionalFormatting>
  <conditionalFormatting sqref="D4:E87">
    <cfRule type="cellIs" dxfId="9" priority="7" operator="equal">
      <formula>"제천여고"</formula>
    </cfRule>
  </conditionalFormatting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3.88"/>
    <col customWidth="1" min="3" max="3" width="10.88"/>
    <col customWidth="1" min="4" max="4" width="11.13"/>
    <col customWidth="1" min="5" max="14" width="6.88"/>
    <col customWidth="1" min="15" max="28" width="6.63"/>
    <col customWidth="1" min="29" max="29" width="1.13"/>
    <col customWidth="1" min="30" max="38" width="6.63"/>
  </cols>
  <sheetData>
    <row r="1">
      <c r="A1" s="1" t="s">
        <v>219</v>
      </c>
    </row>
    <row r="3">
      <c r="B3" s="47" t="s">
        <v>220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>
      <c r="B4" s="49" t="s">
        <v>3</v>
      </c>
      <c r="C4" s="50" t="s">
        <v>4</v>
      </c>
      <c r="D4" s="51"/>
      <c r="E4" s="52" t="s">
        <v>221</v>
      </c>
      <c r="F4" s="53" t="s">
        <v>222</v>
      </c>
      <c r="H4" s="53" t="s">
        <v>223</v>
      </c>
      <c r="J4" s="53" t="s">
        <v>224</v>
      </c>
      <c r="L4" s="53" t="s">
        <v>225</v>
      </c>
      <c r="N4" s="53" t="s">
        <v>226</v>
      </c>
      <c r="P4" s="54"/>
      <c r="Q4" s="54"/>
      <c r="R4" s="54"/>
      <c r="S4" s="54"/>
    </row>
    <row r="5">
      <c r="B5" s="55"/>
      <c r="C5" s="56"/>
      <c r="D5" s="57"/>
      <c r="E5" s="55"/>
      <c r="F5" s="58" t="s">
        <v>227</v>
      </c>
      <c r="G5" s="58" t="s">
        <v>228</v>
      </c>
      <c r="H5" s="59" t="s">
        <v>227</v>
      </c>
      <c r="I5" s="59" t="s">
        <v>228</v>
      </c>
      <c r="J5" s="59" t="s">
        <v>229</v>
      </c>
      <c r="K5" s="59" t="s">
        <v>230</v>
      </c>
      <c r="L5" s="59" t="s">
        <v>231</v>
      </c>
      <c r="M5" s="59" t="s">
        <v>232</v>
      </c>
      <c r="N5" s="59" t="s">
        <v>231</v>
      </c>
      <c r="O5" s="59" t="s">
        <v>232</v>
      </c>
      <c r="P5" s="60" t="s">
        <v>233</v>
      </c>
      <c r="Q5" s="61"/>
      <c r="R5" s="61"/>
      <c r="S5" s="7"/>
    </row>
    <row r="6">
      <c r="B6" s="62">
        <v>1.0</v>
      </c>
      <c r="C6" s="63" t="s">
        <v>100</v>
      </c>
      <c r="D6" s="7"/>
      <c r="E6" s="64">
        <f>SUMIF('3월 단양 팀STAT'!$C$6:$C$15, $C6, '3월 단양 팀STAT'!E$6:E$15) + SUMIF('4월 삼척 팀STAT'!$C$6:$C$15, $C6, '4월 삼척 팀STAT'!E$6:E$15)</f>
        <v>8</v>
      </c>
      <c r="F6" s="64">
        <f>SUMIF('3월 단양 팀STAT'!$C$6:$C$15, $C6, '3월 단양 팀STAT'!F$6:F$15) + SUMIF('4월 삼척 팀STAT'!$C$6:$C$15, $C6, '4월 삼척 팀STAT'!F$6:F$15)</f>
        <v>7</v>
      </c>
      <c r="G6" s="64">
        <f>SUMIF('3월 단양 팀STAT'!$C$6:$C$15, $C6, '3월 단양 팀STAT'!G$6:G$15) + SUMIF('4월 삼척 팀STAT'!$C$6:$C$15, $C6, '4월 삼척 팀STAT'!G$6:G$15)</f>
        <v>1</v>
      </c>
      <c r="H6" s="64">
        <f>SUMIF('3월 단양 팀STAT'!$C$6:$C$15, $C6, '3월 단양 팀STAT'!H$6:H$15) + SUMIF('4월 삼척 팀STAT'!$C$6:$C$15, $C6, '4월 삼척 팀STAT'!H$6:H$15)</f>
        <v>23</v>
      </c>
      <c r="I6" s="64">
        <f>SUMIF('3월 단양 팀STAT'!$C$6:$C$15, $C6, '3월 단양 팀STAT'!I$6:I$15) + SUMIF('4월 삼척 팀STAT'!$C$6:$C$15, $C6, '4월 삼척 팀STAT'!I$6:I$15)</f>
        <v>5</v>
      </c>
      <c r="J6" s="64">
        <f>SUMIF('3월 단양 팀STAT'!$C$6:$C$15, $C6, '3월 단양 팀STAT'!J$6:J$15) + SUMIF('4월 삼척 팀STAT'!$C$6:$C$15, $C6, '4월 삼척 팀STAT'!J$6:J$15)</f>
        <v>657</v>
      </c>
      <c r="K6" s="64">
        <f>SUMIF('3월 단양 팀STAT'!$C$6:$C$15, $C6, '3월 단양 팀STAT'!K$6:K$15) + SUMIF('4월 삼척 팀STAT'!$C$6:$C$15, $C6, '4월 삼척 팀STAT'!K$6:K$15)</f>
        <v>532</v>
      </c>
      <c r="L6" s="65">
        <f t="shared" ref="L6:L17" si="1">J6/E6</f>
        <v>82.125</v>
      </c>
      <c r="M6" s="65">
        <f t="shared" ref="M6:M17" si="2">K6/E6</f>
        <v>66.5</v>
      </c>
      <c r="N6" s="66">
        <f t="shared" ref="N6:N17" si="3">J6/(H6+I6)</f>
        <v>23.46428571</v>
      </c>
      <c r="O6" s="66">
        <f t="shared" ref="O6:O17" si="4">K6/(I6+H6)</f>
        <v>19</v>
      </c>
      <c r="P6" s="67" t="s">
        <v>234</v>
      </c>
      <c r="Q6" s="61"/>
      <c r="R6" s="61"/>
      <c r="S6" s="7"/>
    </row>
    <row r="7">
      <c r="B7" s="62">
        <v>2.0</v>
      </c>
      <c r="C7" s="68" t="s">
        <v>173</v>
      </c>
      <c r="D7" s="7"/>
      <c r="E7" s="64">
        <f>SUMIF('3월 단양 팀STAT'!$C$6:$C$15, $C7, '3월 단양 팀STAT'!E$6:E$15) + SUMIF('4월 삼척 팀STAT'!$C$6:$C$15, $C7, '4월 삼척 팀STAT'!E$6:E$15)</f>
        <v>2</v>
      </c>
      <c r="F7" s="64">
        <f>SUMIF('3월 단양 팀STAT'!$C$6:$C$15, $C7, '3월 단양 팀STAT'!F$6:F$15) + SUMIF('4월 삼척 팀STAT'!$C$6:$C$15, $C7, '4월 삼척 팀STAT'!F$6:F$15)</f>
        <v>1</v>
      </c>
      <c r="G7" s="64">
        <f>SUMIF('3월 단양 팀STAT'!$C$6:$C$15, $C7, '3월 단양 팀STAT'!G$6:G$15) + SUMIF('4월 삼척 팀STAT'!$C$6:$C$15, $C7, '4월 삼척 팀STAT'!G$6:G$15)</f>
        <v>1</v>
      </c>
      <c r="H7" s="64">
        <f>SUMIF('3월 단양 팀STAT'!$C$6:$C$15, $C7, '3월 단양 팀STAT'!H$6:H$15) + SUMIF('4월 삼척 팀STAT'!$C$6:$C$15, $C7, '4월 삼척 팀STAT'!H$6:H$15)</f>
        <v>3</v>
      </c>
      <c r="I7" s="64">
        <f>SUMIF('3월 단양 팀STAT'!$C$6:$C$15, $C7, '3월 단양 팀STAT'!I$6:I$15) + SUMIF('4월 삼척 팀STAT'!$C$6:$C$15, $C7, '4월 삼척 팀STAT'!I$6:I$15)</f>
        <v>5</v>
      </c>
      <c r="J7" s="64">
        <f>SUMIF('3월 단양 팀STAT'!$C$6:$C$15, $C7, '3월 단양 팀STAT'!J$6:J$15) + SUMIF('4월 삼척 팀STAT'!$C$6:$C$15, $C7, '4월 삼척 팀STAT'!J$6:J$15)</f>
        <v>144</v>
      </c>
      <c r="K7" s="64">
        <f>SUMIF('3월 단양 팀STAT'!$C$6:$C$15, $C7, '3월 단양 팀STAT'!K$6:K$15) + SUMIF('4월 삼척 팀STAT'!$C$6:$C$15, $C7, '4월 삼척 팀STAT'!K$6:K$15)</f>
        <v>179</v>
      </c>
      <c r="L7" s="65">
        <f t="shared" si="1"/>
        <v>72</v>
      </c>
      <c r="M7" s="65">
        <f t="shared" si="2"/>
        <v>89.5</v>
      </c>
      <c r="N7" s="66">
        <f t="shared" si="3"/>
        <v>18</v>
      </c>
      <c r="O7" s="66">
        <f t="shared" si="4"/>
        <v>22.375</v>
      </c>
      <c r="P7" s="69"/>
      <c r="Q7" s="61"/>
      <c r="R7" s="61"/>
      <c r="S7" s="7"/>
    </row>
    <row r="8">
      <c r="B8" s="62">
        <v>3.0</v>
      </c>
      <c r="C8" s="68" t="s">
        <v>127</v>
      </c>
      <c r="D8" s="7"/>
      <c r="E8" s="64">
        <f>SUMIF('3월 단양 팀STAT'!$C$6:$C$15, $C8, '3월 단양 팀STAT'!E$6:E$15) + SUMIF('4월 삼척 팀STAT'!$C$6:$C$15, $C8, '4월 삼척 팀STAT'!E$6:E$15)</f>
        <v>7</v>
      </c>
      <c r="F8" s="64">
        <f>SUMIF('3월 단양 팀STAT'!$C$6:$C$15, $C8, '3월 단양 팀STAT'!F$6:F$15) + SUMIF('4월 삼척 팀STAT'!$C$6:$C$15, $C8, '4월 삼척 팀STAT'!F$6:F$15)</f>
        <v>3</v>
      </c>
      <c r="G8" s="64">
        <f>SUMIF('3월 단양 팀STAT'!$C$6:$C$15, $C8, '3월 단양 팀STAT'!G$6:G$15) + SUMIF('4월 삼척 팀STAT'!$C$6:$C$15, $C8, '4월 삼척 팀STAT'!G$6:G$15)</f>
        <v>4</v>
      </c>
      <c r="H8" s="64">
        <f>SUMIF('3월 단양 팀STAT'!$C$6:$C$15, $C8, '3월 단양 팀STAT'!H$6:H$15) + SUMIF('4월 삼척 팀STAT'!$C$6:$C$15, $C8, '4월 삼척 팀STAT'!H$6:H$15)</f>
        <v>13</v>
      </c>
      <c r="I8" s="64">
        <f>SUMIF('3월 단양 팀STAT'!$C$6:$C$15, $C8, '3월 단양 팀STAT'!I$6:I$15) + SUMIF('4월 삼척 팀STAT'!$C$6:$C$15, $C8, '4월 삼척 팀STAT'!I$6:I$15)</f>
        <v>13</v>
      </c>
      <c r="J8" s="64">
        <f>SUMIF('3월 단양 팀STAT'!$C$6:$C$15, $C8, '3월 단양 팀STAT'!J$6:J$15) + SUMIF('4월 삼척 팀STAT'!$C$6:$C$15, $C8, '4월 삼척 팀STAT'!J$6:J$15)</f>
        <v>548</v>
      </c>
      <c r="K8" s="64">
        <f>SUMIF('3월 단양 팀STAT'!$C$6:$C$15, $C8, '3월 단양 팀STAT'!K$6:K$15) + SUMIF('4월 삼척 팀STAT'!$C$6:$C$15, $C8, '4월 삼척 팀STAT'!K$6:K$15)</f>
        <v>556</v>
      </c>
      <c r="L8" s="65">
        <f t="shared" si="1"/>
        <v>78.28571429</v>
      </c>
      <c r="M8" s="65">
        <f t="shared" si="2"/>
        <v>79.42857143</v>
      </c>
      <c r="N8" s="66">
        <f t="shared" si="3"/>
        <v>21.07692308</v>
      </c>
      <c r="O8" s="66">
        <f t="shared" si="4"/>
        <v>21.38461538</v>
      </c>
      <c r="P8" s="69"/>
      <c r="Q8" s="61"/>
      <c r="R8" s="61"/>
      <c r="S8" s="7"/>
    </row>
    <row r="9">
      <c r="B9" s="62">
        <v>4.0</v>
      </c>
      <c r="C9" s="68" t="s">
        <v>188</v>
      </c>
      <c r="D9" s="7"/>
      <c r="E9" s="64">
        <f>SUMIF('3월 단양 팀STAT'!$C$6:$C$15, $C9, '3월 단양 팀STAT'!E$6:E$15) + SUMIF('4월 삼척 팀STAT'!$C$6:$C$15, $C9, '4월 삼척 팀STAT'!E$6:E$15)</f>
        <v>5</v>
      </c>
      <c r="F9" s="64">
        <f>SUMIF('3월 단양 팀STAT'!$C$6:$C$15, $C9, '3월 단양 팀STAT'!F$6:F$15) + SUMIF('4월 삼척 팀STAT'!$C$6:$C$15, $C9, '4월 삼척 팀STAT'!F$6:F$15)</f>
        <v>3</v>
      </c>
      <c r="G9" s="64">
        <f>SUMIF('3월 단양 팀STAT'!$C$6:$C$15, $C9, '3월 단양 팀STAT'!G$6:G$15) + SUMIF('4월 삼척 팀STAT'!$C$6:$C$15, $C9, '4월 삼척 팀STAT'!G$6:G$15)</f>
        <v>2</v>
      </c>
      <c r="H9" s="64">
        <f>SUMIF('3월 단양 팀STAT'!$C$6:$C$15, $C9, '3월 단양 팀STAT'!H$6:H$15) + SUMIF('4월 삼척 팀STAT'!$C$6:$C$15, $C9, '4월 삼척 팀STAT'!H$6:H$15)</f>
        <v>9</v>
      </c>
      <c r="I9" s="64">
        <f>SUMIF('3월 단양 팀STAT'!$C$6:$C$15, $C9, '3월 단양 팀STAT'!I$6:I$15) + SUMIF('4월 삼척 팀STAT'!$C$6:$C$15, $C9, '4월 삼척 팀STAT'!I$6:I$15)</f>
        <v>9</v>
      </c>
      <c r="J9" s="64">
        <f>SUMIF('3월 단양 팀STAT'!$C$6:$C$15, $C9, '3월 단양 팀STAT'!J$6:J$15) + SUMIF('4월 삼척 팀STAT'!$C$6:$C$15, $C9, '4월 삼척 팀STAT'!J$6:J$15)</f>
        <v>403</v>
      </c>
      <c r="K9" s="64">
        <f>SUMIF('3월 단양 팀STAT'!$C$6:$C$15, $C9, '3월 단양 팀STAT'!K$6:K$15) + SUMIF('4월 삼척 팀STAT'!$C$6:$C$15, $C9, '4월 삼척 팀STAT'!K$6:K$15)</f>
        <v>370</v>
      </c>
      <c r="L9" s="65">
        <f t="shared" si="1"/>
        <v>80.6</v>
      </c>
      <c r="M9" s="65">
        <f t="shared" si="2"/>
        <v>74</v>
      </c>
      <c r="N9" s="66">
        <f t="shared" si="3"/>
        <v>22.38888889</v>
      </c>
      <c r="O9" s="66">
        <f t="shared" si="4"/>
        <v>20.55555556</v>
      </c>
      <c r="P9" s="67"/>
      <c r="Q9" s="61"/>
      <c r="R9" s="61"/>
      <c r="S9" s="7"/>
    </row>
    <row r="10">
      <c r="B10" s="62">
        <v>5.0</v>
      </c>
      <c r="C10" s="68" t="s">
        <v>83</v>
      </c>
      <c r="D10" s="7"/>
      <c r="E10" s="64">
        <f>SUMIF('3월 단양 팀STAT'!$C$6:$C$15, $C10, '3월 단양 팀STAT'!E$6:E$15) + SUMIF('4월 삼척 팀STAT'!$C$6:$C$15, $C10, '4월 삼척 팀STAT'!E$6:E$15)</f>
        <v>7</v>
      </c>
      <c r="F10" s="64">
        <f>SUMIF('3월 단양 팀STAT'!$C$6:$C$15, $C10, '3월 단양 팀STAT'!F$6:F$15) + SUMIF('4월 삼척 팀STAT'!$C$6:$C$15, $C10, '4월 삼척 팀STAT'!F$6:F$15)</f>
        <v>2</v>
      </c>
      <c r="G10" s="64">
        <f>SUMIF('3월 단양 팀STAT'!$C$6:$C$15, $C10, '3월 단양 팀STAT'!G$6:G$15) + SUMIF('4월 삼척 팀STAT'!$C$6:$C$15, $C10, '4월 삼척 팀STAT'!G$6:G$15)</f>
        <v>5</v>
      </c>
      <c r="H10" s="64">
        <f>SUMIF('3월 단양 팀STAT'!$C$6:$C$15, $C10, '3월 단양 팀STAT'!H$6:H$15) + SUMIF('4월 삼척 팀STAT'!$C$6:$C$15, $C10, '4월 삼척 팀STAT'!H$6:H$15)</f>
        <v>10</v>
      </c>
      <c r="I10" s="64">
        <f>SUMIF('3월 단양 팀STAT'!$C$6:$C$15, $C10, '3월 단양 팀STAT'!I$6:I$15) + SUMIF('4월 삼척 팀STAT'!$C$6:$C$15, $C10, '4월 삼척 팀STAT'!I$6:I$15)</f>
        <v>17</v>
      </c>
      <c r="J10" s="64">
        <f>SUMIF('3월 단양 팀STAT'!$C$6:$C$15, $C10, '3월 단양 팀STAT'!J$6:J$15) + SUMIF('4월 삼척 팀STAT'!$C$6:$C$15, $C10, '4월 삼척 팀STAT'!J$6:J$15)</f>
        <v>562</v>
      </c>
      <c r="K10" s="64">
        <f>SUMIF('3월 단양 팀STAT'!$C$6:$C$15, $C10, '3월 단양 팀STAT'!K$6:K$15) + SUMIF('4월 삼척 팀STAT'!$C$6:$C$15, $C10, '4월 삼척 팀STAT'!K$6:K$15)</f>
        <v>567</v>
      </c>
      <c r="L10" s="65">
        <f t="shared" si="1"/>
        <v>80.28571429</v>
      </c>
      <c r="M10" s="65">
        <f t="shared" si="2"/>
        <v>81</v>
      </c>
      <c r="N10" s="66">
        <f t="shared" si="3"/>
        <v>20.81481481</v>
      </c>
      <c r="O10" s="66">
        <f t="shared" si="4"/>
        <v>21</v>
      </c>
      <c r="P10" s="69"/>
      <c r="Q10" s="61"/>
      <c r="R10" s="61"/>
      <c r="S10" s="7"/>
    </row>
    <row r="11">
      <c r="B11" s="62">
        <v>6.0</v>
      </c>
      <c r="C11" s="68" t="s">
        <v>201</v>
      </c>
      <c r="D11" s="7"/>
      <c r="E11" s="64">
        <f>SUMIF('3월 단양 팀STAT'!$C$6:$C$15, $C11, '3월 단양 팀STAT'!E$6:E$15) + SUMIF('4월 삼척 팀STAT'!$C$6:$C$15, $C11, '4월 삼척 팀STAT'!E$6:E$15)</f>
        <v>3</v>
      </c>
      <c r="F11" s="64">
        <f>SUMIF('3월 단양 팀STAT'!$C$6:$C$15, $C11, '3월 단양 팀STAT'!F$6:F$15) + SUMIF('4월 삼척 팀STAT'!$C$6:$C$15, $C11, '4월 삼척 팀STAT'!F$6:F$15)</f>
        <v>2</v>
      </c>
      <c r="G11" s="64">
        <f>SUMIF('3월 단양 팀STAT'!$C$6:$C$15, $C11, '3월 단양 팀STAT'!G$6:G$15) + SUMIF('4월 삼척 팀STAT'!$C$6:$C$15, $C11, '4월 삼척 팀STAT'!G$6:G$15)</f>
        <v>1</v>
      </c>
      <c r="H11" s="64">
        <f>SUMIF('3월 단양 팀STAT'!$C$6:$C$15, $C11, '3월 단양 팀STAT'!H$6:H$15) + SUMIF('4월 삼척 팀STAT'!$C$6:$C$15, $C11, '4월 삼척 팀STAT'!H$6:H$15)</f>
        <v>6</v>
      </c>
      <c r="I11" s="64">
        <f>SUMIF('3월 단양 팀STAT'!$C$6:$C$15, $C11, '3월 단양 팀STAT'!I$6:I$15) + SUMIF('4월 삼척 팀STAT'!$C$6:$C$15, $C11, '4월 삼척 팀STAT'!I$6:I$15)</f>
        <v>3</v>
      </c>
      <c r="J11" s="64">
        <f>SUMIF('3월 단양 팀STAT'!$C$6:$C$15, $C11, '3월 단양 팀STAT'!J$6:J$15) + SUMIF('4월 삼척 팀STAT'!$C$6:$C$15, $C11, '4월 삼척 팀STAT'!J$6:J$15)</f>
        <v>207</v>
      </c>
      <c r="K11" s="64">
        <f>SUMIF('3월 단양 팀STAT'!$C$6:$C$15, $C11, '3월 단양 팀STAT'!K$6:K$15) + SUMIF('4월 삼척 팀STAT'!$C$6:$C$15, $C11, '4월 삼척 팀STAT'!K$6:K$15)</f>
        <v>182</v>
      </c>
      <c r="L11" s="65">
        <f t="shared" si="1"/>
        <v>69</v>
      </c>
      <c r="M11" s="65">
        <f t="shared" si="2"/>
        <v>60.66666667</v>
      </c>
      <c r="N11" s="66">
        <f t="shared" si="3"/>
        <v>23</v>
      </c>
      <c r="O11" s="66">
        <f t="shared" si="4"/>
        <v>20.22222222</v>
      </c>
      <c r="P11" s="69"/>
      <c r="Q11" s="61"/>
      <c r="R11" s="61"/>
      <c r="S11" s="7"/>
    </row>
    <row r="12">
      <c r="B12" s="62">
        <v>7.0</v>
      </c>
      <c r="C12" s="68" t="s">
        <v>162</v>
      </c>
      <c r="D12" s="7"/>
      <c r="E12" s="64">
        <f>SUMIF('3월 단양 팀STAT'!$C$6:$C$15, $C12, '3월 단양 팀STAT'!E$6:E$15) + SUMIF('4월 삼척 팀STAT'!$C$6:$C$15, $C12, '4월 삼척 팀STAT'!E$6:E$15)</f>
        <v>5</v>
      </c>
      <c r="F12" s="64">
        <f>SUMIF('3월 단양 팀STAT'!$C$6:$C$15, $C12, '3월 단양 팀STAT'!F$6:F$15) + SUMIF('4월 삼척 팀STAT'!$C$6:$C$15, $C12, '4월 삼척 팀STAT'!F$6:F$15)</f>
        <v>0</v>
      </c>
      <c r="G12" s="64">
        <f>SUMIF('3월 단양 팀STAT'!$C$6:$C$15, $C12, '3월 단양 팀STAT'!G$6:G$15) + SUMIF('4월 삼척 팀STAT'!$C$6:$C$15, $C12, '4월 삼척 팀STAT'!G$6:G$15)</f>
        <v>5</v>
      </c>
      <c r="H12" s="64">
        <f>SUMIF('3월 단양 팀STAT'!$C$6:$C$15, $C12, '3월 단양 팀STAT'!H$6:H$15) + SUMIF('4월 삼척 팀STAT'!$C$6:$C$15, $C12, '4월 삼척 팀STAT'!H$6:H$15)</f>
        <v>0</v>
      </c>
      <c r="I12" s="64">
        <f>SUMIF('3월 단양 팀STAT'!$C$6:$C$15, $C12, '3월 단양 팀STAT'!I$6:I$15) + SUMIF('4월 삼척 팀STAT'!$C$6:$C$15, $C12, '4월 삼척 팀STAT'!I$6:I$15)</f>
        <v>15</v>
      </c>
      <c r="J12" s="64">
        <f>SUMIF('3월 단양 팀STAT'!$C$6:$C$15, $C12, '3월 단양 팀STAT'!J$6:J$15) + SUMIF('4월 삼척 팀STAT'!$C$6:$C$15, $C12, '4월 삼척 팀STAT'!J$6:J$15)</f>
        <v>212</v>
      </c>
      <c r="K12" s="64">
        <f>SUMIF('3월 단양 팀STAT'!$C$6:$C$15, $C12, '3월 단양 팀STAT'!K$6:K$15) + SUMIF('4월 삼척 팀STAT'!$C$6:$C$15, $C12, '4월 삼척 팀STAT'!K$6:K$15)</f>
        <v>375</v>
      </c>
      <c r="L12" s="65">
        <f t="shared" si="1"/>
        <v>42.4</v>
      </c>
      <c r="M12" s="65">
        <f t="shared" si="2"/>
        <v>75</v>
      </c>
      <c r="N12" s="66">
        <f t="shared" si="3"/>
        <v>14.13333333</v>
      </c>
      <c r="O12" s="66">
        <f t="shared" si="4"/>
        <v>25</v>
      </c>
      <c r="P12" s="69"/>
      <c r="Q12" s="61"/>
      <c r="R12" s="61"/>
      <c r="S12" s="7"/>
    </row>
    <row r="13">
      <c r="B13" s="62">
        <v>8.0</v>
      </c>
      <c r="C13" s="68" t="s">
        <v>45</v>
      </c>
      <c r="D13" s="7"/>
      <c r="E13" s="64">
        <f>SUMIF('3월 단양 팀STAT'!$C$6:$C$15, $C13, '3월 단양 팀STAT'!E$6:E$15) + SUMIF('4월 삼척 팀STAT'!$C$6:$C$15, $C13, '4월 삼척 팀STAT'!E$6:E$15)</f>
        <v>4</v>
      </c>
      <c r="F13" s="64">
        <f>SUMIF('3월 단양 팀STAT'!$C$6:$C$15, $C13, '3월 단양 팀STAT'!F$6:F$15) + SUMIF('4월 삼척 팀STAT'!$C$6:$C$15, $C13, '4월 삼척 팀STAT'!F$6:F$15)</f>
        <v>3</v>
      </c>
      <c r="G13" s="64">
        <f>SUMIF('3월 단양 팀STAT'!$C$6:$C$15, $C13, '3월 단양 팀STAT'!G$6:G$15) + SUMIF('4월 삼척 팀STAT'!$C$6:$C$15, $C13, '4월 삼척 팀STAT'!G$6:G$15)</f>
        <v>1</v>
      </c>
      <c r="H13" s="64">
        <f>SUMIF('3월 단양 팀STAT'!$C$6:$C$15, $C13, '3월 단양 팀STAT'!H$6:H$15) + SUMIF('4월 삼척 팀STAT'!$C$6:$C$15, $C13, '4월 삼척 팀STAT'!H$6:H$15)</f>
        <v>10</v>
      </c>
      <c r="I13" s="64">
        <f>SUMIF('3월 단양 팀STAT'!$C$6:$C$15, $C13, '3월 단양 팀STAT'!I$6:I$15) + SUMIF('4월 삼척 팀STAT'!$C$6:$C$15, $C13, '4월 삼척 팀STAT'!I$6:I$15)</f>
        <v>4</v>
      </c>
      <c r="J13" s="64">
        <f>SUMIF('3월 단양 팀STAT'!$C$6:$C$15, $C13, '3월 단양 팀STAT'!J$6:J$15) + SUMIF('4월 삼척 팀STAT'!$C$6:$C$15, $C13, '4월 삼척 팀STAT'!J$6:J$15)</f>
        <v>344</v>
      </c>
      <c r="K13" s="64">
        <f>SUMIF('3월 단양 팀STAT'!$C$6:$C$15, $C13, '3월 단양 팀STAT'!K$6:K$15) + SUMIF('4월 삼척 팀STAT'!$C$6:$C$15, $C13, '4월 삼척 팀STAT'!K$6:K$15)</f>
        <v>307</v>
      </c>
      <c r="L13" s="65">
        <f t="shared" si="1"/>
        <v>86</v>
      </c>
      <c r="M13" s="65">
        <f t="shared" si="2"/>
        <v>76.75</v>
      </c>
      <c r="N13" s="66">
        <f t="shared" si="3"/>
        <v>24.57142857</v>
      </c>
      <c r="O13" s="66">
        <f t="shared" si="4"/>
        <v>21.92857143</v>
      </c>
      <c r="P13" s="67" t="s">
        <v>235</v>
      </c>
      <c r="Q13" s="61"/>
      <c r="R13" s="61"/>
      <c r="S13" s="7"/>
    </row>
    <row r="14">
      <c r="B14" s="62">
        <v>9.0</v>
      </c>
      <c r="C14" s="68" t="s">
        <v>67</v>
      </c>
      <c r="D14" s="7"/>
      <c r="E14" s="64">
        <f>SUMIF('3월 단양 팀STAT'!$C$6:$C$15, $C14, '3월 단양 팀STAT'!E$6:E$15) + SUMIF('4월 삼척 팀STAT'!$C$6:$C$15, $C14, '4월 삼척 팀STAT'!E$6:E$15)</f>
        <v>4</v>
      </c>
      <c r="F14" s="64">
        <f>SUMIF('3월 단양 팀STAT'!$C$6:$C$15, $C14, '3월 단양 팀STAT'!F$6:F$15) + SUMIF('4월 삼척 팀STAT'!$C$6:$C$15, $C14, '4월 삼척 팀STAT'!F$6:F$15)</f>
        <v>3</v>
      </c>
      <c r="G14" s="64">
        <f>SUMIF('3월 단양 팀STAT'!$C$6:$C$15, $C14, '3월 단양 팀STAT'!G$6:G$15) + SUMIF('4월 삼척 팀STAT'!$C$6:$C$15, $C14, '4월 삼척 팀STAT'!G$6:G$15)</f>
        <v>1</v>
      </c>
      <c r="H14" s="64">
        <f>SUMIF('3월 단양 팀STAT'!$C$6:$C$15, $C14, '3월 단양 팀STAT'!H$6:H$15) + SUMIF('4월 삼척 팀STAT'!$C$6:$C$15, $C14, '4월 삼척 팀STAT'!H$6:H$15)</f>
        <v>10</v>
      </c>
      <c r="I14" s="64">
        <f>SUMIF('3월 단양 팀STAT'!$C$6:$C$15, $C14, '3월 단양 팀STAT'!I$6:I$15) + SUMIF('4월 삼척 팀STAT'!$C$6:$C$15, $C14, '4월 삼척 팀STAT'!I$6:I$15)</f>
        <v>5</v>
      </c>
      <c r="J14" s="64">
        <f>SUMIF('3월 단양 팀STAT'!$C$6:$C$15, $C14, '3월 단양 팀STAT'!J$6:J$15) + SUMIF('4월 삼척 팀STAT'!$C$6:$C$15, $C14, '4월 삼척 팀STAT'!J$6:J$15)</f>
        <v>336</v>
      </c>
      <c r="K14" s="64">
        <f>SUMIF('3월 단양 팀STAT'!$C$6:$C$15, $C14, '3월 단양 팀STAT'!K$6:K$15) + SUMIF('4월 삼척 팀STAT'!$C$6:$C$15, $C14, '4월 삼척 팀STAT'!K$6:K$15)</f>
        <v>283</v>
      </c>
      <c r="L14" s="65">
        <f t="shared" si="1"/>
        <v>84</v>
      </c>
      <c r="M14" s="65">
        <f t="shared" si="2"/>
        <v>70.75</v>
      </c>
      <c r="N14" s="66">
        <f t="shared" si="3"/>
        <v>22.4</v>
      </c>
      <c r="O14" s="66">
        <f t="shared" si="4"/>
        <v>18.86666667</v>
      </c>
      <c r="P14" s="69"/>
      <c r="Q14" s="61"/>
      <c r="R14" s="61"/>
      <c r="S14" s="7"/>
    </row>
    <row r="15">
      <c r="B15" s="62">
        <v>10.0</v>
      </c>
      <c r="C15" s="68" t="s">
        <v>114</v>
      </c>
      <c r="D15" s="7"/>
      <c r="E15" s="64">
        <f>SUMIF('3월 단양 팀STAT'!$C$6:$C$15, $C15, '3월 단양 팀STAT'!E$6:E$15) + SUMIF('4월 삼척 팀STAT'!$C$6:$C$15, $C15, '4월 삼척 팀STAT'!E$6:E$15)</f>
        <v>3</v>
      </c>
      <c r="F15" s="64">
        <f>SUMIF('3월 단양 팀STAT'!$C$6:$C$15, $C15, '3월 단양 팀STAT'!F$6:F$15) + SUMIF('4월 삼척 팀STAT'!$C$6:$C$15, $C15, '4월 삼척 팀STAT'!F$6:F$15)</f>
        <v>1</v>
      </c>
      <c r="G15" s="64">
        <f>SUMIF('3월 단양 팀STAT'!$C$6:$C$15, $C15, '3월 단양 팀STAT'!G$6:G$15) + SUMIF('4월 삼척 팀STAT'!$C$6:$C$15, $C15, '4월 삼척 팀STAT'!G$6:G$15)</f>
        <v>2</v>
      </c>
      <c r="H15" s="64">
        <f>SUMIF('3월 단양 팀STAT'!$C$6:$C$15, $C15, '3월 단양 팀STAT'!H$6:H$15) + SUMIF('4월 삼척 팀STAT'!$C$6:$C$15, $C15, '4월 삼척 팀STAT'!H$6:H$15)</f>
        <v>5</v>
      </c>
      <c r="I15" s="64">
        <f>SUMIF('3월 단양 팀STAT'!$C$6:$C$15, $C15, '3월 단양 팀STAT'!I$6:I$15) + SUMIF('4월 삼척 팀STAT'!$C$6:$C$15, $C15, '4월 삼척 팀STAT'!I$6:I$15)</f>
        <v>7</v>
      </c>
      <c r="J15" s="64">
        <f>SUMIF('3월 단양 팀STAT'!$C$6:$C$15, $C15, '3월 단양 팀STAT'!J$6:J$15) + SUMIF('4월 삼척 팀STAT'!$C$6:$C$15, $C15, '4월 삼척 팀STAT'!J$6:J$15)</f>
        <v>264</v>
      </c>
      <c r="K15" s="64">
        <f>SUMIF('3월 단양 팀STAT'!$C$6:$C$15, $C15, '3월 단양 팀STAT'!K$6:K$15) + SUMIF('4월 삼척 팀STAT'!$C$6:$C$15, $C15, '4월 삼척 팀STAT'!K$6:K$15)</f>
        <v>293</v>
      </c>
      <c r="L15" s="65">
        <f t="shared" si="1"/>
        <v>88</v>
      </c>
      <c r="M15" s="65">
        <f t="shared" si="2"/>
        <v>97.66666667</v>
      </c>
      <c r="N15" s="66">
        <f t="shared" si="3"/>
        <v>22</v>
      </c>
      <c r="O15" s="66">
        <f t="shared" si="4"/>
        <v>24.41666667</v>
      </c>
      <c r="P15" s="69"/>
      <c r="Q15" s="61"/>
      <c r="R15" s="61"/>
      <c r="S15" s="7"/>
    </row>
    <row r="16">
      <c r="B16" s="62">
        <v>11.0</v>
      </c>
      <c r="C16" s="68" t="s">
        <v>138</v>
      </c>
      <c r="D16" s="7"/>
      <c r="E16" s="64">
        <f>SUMIF('3월 단양 팀STAT'!$C$6:$C$15, $C16, '3월 단양 팀STAT'!E$6:E$15) + SUMIF('4월 삼척 팀STAT'!$C$6:$C$15, $C16, '4월 삼척 팀STAT'!E$6:E$15)</f>
        <v>2</v>
      </c>
      <c r="F16" s="64">
        <f>SUMIF('3월 단양 팀STAT'!$C$6:$C$15, $C16, '3월 단양 팀STAT'!F$6:F$15) + SUMIF('4월 삼척 팀STAT'!$C$6:$C$15, $C16, '4월 삼척 팀STAT'!F$6:F$15)</f>
        <v>1</v>
      </c>
      <c r="G16" s="64">
        <f>SUMIF('3월 단양 팀STAT'!$C$6:$C$15, $C16, '3월 단양 팀STAT'!G$6:G$15) + SUMIF('4월 삼척 팀STAT'!$C$6:$C$15, $C16, '4월 삼척 팀STAT'!G$6:G$15)</f>
        <v>1</v>
      </c>
      <c r="H16" s="64">
        <f>SUMIF('3월 단양 팀STAT'!$C$6:$C$15, $C16, '3월 단양 팀STAT'!H$6:H$15) + SUMIF('4월 삼척 팀STAT'!$C$6:$C$15, $C16, '4월 삼척 팀STAT'!H$6:H$15)</f>
        <v>3</v>
      </c>
      <c r="I16" s="64">
        <f>SUMIF('3월 단양 팀STAT'!$C$6:$C$15, $C16, '3월 단양 팀STAT'!I$6:I$15) + SUMIF('4월 삼척 팀STAT'!$C$6:$C$15, $C16, '4월 삼척 팀STAT'!I$6:I$15)</f>
        <v>4</v>
      </c>
      <c r="J16" s="64">
        <f>SUMIF('3월 단양 팀STAT'!$C$6:$C$15, $C16, '3월 단양 팀STAT'!J$6:J$15) + SUMIF('4월 삼척 팀STAT'!$C$6:$C$15, $C16, '4월 삼척 팀STAT'!J$6:J$15)</f>
        <v>153</v>
      </c>
      <c r="K16" s="64">
        <f>SUMIF('3월 단양 팀STAT'!$C$6:$C$15, $C16, '3월 단양 팀STAT'!K$6:K$15) + SUMIF('4월 삼척 팀STAT'!$C$6:$C$15, $C16, '4월 삼척 팀STAT'!K$6:K$15)</f>
        <v>160</v>
      </c>
      <c r="L16" s="65">
        <f t="shared" si="1"/>
        <v>76.5</v>
      </c>
      <c r="M16" s="65">
        <f t="shared" si="2"/>
        <v>80</v>
      </c>
      <c r="N16" s="66">
        <f t="shared" si="3"/>
        <v>21.85714286</v>
      </c>
      <c r="O16" s="66">
        <f t="shared" si="4"/>
        <v>22.85714286</v>
      </c>
      <c r="P16" s="69"/>
      <c r="Q16" s="61"/>
      <c r="R16" s="61"/>
      <c r="S16" s="7"/>
    </row>
    <row r="17">
      <c r="B17" s="62">
        <v>12.0</v>
      </c>
      <c r="C17" s="68" t="s">
        <v>151</v>
      </c>
      <c r="D17" s="7"/>
      <c r="E17" s="64">
        <f>SUMIF('3월 단양 팀STAT'!$C$6:$C$15, $C17, '3월 단양 팀STAT'!E$6:E$15) + SUMIF('4월 삼척 팀STAT'!$C$6:$C$15, $C17, '4월 삼척 팀STAT'!E$6:E$15)</f>
        <v>2</v>
      </c>
      <c r="F17" s="64">
        <f>SUMIF('3월 단양 팀STAT'!$C$6:$C$15, $C17, '3월 단양 팀STAT'!F$6:F$15) + SUMIF('4월 삼척 팀STAT'!$C$6:$C$15, $C17, '4월 삼척 팀STAT'!F$6:F$15)</f>
        <v>0</v>
      </c>
      <c r="G17" s="64">
        <f>SUMIF('3월 단양 팀STAT'!$C$6:$C$15, $C17, '3월 단양 팀STAT'!G$6:G$15) + SUMIF('4월 삼척 팀STAT'!$C$6:$C$15, $C17, '4월 삼척 팀STAT'!G$6:G$15)</f>
        <v>2</v>
      </c>
      <c r="H17" s="64">
        <f>SUMIF('3월 단양 팀STAT'!$C$6:$C$15, $C17, '3월 단양 팀STAT'!H$6:H$15) + SUMIF('4월 삼척 팀STAT'!$C$6:$C$15, $C17, '4월 삼척 팀STAT'!H$6:H$15)</f>
        <v>1</v>
      </c>
      <c r="I17" s="64">
        <f>SUMIF('3월 단양 팀STAT'!$C$6:$C$15, $C17, '3월 단양 팀STAT'!I$6:I$15) + SUMIF('4월 삼척 팀STAT'!$C$6:$C$15, $C17, '4월 삼척 팀STAT'!I$6:I$15)</f>
        <v>6</v>
      </c>
      <c r="J17" s="64">
        <f>SUMIF('3월 단양 팀STAT'!$C$6:$C$15, $C17, '3월 단양 팀STAT'!J$6:J$15) + SUMIF('4월 삼척 팀STAT'!$C$6:$C$15, $C17, '4월 삼척 팀STAT'!J$6:J$15)</f>
        <v>145</v>
      </c>
      <c r="K17" s="64">
        <f>SUMIF('3월 단양 팀STAT'!$C$6:$C$15, $C17, '3월 단양 팀STAT'!K$6:K$15) + SUMIF('4월 삼척 팀STAT'!$C$6:$C$15, $C17, '4월 삼척 팀STAT'!K$6:K$15)</f>
        <v>171</v>
      </c>
      <c r="L17" s="65">
        <f t="shared" si="1"/>
        <v>72.5</v>
      </c>
      <c r="M17" s="65">
        <f t="shared" si="2"/>
        <v>85.5</v>
      </c>
      <c r="N17" s="66">
        <f t="shared" si="3"/>
        <v>20.71428571</v>
      </c>
      <c r="O17" s="66">
        <f t="shared" si="4"/>
        <v>24.42857143</v>
      </c>
      <c r="P17" s="69"/>
      <c r="Q17" s="61"/>
      <c r="R17" s="61"/>
      <c r="S17" s="7"/>
    </row>
    <row r="18">
      <c r="B18" s="62">
        <v>13.0</v>
      </c>
      <c r="C18" s="68"/>
      <c r="D18" s="7"/>
      <c r="E18" s="64"/>
      <c r="F18" s="70"/>
      <c r="G18" s="70"/>
      <c r="H18" s="70"/>
      <c r="I18" s="70"/>
      <c r="J18" s="71"/>
      <c r="K18" s="71"/>
      <c r="L18" s="72"/>
      <c r="M18" s="70"/>
      <c r="N18" s="73"/>
      <c r="O18" s="73"/>
      <c r="P18" s="69"/>
      <c r="Q18" s="61"/>
      <c r="R18" s="61"/>
      <c r="S18" s="7"/>
    </row>
    <row r="19">
      <c r="B19" s="62">
        <v>14.0</v>
      </c>
      <c r="C19" s="68"/>
      <c r="D19" s="7"/>
      <c r="E19" s="64"/>
      <c r="F19" s="70"/>
      <c r="G19" s="70"/>
      <c r="H19" s="70"/>
      <c r="I19" s="70"/>
      <c r="J19" s="71"/>
      <c r="K19" s="71"/>
      <c r="L19" s="72"/>
      <c r="M19" s="70"/>
      <c r="N19" s="73"/>
      <c r="O19" s="73"/>
      <c r="P19" s="69"/>
      <c r="Q19" s="61"/>
      <c r="R19" s="61"/>
      <c r="S19" s="7"/>
    </row>
    <row r="20">
      <c r="B20" s="62">
        <v>15.0</v>
      </c>
      <c r="C20" s="68"/>
      <c r="D20" s="7"/>
      <c r="E20" s="64"/>
      <c r="F20" s="70"/>
      <c r="G20" s="70"/>
      <c r="H20" s="70"/>
      <c r="I20" s="70"/>
      <c r="J20" s="71"/>
      <c r="K20" s="71"/>
      <c r="L20" s="72"/>
      <c r="M20" s="70"/>
      <c r="N20" s="73"/>
      <c r="O20" s="73"/>
      <c r="P20" s="69"/>
      <c r="Q20" s="61"/>
      <c r="R20" s="61"/>
      <c r="S20" s="7"/>
    </row>
    <row r="21">
      <c r="B21" s="74"/>
      <c r="C21" s="75" t="s">
        <v>236</v>
      </c>
      <c r="D21" s="7"/>
      <c r="E21" s="72">
        <f t="shared" ref="E21:O21" si="5">SUM(E6:E20)</f>
        <v>52</v>
      </c>
      <c r="F21" s="72">
        <f t="shared" si="5"/>
        <v>26</v>
      </c>
      <c r="G21" s="72">
        <f t="shared" si="5"/>
        <v>26</v>
      </c>
      <c r="H21" s="72">
        <f t="shared" si="5"/>
        <v>93</v>
      </c>
      <c r="I21" s="72">
        <f t="shared" si="5"/>
        <v>93</v>
      </c>
      <c r="J21" s="76">
        <f t="shared" si="5"/>
        <v>3975</v>
      </c>
      <c r="K21" s="76">
        <f t="shared" si="5"/>
        <v>3975</v>
      </c>
      <c r="L21" s="65">
        <f t="shared" si="5"/>
        <v>911.6964286</v>
      </c>
      <c r="M21" s="65">
        <f t="shared" si="5"/>
        <v>936.7619048</v>
      </c>
      <c r="N21" s="65">
        <f t="shared" si="5"/>
        <v>254.421103</v>
      </c>
      <c r="O21" s="65">
        <f t="shared" si="5"/>
        <v>262.0350122</v>
      </c>
      <c r="P21" s="69"/>
      <c r="Q21" s="61"/>
      <c r="R21" s="61"/>
      <c r="S21" s="7"/>
    </row>
    <row r="24">
      <c r="B24" s="77"/>
    </row>
    <row r="25">
      <c r="B25" s="78" t="s">
        <v>237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</row>
    <row r="26">
      <c r="B26" s="79" t="s">
        <v>3</v>
      </c>
      <c r="C26" s="80" t="s">
        <v>4</v>
      </c>
      <c r="D26" s="51"/>
      <c r="E26" s="81" t="s">
        <v>238</v>
      </c>
      <c r="F26" s="10" t="s">
        <v>13</v>
      </c>
      <c r="G26" s="10" t="s">
        <v>14</v>
      </c>
      <c r="H26" s="10" t="s">
        <v>15</v>
      </c>
      <c r="I26" s="10" t="s">
        <v>16</v>
      </c>
      <c r="J26" s="10" t="s">
        <v>17</v>
      </c>
      <c r="K26" s="11" t="s">
        <v>18</v>
      </c>
      <c r="L26" s="12" t="s">
        <v>19</v>
      </c>
      <c r="M26" s="10" t="s">
        <v>20</v>
      </c>
      <c r="N26" s="10" t="s">
        <v>21</v>
      </c>
      <c r="O26" s="10" t="s">
        <v>22</v>
      </c>
      <c r="P26" s="10" t="s">
        <v>23</v>
      </c>
      <c r="Q26" s="10" t="s">
        <v>24</v>
      </c>
      <c r="R26" s="10" t="s">
        <v>25</v>
      </c>
      <c r="S26" s="11" t="s">
        <v>26</v>
      </c>
      <c r="T26" s="10" t="s">
        <v>27</v>
      </c>
      <c r="U26" s="11" t="s">
        <v>28</v>
      </c>
      <c r="V26" s="82" t="s">
        <v>239</v>
      </c>
      <c r="W26" s="11" t="s">
        <v>30</v>
      </c>
      <c r="X26" s="10" t="s">
        <v>31</v>
      </c>
      <c r="Y26" s="10" t="s">
        <v>32</v>
      </c>
      <c r="Z26" s="11" t="s">
        <v>33</v>
      </c>
      <c r="AA26" s="10" t="s">
        <v>34</v>
      </c>
      <c r="AB26" s="13" t="s">
        <v>35</v>
      </c>
      <c r="AD26" s="9" t="s">
        <v>36</v>
      </c>
      <c r="AE26" s="15" t="s">
        <v>37</v>
      </c>
      <c r="AF26" s="16" t="s">
        <v>38</v>
      </c>
      <c r="AG26" s="9" t="s">
        <v>39</v>
      </c>
      <c r="AH26" s="9" t="s">
        <v>40</v>
      </c>
      <c r="AI26" s="15" t="s">
        <v>41</v>
      </c>
      <c r="AJ26" s="15" t="s">
        <v>240</v>
      </c>
      <c r="AK26" s="9" t="s">
        <v>43</v>
      </c>
      <c r="AL26" s="9" t="s">
        <v>44</v>
      </c>
    </row>
    <row r="27">
      <c r="B27" s="83">
        <v>1.0</v>
      </c>
      <c r="C27" s="84" t="str">
        <f t="shared" ref="C27:C41" si="6">C6</f>
        <v>천안청수</v>
      </c>
      <c r="D27" s="7"/>
      <c r="E27" s="64">
        <f>SUMIF('3월 단양 팀STAT'!$C$53:$C$62, $C27, '3월 단양 팀STAT'!E$53:E$62) + SUMIF('4월 삼척 팀STAT'!$C$49:$C$58, $C27, '4월 삼척 팀STAT'!E$49:E$58)</f>
        <v>8</v>
      </c>
      <c r="F27" s="64">
        <f>SUMIF('3월 단양 팀STAT'!$C$53:$C$62, $C27, '3월 단양 팀STAT'!F$53:F$62) + SUMIF('4월 삼척 팀STAT'!$C$49:$C$58, $C27, '4월 삼척 팀STAT'!F$49:F$58)</f>
        <v>28</v>
      </c>
      <c r="G27" s="64">
        <f>SUMIF('3월 단양 팀STAT'!$C$53:$C$62, $C27, '3월 단양 팀STAT'!G$53:G$62) + SUMIF('4월 삼척 팀STAT'!$C$49:$C$58, $C27, '4월 삼척 팀STAT'!G$49:G$58)</f>
        <v>365</v>
      </c>
      <c r="H27" s="64">
        <f>SUMIF('3월 단양 팀STAT'!$C$53:$C$62, $C27, '3월 단양 팀STAT'!H$53:H$62) + SUMIF('4월 삼척 팀STAT'!$C$49:$C$58, $C27, '4월 삼척 팀STAT'!H$49:H$58)</f>
        <v>335</v>
      </c>
      <c r="I27" s="64">
        <f>SUMIF('3월 단양 팀STAT'!$C$53:$C$62, $C27, '3월 단양 팀STAT'!I$53:I$62) + SUMIF('4월 삼척 팀STAT'!$C$49:$C$58, $C27, '4월 삼척 팀STAT'!I$49:I$58)</f>
        <v>410</v>
      </c>
      <c r="J27" s="64">
        <f>SUMIF('3월 단양 팀STAT'!$C$53:$C$62, $C27, '3월 단양 팀STAT'!J$53:J$62) + SUMIF('4월 삼척 팀STAT'!$C$49:$C$58, $C27, '4월 삼척 팀STAT'!J$49:J$58)</f>
        <v>124</v>
      </c>
      <c r="K27" s="85">
        <f>if(J27+I27+G27=0,"-",J27+I27+G27)</f>
        <v>899</v>
      </c>
      <c r="L27" s="86">
        <f>if(iferror((G27-J27)/K27,0)=0,"-",round((G27-J27)/K27,2))</f>
        <v>0.27</v>
      </c>
      <c r="M27" s="64">
        <f>SUMIF('3월 단양 팀STAT'!$C$53:$C$62, $C27, '3월 단양 팀STAT'!M$53:M$62) + SUMIF('4월 삼척 팀STAT'!$C$49:$C$58, $C27, '4월 삼척 팀STAT'!M$49:M$58)</f>
        <v>70</v>
      </c>
      <c r="N27" s="64">
        <f>SUMIF('3월 단양 팀STAT'!$C$53:$C$62, $C27, '3월 단양 팀STAT'!N$53:N$62) + SUMIF('4월 삼척 팀STAT'!$C$49:$C$58, $C27, '4월 삼척 팀STAT'!N$49:N$58)</f>
        <v>6</v>
      </c>
      <c r="O27" s="64">
        <f>SUMIF('3월 단양 팀STAT'!$C$53:$C$62, $C27, '3월 단양 팀STAT'!O$53:O$62) + SUMIF('4월 삼척 팀STAT'!$C$49:$C$58, $C27, '4월 삼척 팀STAT'!O$49:O$58)</f>
        <v>60</v>
      </c>
      <c r="P27" s="64">
        <f>SUMIF('3월 단양 팀STAT'!$C$53:$C$62, $C27, '3월 단양 팀STAT'!P$53:P$62) + SUMIF('4월 삼척 팀STAT'!$C$49:$C$58, $C27, '4월 삼척 팀STAT'!P$49:P$58)</f>
        <v>540</v>
      </c>
      <c r="Q27" s="64">
        <f>SUMIF('3월 단양 팀STAT'!$C$53:$C$62, $C27, '3월 단양 팀STAT'!Q$53:Q$62) + SUMIF('4월 삼척 팀STAT'!$C$49:$C$58, $C27, '4월 삼척 팀STAT'!Q$49:Q$58)</f>
        <v>59</v>
      </c>
      <c r="R27" s="64">
        <f>SUMIF('3월 단양 팀STAT'!$C$53:$C$62, $C27, '3월 단양 팀STAT'!R$53:R$62) + SUMIF('4월 삼척 팀STAT'!$C$49:$C$58, $C27, '4월 삼척 팀STAT'!R$49:R$58)</f>
        <v>49</v>
      </c>
      <c r="S27" s="87">
        <f t="shared" ref="S27:S38" si="7">IF(R27+Q27+P27=0,"-",R27+Q27+P27)</f>
        <v>648</v>
      </c>
      <c r="T27" s="64">
        <f>SUMIF('3월 단양 팀STAT'!$C$53:$C$62, $C27, '3월 단양 팀STAT'!T$53:T$62) + SUMIF('4월 삼척 팀STAT'!$C$49:$C$58, $C27, '4월 삼척 팀STAT'!T$49:T$58)</f>
        <v>9</v>
      </c>
      <c r="U27" s="88">
        <f>G27+M27+Q27</f>
        <v>494</v>
      </c>
      <c r="V27" s="89">
        <f t="shared" ref="V27:V38" si="8">U27+O27*0.75</f>
        <v>539</v>
      </c>
      <c r="W27" s="88">
        <f t="shared" ref="W27:W38" si="9">X27+Y27</f>
        <v>491</v>
      </c>
      <c r="X27" s="64">
        <f>SUMIF('3월 단양 팀STAT'!$C$53:$C$62, $C27, '3월 단양 팀STAT'!X$53:X$62) + SUMIF('4월 삼척 팀STAT'!$C$49:$C$58, $C27, '4월 삼척 팀STAT'!X$49:X$58)</f>
        <v>453</v>
      </c>
      <c r="Y27" s="64">
        <f>SUMIF('3월 단양 팀STAT'!$C$53:$C$62, $C27, '3월 단양 팀STAT'!Y$53:Y$62) + SUMIF('4월 삼척 팀STAT'!$C$49:$C$58, $C27, '4월 삼척 팀STAT'!Y$49:Y$58)</f>
        <v>38</v>
      </c>
      <c r="Z27" s="90">
        <f t="shared" ref="Z27:Z38" si="10">iferror((X27/W27),"-")</f>
        <v>0.9226069246</v>
      </c>
      <c r="AA27" s="64">
        <f>SUMIF('3월 단양 팀STAT'!$C$53:$C$62, $C27, '3월 단양 팀STAT'!AA$53:AA$62) + SUMIF('4월 삼척 팀STAT'!$C$49:$C$58, $C27, '4월 삼척 팀STAT'!AA$49:AA$58)</f>
        <v>376</v>
      </c>
      <c r="AB27" s="91" t="str">
        <f t="shared" ref="AB27:AB38" si="11">IFERROR(IF(MOD(AA27/F27, 1)=0, TEXT(AA27/F27, "0.0"), TEXT(AA27/F27, "0.0")), "-")</f>
        <v>13.4</v>
      </c>
      <c r="AD27" s="27">
        <f t="shared" ref="AD27:AD38" si="12">iferror(G27/F27,"-")</f>
        <v>13.03571429</v>
      </c>
      <c r="AE27" s="27">
        <f t="shared" ref="AE27:AE38" si="13">iferror(K27/F27,"-")</f>
        <v>32.10714286</v>
      </c>
      <c r="AF27" s="92">
        <f t="shared" ref="AF27:AF38" si="14">iferror(G27/K27,"-")</f>
        <v>0.4060066741</v>
      </c>
      <c r="AG27" s="27">
        <f t="shared" ref="AG27:AG38" si="15">iferror(M27/F27,"-")</f>
        <v>2.5</v>
      </c>
      <c r="AH27" s="27">
        <f t="shared" ref="AH27:AH38" si="16">iferror(Q27/F27,"-")</f>
        <v>2.107142857</v>
      </c>
      <c r="AI27" s="27">
        <f t="shared" ref="AI27:AI38" si="17">iferror(U27/F27,"-")</f>
        <v>17.64285714</v>
      </c>
      <c r="AJ27" s="27">
        <f t="shared" ref="AJ27:AJ38" si="18">iferror(V27/F27,"-")</f>
        <v>19.25</v>
      </c>
      <c r="AK27" s="29">
        <f t="shared" ref="AK27:AK38" si="19">Y27/F27</f>
        <v>1.357142857</v>
      </c>
      <c r="AL27" s="29" t="str">
        <f t="shared" ref="AL27:AL38" si="20">AB27</f>
        <v>13.4</v>
      </c>
    </row>
    <row r="28">
      <c r="B28" s="83">
        <v>2.0</v>
      </c>
      <c r="C28" s="84" t="str">
        <f t="shared" si="6"/>
        <v>한봄고</v>
      </c>
      <c r="D28" s="7"/>
      <c r="E28" s="64">
        <f>SUMIF('3월 단양 팀STAT'!$C$53:$C$62, $C28, '3월 단양 팀STAT'!E$53:E$62) + SUMIF('4월 삼척 팀STAT'!$C$49:$C$58, $C28, '4월 삼척 팀STAT'!E$49:E$58)</f>
        <v>2</v>
      </c>
      <c r="F28" s="64">
        <f>SUMIF('3월 단양 팀STAT'!$C$53:$C$62, $C28, '3월 단양 팀STAT'!F$53:F$62) + SUMIF('4월 삼척 팀STAT'!$C$49:$C$58, $C28, '4월 삼척 팀STAT'!F$49:F$58)</f>
        <v>8</v>
      </c>
      <c r="G28" s="64">
        <f>SUMIF('3월 단양 팀STAT'!$C$53:$C$62, $C28, '3월 단양 팀STAT'!G$53:G$62) + SUMIF('4월 삼척 팀STAT'!$C$49:$C$58, $C28, '4월 삼척 팀STAT'!G$49:G$58)</f>
        <v>89</v>
      </c>
      <c r="H28" s="64">
        <f>SUMIF('3월 단양 팀STAT'!$C$53:$C$62, $C28, '3월 단양 팀STAT'!H$53:H$62) + SUMIF('4월 삼척 팀STAT'!$C$49:$C$58, $C28, '4월 삼척 팀STAT'!H$49:H$58)</f>
        <v>85</v>
      </c>
      <c r="I28" s="64">
        <f>SUMIF('3월 단양 팀STAT'!$C$53:$C$62, $C28, '3월 단양 팀STAT'!I$53:I$62) + SUMIF('4월 삼척 팀STAT'!$C$49:$C$58, $C28, '4월 삼척 팀STAT'!I$49:I$58)</f>
        <v>103</v>
      </c>
      <c r="J28" s="64">
        <f>SUMIF('3월 단양 팀STAT'!$C$53:$C$62, $C28, '3월 단양 팀STAT'!J$53:J$62) + SUMIF('4월 삼척 팀STAT'!$C$49:$C$58, $C28, '4월 삼척 팀STAT'!J$49:J$58)</f>
        <v>36</v>
      </c>
      <c r="K28" s="93">
        <f>G28+I28+J28</f>
        <v>228</v>
      </c>
      <c r="L28" s="94">
        <f>(G28+J28)/K28</f>
        <v>0.548245614</v>
      </c>
      <c r="M28" s="64">
        <f>SUMIF('3월 단양 팀STAT'!$C$53:$C$62, $C28, '3월 단양 팀STAT'!M$53:M$62) + SUMIF('4월 삼척 팀STAT'!$C$49:$C$58, $C28, '4월 삼척 팀STAT'!M$49:M$58)</f>
        <v>13</v>
      </c>
      <c r="N28" s="64">
        <f>SUMIF('3월 단양 팀STAT'!$C$53:$C$62, $C28, '3월 단양 팀STAT'!N$53:N$62) + SUMIF('4월 삼척 팀STAT'!$C$49:$C$58, $C28, '4월 삼척 팀STAT'!N$49:N$58)</f>
        <v>0</v>
      </c>
      <c r="O28" s="64">
        <f>SUMIF('3월 단양 팀STAT'!$C$53:$C$62, $C28, '3월 단양 팀STAT'!O$53:O$62) + SUMIF('4월 삼척 팀STAT'!$C$49:$C$58, $C28, '4월 삼척 팀STAT'!O$49:O$58)</f>
        <v>7</v>
      </c>
      <c r="P28" s="64">
        <f>SUMIF('3월 단양 팀STAT'!$C$53:$C$62, $C28, '3월 단양 팀STAT'!P$53:P$62) + SUMIF('4월 삼척 팀STAT'!$C$49:$C$58, $C28, '4월 삼척 팀STAT'!P$49:P$58)</f>
        <v>118</v>
      </c>
      <c r="Q28" s="64">
        <f>SUMIF('3월 단양 팀STAT'!$C$53:$C$62, $C28, '3월 단양 팀STAT'!Q$53:Q$62) + SUMIF('4월 삼척 팀STAT'!$C$49:$C$58, $C28, '4월 삼척 팀STAT'!Q$49:Q$58)</f>
        <v>13</v>
      </c>
      <c r="R28" s="64">
        <f>SUMIF('3월 단양 팀STAT'!$C$53:$C$62, $C28, '3월 단양 팀STAT'!R$53:R$62) + SUMIF('4월 삼척 팀STAT'!$C$49:$C$58, $C28, '4월 삼척 팀STAT'!R$49:R$58)</f>
        <v>25</v>
      </c>
      <c r="S28" s="87">
        <f t="shared" si="7"/>
        <v>156</v>
      </c>
      <c r="T28" s="64">
        <f>SUMIF('3월 단양 팀STAT'!$C$53:$C$62, $C28, '3월 단양 팀STAT'!T$53:T$62) + SUMIF('4월 삼척 팀STAT'!$C$49:$C$58, $C28, '4월 삼척 팀STAT'!T$49:T$58)</f>
        <v>8</v>
      </c>
      <c r="U28" s="88">
        <f>Q28+M28+G28</f>
        <v>115</v>
      </c>
      <c r="V28" s="89">
        <f t="shared" si="8"/>
        <v>120.25</v>
      </c>
      <c r="W28" s="88">
        <f t="shared" si="9"/>
        <v>164</v>
      </c>
      <c r="X28" s="64">
        <f>SUMIF('3월 단양 팀STAT'!$C$53:$C$62, $C28, '3월 단양 팀STAT'!X$53:X$62) + SUMIF('4월 삼척 팀STAT'!$C$49:$C$58, $C28, '4월 삼척 팀STAT'!X$49:X$58)</f>
        <v>140</v>
      </c>
      <c r="Y28" s="64">
        <f>SUMIF('3월 단양 팀STAT'!$C$53:$C$62, $C28, '3월 단양 팀STAT'!Y$53:Y$62) + SUMIF('4월 삼척 팀STAT'!$C$49:$C$58, $C28, '4월 삼척 팀STAT'!Y$49:Y$58)</f>
        <v>24</v>
      </c>
      <c r="Z28" s="90">
        <f t="shared" si="10"/>
        <v>0.8536585366</v>
      </c>
      <c r="AA28" s="64">
        <f>SUMIF('3월 단양 팀STAT'!$C$53:$C$62, $C28, '3월 단양 팀STAT'!AA$53:AA$62) + SUMIF('4월 삼척 팀STAT'!$C$49:$C$58, $C28, '4월 삼척 팀STAT'!AA$49:AA$58)</f>
        <v>71</v>
      </c>
      <c r="AB28" s="91" t="str">
        <f t="shared" si="11"/>
        <v>8.9</v>
      </c>
      <c r="AD28" s="27">
        <f t="shared" si="12"/>
        <v>11.125</v>
      </c>
      <c r="AE28" s="27">
        <f t="shared" si="13"/>
        <v>28.5</v>
      </c>
      <c r="AF28" s="92">
        <f t="shared" si="14"/>
        <v>0.3903508772</v>
      </c>
      <c r="AG28" s="27">
        <f t="shared" si="15"/>
        <v>1.625</v>
      </c>
      <c r="AH28" s="27">
        <f t="shared" si="16"/>
        <v>1.625</v>
      </c>
      <c r="AI28" s="27">
        <f t="shared" si="17"/>
        <v>14.375</v>
      </c>
      <c r="AJ28" s="27">
        <f t="shared" si="18"/>
        <v>15.03125</v>
      </c>
      <c r="AK28" s="29">
        <f t="shared" si="19"/>
        <v>3</v>
      </c>
      <c r="AL28" s="29" t="str">
        <f t="shared" si="20"/>
        <v>8.9</v>
      </c>
    </row>
    <row r="29">
      <c r="B29" s="83">
        <v>3.0</v>
      </c>
      <c r="C29" s="84" t="str">
        <f t="shared" si="6"/>
        <v>강릉여고</v>
      </c>
      <c r="D29" s="7"/>
      <c r="E29" s="64">
        <f>SUMIF('3월 단양 팀STAT'!$C$53:$C$62, $C29, '3월 단양 팀STAT'!E$53:E$62) + SUMIF('4월 삼척 팀STAT'!$C$49:$C$58, $C29, '4월 삼척 팀STAT'!E$49:E$58)</f>
        <v>7</v>
      </c>
      <c r="F29" s="64">
        <f>SUMIF('3월 단양 팀STAT'!$C$53:$C$62, $C29, '3월 단양 팀STAT'!F$53:F$62) + SUMIF('4월 삼척 팀STAT'!$C$49:$C$58, $C29, '4월 삼척 팀STAT'!F$49:F$58)</f>
        <v>26</v>
      </c>
      <c r="G29" s="64">
        <f>SUMIF('3월 단양 팀STAT'!$C$53:$C$62, $C29, '3월 단양 팀STAT'!G$53:G$62) + SUMIF('4월 삼척 팀STAT'!$C$49:$C$58, $C29, '4월 삼척 팀STAT'!G$49:G$58)</f>
        <v>313</v>
      </c>
      <c r="H29" s="64">
        <f>SUMIF('3월 단양 팀STAT'!$C$53:$C$62, $C29, '3월 단양 팀STAT'!H$53:H$62) + SUMIF('4월 삼척 팀STAT'!$C$49:$C$58, $C29, '4월 삼척 팀STAT'!H$49:H$58)</f>
        <v>291</v>
      </c>
      <c r="I29" s="64">
        <f>SUMIF('3월 단양 팀STAT'!$C$53:$C$62, $C29, '3월 단양 팀STAT'!I$53:I$62) + SUMIF('4월 삼척 팀STAT'!$C$49:$C$58, $C29, '4월 삼척 팀STAT'!I$49:I$58)</f>
        <v>419</v>
      </c>
      <c r="J29" s="64">
        <f>SUMIF('3월 단양 팀STAT'!$C$53:$C$62, $C29, '3월 단양 팀STAT'!J$53:J$62) + SUMIF('4월 삼척 팀STAT'!$C$49:$C$58, $C29, '4월 삼척 팀STAT'!J$49:J$58)</f>
        <v>101</v>
      </c>
      <c r="K29" s="85">
        <f>if(J29+I29+G29=0,"-",J29+I29+G29)</f>
        <v>833</v>
      </c>
      <c r="L29" s="86">
        <f>if(iferror((G29-J29)/K29,0)=0,"-",round((G29-J29)/K29,2))</f>
        <v>0.25</v>
      </c>
      <c r="M29" s="64">
        <f>SUMIF('3월 단양 팀STAT'!$C$53:$C$62, $C29, '3월 단양 팀STAT'!M$53:M$62) + SUMIF('4월 삼척 팀STAT'!$C$49:$C$58, $C29, '4월 삼척 팀STAT'!M$49:M$58)</f>
        <v>25</v>
      </c>
      <c r="N29" s="64">
        <f>SUMIF('3월 단양 팀STAT'!$C$53:$C$62, $C29, '3월 단양 팀STAT'!N$53:N$62) + SUMIF('4월 삼척 팀STAT'!$C$49:$C$58, $C29, '4월 삼척 팀STAT'!N$49:N$58)</f>
        <v>4</v>
      </c>
      <c r="O29" s="64">
        <f>SUMIF('3월 단양 팀STAT'!$C$53:$C$62, $C29, '3월 단양 팀STAT'!O$53:O$62) + SUMIF('4월 삼척 팀STAT'!$C$49:$C$58, $C29, '4월 삼척 팀STAT'!O$49:O$58)</f>
        <v>16</v>
      </c>
      <c r="P29" s="64">
        <f>SUMIF('3월 단양 팀STAT'!$C$53:$C$62, $C29, '3월 단양 팀STAT'!P$53:P$62) + SUMIF('4월 삼척 팀STAT'!$C$49:$C$58, $C29, '4월 삼척 팀STAT'!P$49:P$58)</f>
        <v>439</v>
      </c>
      <c r="Q29" s="64">
        <f>SUMIF('3월 단양 팀STAT'!$C$53:$C$62, $C29, '3월 단양 팀STAT'!Q$53:Q$62) + SUMIF('4월 삼척 팀STAT'!$C$49:$C$58, $C29, '4월 삼척 팀STAT'!Q$49:Q$58)</f>
        <v>42</v>
      </c>
      <c r="R29" s="64">
        <f>SUMIF('3월 단양 팀STAT'!$C$53:$C$62, $C29, '3월 단양 팀STAT'!R$53:R$62) + SUMIF('4월 삼척 팀STAT'!$C$49:$C$58, $C29, '4월 삼척 팀STAT'!R$49:R$58)</f>
        <v>65</v>
      </c>
      <c r="S29" s="87">
        <f t="shared" si="7"/>
        <v>546</v>
      </c>
      <c r="T29" s="64">
        <f>SUMIF('3월 단양 팀STAT'!$C$53:$C$62, $C29, '3월 단양 팀STAT'!T$53:T$62) + SUMIF('4월 삼척 팀STAT'!$C$49:$C$58, $C29, '4월 삼척 팀STAT'!T$49:T$58)</f>
        <v>10</v>
      </c>
      <c r="U29" s="88">
        <f>G29+M29+Q29</f>
        <v>380</v>
      </c>
      <c r="V29" s="89">
        <f t="shared" si="8"/>
        <v>392</v>
      </c>
      <c r="W29" s="88">
        <f t="shared" si="9"/>
        <v>499</v>
      </c>
      <c r="X29" s="64">
        <f>SUMIF('3월 단양 팀STAT'!$C$53:$C$62, $C29, '3월 단양 팀STAT'!X$53:X$62) + SUMIF('4월 삼척 팀STAT'!$C$49:$C$58, $C29, '4월 삼척 팀STAT'!X$49:X$58)</f>
        <v>443</v>
      </c>
      <c r="Y29" s="64">
        <f>SUMIF('3월 단양 팀STAT'!$C$53:$C$62, $C29, '3월 단양 팀STAT'!Y$53:Y$62) + SUMIF('4월 삼척 팀STAT'!$C$49:$C$58, $C29, '4월 삼척 팀STAT'!Y$49:Y$58)</f>
        <v>56</v>
      </c>
      <c r="Z29" s="90">
        <f t="shared" si="10"/>
        <v>0.8877755511</v>
      </c>
      <c r="AA29" s="64">
        <f>SUMIF('3월 단양 팀STAT'!$C$53:$C$62, $C29, '3월 단양 팀STAT'!AA$53:AA$62) + SUMIF('4월 삼척 팀STAT'!$C$49:$C$58, $C29, '4월 삼척 팀STAT'!AA$49:AA$58)</f>
        <v>366</v>
      </c>
      <c r="AB29" s="91" t="str">
        <f t="shared" si="11"/>
        <v>14.1</v>
      </c>
      <c r="AD29" s="27">
        <f t="shared" si="12"/>
        <v>12.03846154</v>
      </c>
      <c r="AE29" s="27">
        <f t="shared" si="13"/>
        <v>32.03846154</v>
      </c>
      <c r="AF29" s="92">
        <f t="shared" si="14"/>
        <v>0.3757503001</v>
      </c>
      <c r="AG29" s="27">
        <f t="shared" si="15"/>
        <v>0.9615384615</v>
      </c>
      <c r="AH29" s="27">
        <f t="shared" si="16"/>
        <v>1.615384615</v>
      </c>
      <c r="AI29" s="27">
        <f t="shared" si="17"/>
        <v>14.61538462</v>
      </c>
      <c r="AJ29" s="27">
        <f t="shared" si="18"/>
        <v>15.07692308</v>
      </c>
      <c r="AK29" s="29">
        <f t="shared" si="19"/>
        <v>2.153846154</v>
      </c>
      <c r="AL29" s="29" t="str">
        <f t="shared" si="20"/>
        <v>14.1</v>
      </c>
    </row>
    <row r="30">
      <c r="B30" s="83">
        <v>4.0</v>
      </c>
      <c r="C30" s="84" t="str">
        <f t="shared" si="6"/>
        <v>경남여고</v>
      </c>
      <c r="D30" s="7"/>
      <c r="E30" s="64">
        <f>SUMIF('3월 단양 팀STAT'!$C$53:$C$62, $C30, '3월 단양 팀STAT'!E$53:E$62) + SUMIF('4월 삼척 팀STAT'!$C$49:$C$58, $C30, '4월 삼척 팀STAT'!E$49:E$58)</f>
        <v>5</v>
      </c>
      <c r="F30" s="64">
        <f>SUMIF('3월 단양 팀STAT'!$C$53:$C$62, $C30, '3월 단양 팀STAT'!F$53:F$62) + SUMIF('4월 삼척 팀STAT'!$C$49:$C$58, $C30, '4월 삼척 팀STAT'!F$49:F$58)</f>
        <v>18</v>
      </c>
      <c r="G30" s="64">
        <f>SUMIF('3월 단양 팀STAT'!$C$53:$C$62, $C30, '3월 단양 팀STAT'!G$53:G$62) + SUMIF('4월 삼척 팀STAT'!$C$49:$C$58, $C30, '4월 삼척 팀STAT'!G$49:G$58)</f>
        <v>266</v>
      </c>
      <c r="H30" s="64">
        <f>SUMIF('3월 단양 팀STAT'!$C$53:$C$62, $C30, '3월 단양 팀STAT'!H$53:H$62) + SUMIF('4월 삼척 팀STAT'!$C$49:$C$58, $C30, '4월 삼척 팀STAT'!H$49:H$58)</f>
        <v>252</v>
      </c>
      <c r="I30" s="64">
        <f>SUMIF('3월 단양 팀STAT'!$C$53:$C$62, $C30, '3월 단양 팀STAT'!I$53:I$62) + SUMIF('4월 삼척 팀STAT'!$C$49:$C$58, $C30, '4월 삼척 팀STAT'!I$49:I$58)</f>
        <v>263</v>
      </c>
      <c r="J30" s="64">
        <f>SUMIF('3월 단양 팀STAT'!$C$53:$C$62, $C30, '3월 단양 팀STAT'!J$53:J$62) + SUMIF('4월 삼척 팀STAT'!$C$49:$C$58, $C30, '4월 삼척 팀STAT'!J$49:J$58)</f>
        <v>85</v>
      </c>
      <c r="K30" s="93">
        <f>G30+I30+J30</f>
        <v>614</v>
      </c>
      <c r="L30" s="94">
        <f>(G30+J30)/K30</f>
        <v>0.5716612378</v>
      </c>
      <c r="M30" s="64">
        <f>SUMIF('3월 단양 팀STAT'!$C$53:$C$62, $C30, '3월 단양 팀STAT'!M$53:M$62) + SUMIF('4월 삼척 팀STAT'!$C$49:$C$58, $C30, '4월 삼척 팀STAT'!M$49:M$58)</f>
        <v>18</v>
      </c>
      <c r="N30" s="64">
        <f>SUMIF('3월 단양 팀STAT'!$C$53:$C$62, $C30, '3월 단양 팀STAT'!N$53:N$62) + SUMIF('4월 삼척 팀STAT'!$C$49:$C$58, $C30, '4월 삼척 팀STAT'!N$49:N$58)</f>
        <v>4</v>
      </c>
      <c r="O30" s="64">
        <f>SUMIF('3월 단양 팀STAT'!$C$53:$C$62, $C30, '3월 단양 팀STAT'!O$53:O$62) + SUMIF('4월 삼척 팀STAT'!$C$49:$C$58, $C30, '4월 삼척 팀STAT'!O$49:O$58)</f>
        <v>14</v>
      </c>
      <c r="P30" s="64">
        <f>SUMIF('3월 단양 팀STAT'!$C$53:$C$62, $C30, '3월 단양 팀STAT'!P$53:P$62) + SUMIF('4월 삼척 팀STAT'!$C$49:$C$58, $C30, '4월 삼척 팀STAT'!P$49:P$58)</f>
        <v>337</v>
      </c>
      <c r="Q30" s="64">
        <f>SUMIF('3월 단양 팀STAT'!$C$53:$C$62, $C30, '3월 단양 팀STAT'!Q$53:Q$62) + SUMIF('4월 삼척 팀STAT'!$C$49:$C$58, $C30, '4월 삼척 팀STAT'!Q$49:Q$58)</f>
        <v>41</v>
      </c>
      <c r="R30" s="64">
        <f>SUMIF('3월 단양 팀STAT'!$C$53:$C$62, $C30, '3월 단양 팀STAT'!R$53:R$62) + SUMIF('4월 삼척 팀STAT'!$C$49:$C$58, $C30, '4월 삼척 팀STAT'!R$49:R$58)</f>
        <v>36</v>
      </c>
      <c r="S30" s="87">
        <f t="shared" si="7"/>
        <v>414</v>
      </c>
      <c r="T30" s="64">
        <f>SUMIF('3월 단양 팀STAT'!$C$53:$C$62, $C30, '3월 단양 팀STAT'!T$53:T$62) + SUMIF('4월 삼척 팀STAT'!$C$49:$C$58, $C30, '4월 삼척 팀STAT'!T$49:T$58)</f>
        <v>5</v>
      </c>
      <c r="U30" s="88">
        <f>Q30+M30+G30</f>
        <v>325</v>
      </c>
      <c r="V30" s="89">
        <f t="shared" si="8"/>
        <v>335.5</v>
      </c>
      <c r="W30" s="88">
        <f t="shared" si="9"/>
        <v>329</v>
      </c>
      <c r="X30" s="64">
        <f>SUMIF('3월 단양 팀STAT'!$C$53:$C$62, $C30, '3월 단양 팀STAT'!X$53:X$62) + SUMIF('4월 삼척 팀STAT'!$C$49:$C$58, $C30, '4월 삼척 팀STAT'!X$49:X$58)</f>
        <v>304</v>
      </c>
      <c r="Y30" s="64">
        <f>SUMIF('3월 단양 팀STAT'!$C$53:$C$62, $C30, '3월 단양 팀STAT'!Y$53:Y$62) + SUMIF('4월 삼척 팀STAT'!$C$49:$C$58, $C30, '4월 삼척 팀STAT'!Y$49:Y$58)</f>
        <v>25</v>
      </c>
      <c r="Z30" s="90">
        <f t="shared" si="10"/>
        <v>0.9240121581</v>
      </c>
      <c r="AA30" s="64">
        <f>SUMIF('3월 단양 팀STAT'!$C$53:$C$62, $C30, '3월 단양 팀STAT'!AA$53:AA$62) + SUMIF('4월 삼척 팀STAT'!$C$49:$C$58, $C30, '4월 삼척 팀STAT'!AA$49:AA$58)</f>
        <v>246</v>
      </c>
      <c r="AB30" s="91" t="str">
        <f t="shared" si="11"/>
        <v>13.7</v>
      </c>
      <c r="AC30" s="95"/>
      <c r="AD30" s="27">
        <f t="shared" si="12"/>
        <v>14.77777778</v>
      </c>
      <c r="AE30" s="27">
        <f t="shared" si="13"/>
        <v>34.11111111</v>
      </c>
      <c r="AF30" s="92">
        <f t="shared" si="14"/>
        <v>0.4332247557</v>
      </c>
      <c r="AG30" s="27">
        <f t="shared" si="15"/>
        <v>1</v>
      </c>
      <c r="AH30" s="27">
        <f t="shared" si="16"/>
        <v>2.277777778</v>
      </c>
      <c r="AI30" s="27">
        <f t="shared" si="17"/>
        <v>18.05555556</v>
      </c>
      <c r="AJ30" s="27">
        <f t="shared" si="18"/>
        <v>18.63888889</v>
      </c>
      <c r="AK30" s="29">
        <f t="shared" si="19"/>
        <v>1.388888889</v>
      </c>
      <c r="AL30" s="29" t="str">
        <f t="shared" si="20"/>
        <v>13.7</v>
      </c>
    </row>
    <row r="31">
      <c r="B31" s="83">
        <v>5.0</v>
      </c>
      <c r="C31" s="84" t="str">
        <f t="shared" si="6"/>
        <v>광주체고</v>
      </c>
      <c r="D31" s="7"/>
      <c r="E31" s="64">
        <f>SUMIF('3월 단양 팀STAT'!$C$53:$C$62, $C31, '3월 단양 팀STAT'!E$53:E$62) + SUMIF('4월 삼척 팀STAT'!$C$49:$C$58, $C31, '4월 삼척 팀STAT'!E$49:E$58)</f>
        <v>7</v>
      </c>
      <c r="F31" s="64">
        <f>SUMIF('3월 단양 팀STAT'!$C$53:$C$62, $C31, '3월 단양 팀STAT'!F$53:F$62) + SUMIF('4월 삼척 팀STAT'!$C$49:$C$58, $C31, '4월 삼척 팀STAT'!F$49:F$58)</f>
        <v>27</v>
      </c>
      <c r="G31" s="64">
        <f>SUMIF('3월 단양 팀STAT'!$C$53:$C$62, $C31, '3월 단양 팀STAT'!G$53:G$62) + SUMIF('4월 삼척 팀STAT'!$C$49:$C$58, $C31, '4월 삼척 팀STAT'!G$49:G$58)</f>
        <v>271</v>
      </c>
      <c r="H31" s="64">
        <f>SUMIF('3월 단양 팀STAT'!$C$53:$C$62, $C31, '3월 단양 팀STAT'!H$53:H$62) + SUMIF('4월 삼척 팀STAT'!$C$49:$C$58, $C31, '4월 삼척 팀STAT'!H$49:H$58)</f>
        <v>257</v>
      </c>
      <c r="I31" s="64">
        <f>SUMIF('3월 단양 팀STAT'!$C$53:$C$62, $C31, '3월 단양 팀STAT'!I$53:I$62) + SUMIF('4월 삼척 팀STAT'!$C$49:$C$58, $C31, '4월 삼척 팀STAT'!I$49:I$58)</f>
        <v>342</v>
      </c>
      <c r="J31" s="64">
        <f>SUMIF('3월 단양 팀STAT'!$C$53:$C$62, $C31, '3월 단양 팀STAT'!J$53:J$62) + SUMIF('4월 삼척 팀STAT'!$C$49:$C$58, $C31, '4월 삼척 팀STAT'!J$49:J$58)</f>
        <v>133</v>
      </c>
      <c r="K31" s="85">
        <f>if(J31+I31+G31=0,"-",J31+I31+G31)</f>
        <v>746</v>
      </c>
      <c r="L31" s="86">
        <f>if(iferror((G31-J31)/K31,0)=0,"-",round((G31-J31)/K31,2))</f>
        <v>0.18</v>
      </c>
      <c r="M31" s="64">
        <f>SUMIF('3월 단양 팀STAT'!$C$53:$C$62, $C31, '3월 단양 팀STAT'!M$53:M$62) + SUMIF('4월 삼척 팀STAT'!$C$49:$C$58, $C31, '4월 삼척 팀STAT'!M$49:M$58)</f>
        <v>33</v>
      </c>
      <c r="N31" s="64">
        <f>SUMIF('3월 단양 팀STAT'!$C$53:$C$62, $C31, '3월 단양 팀STAT'!N$53:N$62) + SUMIF('4월 삼척 팀STAT'!$C$49:$C$58, $C31, '4월 삼척 팀STAT'!N$49:N$58)</f>
        <v>3</v>
      </c>
      <c r="O31" s="64">
        <f>SUMIF('3월 단양 팀STAT'!$C$53:$C$62, $C31, '3월 단양 팀STAT'!O$53:O$62) + SUMIF('4월 삼척 팀STAT'!$C$49:$C$58, $C31, '4월 삼척 팀STAT'!O$49:O$58)</f>
        <v>25</v>
      </c>
      <c r="P31" s="64">
        <f>SUMIF('3월 단양 팀STAT'!$C$53:$C$62, $C31, '3월 단양 팀STAT'!P$53:P$62) + SUMIF('4월 삼척 팀STAT'!$C$49:$C$58, $C31, '4월 삼척 팀STAT'!P$49:P$58)</f>
        <v>448</v>
      </c>
      <c r="Q31" s="64">
        <f>SUMIF('3월 단양 팀STAT'!$C$53:$C$62, $C31, '3월 단양 팀STAT'!Q$53:Q$62) + SUMIF('4월 삼척 팀STAT'!$C$49:$C$58, $C31, '4월 삼척 팀STAT'!Q$49:Q$58)</f>
        <v>51</v>
      </c>
      <c r="R31" s="64">
        <f>SUMIF('3월 단양 팀STAT'!$C$53:$C$62, $C31, '3월 단양 팀STAT'!R$53:R$62) + SUMIF('4월 삼척 팀STAT'!$C$49:$C$58, $C31, '4월 삼척 팀STAT'!R$49:R$58)</f>
        <v>56</v>
      </c>
      <c r="S31" s="87">
        <f t="shared" si="7"/>
        <v>555</v>
      </c>
      <c r="T31" s="64">
        <f>SUMIF('3월 단양 팀STAT'!$C$53:$C$62, $C31, '3월 단양 팀STAT'!T$53:T$62) + SUMIF('4월 삼척 팀STAT'!$C$49:$C$58, $C31, '4월 삼척 팀STAT'!T$49:T$58)</f>
        <v>22</v>
      </c>
      <c r="U31" s="88">
        <f>G31+M31+Q31</f>
        <v>355</v>
      </c>
      <c r="V31" s="89">
        <f t="shared" si="8"/>
        <v>373.75</v>
      </c>
      <c r="W31" s="88">
        <f t="shared" si="9"/>
        <v>524</v>
      </c>
      <c r="X31" s="64">
        <f>SUMIF('3월 단양 팀STAT'!$C$53:$C$62, $C31, '3월 단양 팀STAT'!X$53:X$62) + SUMIF('4월 삼척 팀STAT'!$C$49:$C$58, $C31, '4월 삼척 팀STAT'!X$49:X$58)</f>
        <v>435</v>
      </c>
      <c r="Y31" s="64">
        <f>SUMIF('3월 단양 팀STAT'!$C$53:$C$62, $C31, '3월 단양 팀STAT'!Y$53:Y$62) + SUMIF('4월 삼척 팀STAT'!$C$49:$C$58, $C31, '4월 삼척 팀STAT'!Y$49:Y$58)</f>
        <v>89</v>
      </c>
      <c r="Z31" s="90">
        <f t="shared" si="10"/>
        <v>0.8301526718</v>
      </c>
      <c r="AA31" s="64">
        <f>SUMIF('3월 단양 팀STAT'!$C$53:$C$62, $C31, '3월 단양 팀STAT'!AA$53:AA$62) + SUMIF('4월 삼척 팀STAT'!$C$49:$C$58, $C31, '4월 삼척 팀STAT'!AA$49:AA$58)</f>
        <v>295</v>
      </c>
      <c r="AB31" s="91" t="str">
        <f t="shared" si="11"/>
        <v>10.9</v>
      </c>
      <c r="AC31" s="95"/>
      <c r="AD31" s="27">
        <f t="shared" si="12"/>
        <v>10.03703704</v>
      </c>
      <c r="AE31" s="27">
        <f t="shared" si="13"/>
        <v>27.62962963</v>
      </c>
      <c r="AF31" s="92">
        <f t="shared" si="14"/>
        <v>0.3632707775</v>
      </c>
      <c r="AG31" s="27">
        <f t="shared" si="15"/>
        <v>1.222222222</v>
      </c>
      <c r="AH31" s="27">
        <f t="shared" si="16"/>
        <v>1.888888889</v>
      </c>
      <c r="AI31" s="27">
        <f t="shared" si="17"/>
        <v>13.14814815</v>
      </c>
      <c r="AJ31" s="27">
        <f t="shared" si="18"/>
        <v>13.84259259</v>
      </c>
      <c r="AK31" s="29">
        <f t="shared" si="19"/>
        <v>3.296296296</v>
      </c>
      <c r="AL31" s="29" t="str">
        <f t="shared" si="20"/>
        <v>10.9</v>
      </c>
    </row>
    <row r="32">
      <c r="B32" s="83">
        <v>6.0</v>
      </c>
      <c r="C32" s="84" t="str">
        <f t="shared" si="6"/>
        <v>경일고</v>
      </c>
      <c r="D32" s="7"/>
      <c r="E32" s="64">
        <f>SUMIF('3월 단양 팀STAT'!$C$53:$C$62, $C32, '3월 단양 팀STAT'!E$53:E$62) + SUMIF('4월 삼척 팀STAT'!$C$49:$C$58, $C32, '4월 삼척 팀STAT'!E$49:E$58)</f>
        <v>3</v>
      </c>
      <c r="F32" s="64">
        <f>SUMIF('3월 단양 팀STAT'!$C$53:$C$62, $C32, '3월 단양 팀STAT'!F$53:F$62) + SUMIF('4월 삼척 팀STAT'!$C$49:$C$58, $C32, '4월 삼척 팀STAT'!F$49:F$58)</f>
        <v>9</v>
      </c>
      <c r="G32" s="64">
        <f>SUMIF('3월 단양 팀STAT'!$C$53:$C$62, $C32, '3월 단양 팀STAT'!G$53:G$62) + SUMIF('4월 삼척 팀STAT'!$C$49:$C$58, $C32, '4월 삼척 팀STAT'!G$49:G$58)</f>
        <v>109</v>
      </c>
      <c r="H32" s="64">
        <f>SUMIF('3월 단양 팀STAT'!$C$53:$C$62, $C32, '3월 단양 팀STAT'!H$53:H$62) + SUMIF('4월 삼척 팀STAT'!$C$49:$C$58, $C32, '4월 삼척 팀STAT'!H$49:H$58)</f>
        <v>101</v>
      </c>
      <c r="I32" s="64">
        <f>SUMIF('3월 단양 팀STAT'!$C$53:$C$62, $C32, '3월 단양 팀STAT'!I$53:I$62) + SUMIF('4월 삼척 팀STAT'!$C$49:$C$58, $C32, '4월 삼척 팀STAT'!I$49:I$58)</f>
        <v>121</v>
      </c>
      <c r="J32" s="64">
        <f>SUMIF('3월 단양 팀STAT'!$C$53:$C$62, $C32, '3월 단양 팀STAT'!J$53:J$62) + SUMIF('4월 삼척 팀STAT'!$C$49:$C$58, $C32, '4월 삼척 팀STAT'!J$49:J$58)</f>
        <v>37</v>
      </c>
      <c r="K32" s="93">
        <f t="shared" ref="K32:K38" si="21">G32+I32+J32</f>
        <v>267</v>
      </c>
      <c r="L32" s="94">
        <f t="shared" ref="L32:L38" si="22">(G32+J32)/K32</f>
        <v>0.5468164794</v>
      </c>
      <c r="M32" s="64">
        <f>SUMIF('3월 단양 팀STAT'!$C$53:$C$62, $C32, '3월 단양 팀STAT'!M$53:M$62) + SUMIF('4월 삼척 팀STAT'!$C$49:$C$58, $C32, '4월 삼척 팀STAT'!M$49:M$58)</f>
        <v>8</v>
      </c>
      <c r="N32" s="64">
        <f>SUMIF('3월 단양 팀STAT'!$C$53:$C$62, $C32, '3월 단양 팀STAT'!N$53:N$62) + SUMIF('4월 삼척 팀STAT'!$C$49:$C$58, $C32, '4월 삼척 팀STAT'!N$49:N$58)</f>
        <v>1</v>
      </c>
      <c r="O32" s="64">
        <f>SUMIF('3월 단양 팀STAT'!$C$53:$C$62, $C32, '3월 단양 팀STAT'!O$53:O$62) + SUMIF('4월 삼척 팀STAT'!$C$49:$C$58, $C32, '4월 삼척 팀STAT'!O$49:O$58)</f>
        <v>7</v>
      </c>
      <c r="P32" s="64">
        <f>SUMIF('3월 단양 팀STAT'!$C$53:$C$62, $C32, '3월 단양 팀STAT'!P$53:P$62) + SUMIF('4월 삼척 팀STAT'!$C$49:$C$58, $C32, '4월 삼척 팀STAT'!P$49:P$58)</f>
        <v>163</v>
      </c>
      <c r="Q32" s="64">
        <f>SUMIF('3월 단양 팀STAT'!$C$53:$C$62, $C32, '3월 단양 팀STAT'!Q$53:Q$62) + SUMIF('4월 삼척 팀STAT'!$C$49:$C$58, $C32, '4월 삼척 팀STAT'!Q$49:Q$58)</f>
        <v>18</v>
      </c>
      <c r="R32" s="64">
        <f>SUMIF('3월 단양 팀STAT'!$C$53:$C$62, $C32, '3월 단양 팀STAT'!R$53:R$62) + SUMIF('4월 삼척 팀STAT'!$C$49:$C$58, $C32, '4월 삼척 팀STAT'!R$49:R$58)</f>
        <v>15</v>
      </c>
      <c r="S32" s="87">
        <f t="shared" si="7"/>
        <v>196</v>
      </c>
      <c r="T32" s="64">
        <f>SUMIF('3월 단양 팀STAT'!$C$53:$C$62, $C32, '3월 단양 팀STAT'!T$53:T$62) + SUMIF('4월 삼척 팀STAT'!$C$49:$C$58, $C32, '4월 삼척 팀STAT'!T$49:T$58)</f>
        <v>6</v>
      </c>
      <c r="U32" s="88">
        <f t="shared" ref="U32:U38" si="23">Q32+M32+G32</f>
        <v>135</v>
      </c>
      <c r="V32" s="89">
        <f t="shared" si="8"/>
        <v>140.25</v>
      </c>
      <c r="W32" s="88">
        <f t="shared" si="9"/>
        <v>169</v>
      </c>
      <c r="X32" s="64">
        <f>SUMIF('3월 단양 팀STAT'!$C$53:$C$62, $C32, '3월 단양 팀STAT'!X$53:X$62) + SUMIF('4월 삼척 팀STAT'!$C$49:$C$58, $C32, '4월 삼척 팀STAT'!X$49:X$58)</f>
        <v>145</v>
      </c>
      <c r="Y32" s="64">
        <f>SUMIF('3월 단양 팀STAT'!$C$53:$C$62, $C32, '3월 단양 팀STAT'!Y$53:Y$62) + SUMIF('4월 삼척 팀STAT'!$C$49:$C$58, $C32, '4월 삼척 팀STAT'!Y$49:Y$58)</f>
        <v>24</v>
      </c>
      <c r="Z32" s="90">
        <f t="shared" si="10"/>
        <v>0.8579881657</v>
      </c>
      <c r="AA32" s="64">
        <f>SUMIF('3월 단양 팀STAT'!$C$53:$C$62, $C32, '3월 단양 팀STAT'!AA$53:AA$62) + SUMIF('4월 삼척 팀STAT'!$C$49:$C$58, $C32, '4월 삼척 팀STAT'!AA$49:AA$58)</f>
        <v>115</v>
      </c>
      <c r="AB32" s="91" t="str">
        <f t="shared" si="11"/>
        <v>12.8</v>
      </c>
      <c r="AC32" s="95"/>
      <c r="AD32" s="27">
        <f t="shared" si="12"/>
        <v>12.11111111</v>
      </c>
      <c r="AE32" s="27">
        <f t="shared" si="13"/>
        <v>29.66666667</v>
      </c>
      <c r="AF32" s="92">
        <f t="shared" si="14"/>
        <v>0.4082397004</v>
      </c>
      <c r="AG32" s="27">
        <f t="shared" si="15"/>
        <v>0.8888888889</v>
      </c>
      <c r="AH32" s="27">
        <f t="shared" si="16"/>
        <v>2</v>
      </c>
      <c r="AI32" s="27">
        <f t="shared" si="17"/>
        <v>15</v>
      </c>
      <c r="AJ32" s="27">
        <f t="shared" si="18"/>
        <v>15.58333333</v>
      </c>
      <c r="AK32" s="29">
        <f t="shared" si="19"/>
        <v>2.666666667</v>
      </c>
      <c r="AL32" s="29" t="str">
        <f t="shared" si="20"/>
        <v>12.8</v>
      </c>
    </row>
    <row r="33">
      <c r="B33" s="83">
        <v>7.0</v>
      </c>
      <c r="C33" s="84" t="str">
        <f t="shared" si="6"/>
        <v>제천여고</v>
      </c>
      <c r="D33" s="7"/>
      <c r="E33" s="64">
        <f>SUMIF('3월 단양 팀STAT'!$C$53:$C$62, $C33, '3월 단양 팀STAT'!E$53:E$62) + SUMIF('4월 삼척 팀STAT'!$C$49:$C$58, $C33, '4월 삼척 팀STAT'!E$49:E$58)</f>
        <v>5</v>
      </c>
      <c r="F33" s="64">
        <f>SUMIF('3월 단양 팀STAT'!$C$53:$C$62, $C33, '3월 단양 팀STAT'!F$53:F$62) + SUMIF('4월 삼척 팀STAT'!$C$49:$C$58, $C33, '4월 삼척 팀STAT'!F$49:F$58)</f>
        <v>15</v>
      </c>
      <c r="G33" s="64">
        <f>SUMIF('3월 단양 팀STAT'!$C$53:$C$62, $C33, '3월 단양 팀STAT'!G$53:G$62) + SUMIF('4월 삼척 팀STAT'!$C$49:$C$58, $C33, '4월 삼척 팀STAT'!G$49:G$58)</f>
        <v>100</v>
      </c>
      <c r="H33" s="64">
        <f>SUMIF('3월 단양 팀STAT'!$C$53:$C$62, $C33, '3월 단양 팀STAT'!H$53:H$62) + SUMIF('4월 삼척 팀STAT'!$C$49:$C$58, $C33, '4월 삼척 팀STAT'!H$49:H$58)</f>
        <v>91</v>
      </c>
      <c r="I33" s="64">
        <f>SUMIF('3월 단양 팀STAT'!$C$53:$C$62, $C33, '3월 단양 팀STAT'!I$53:I$62) + SUMIF('4월 삼척 팀STAT'!$C$49:$C$58, $C33, '4월 삼척 팀STAT'!I$49:I$58)</f>
        <v>187</v>
      </c>
      <c r="J33" s="64">
        <f>SUMIF('3월 단양 팀STAT'!$C$53:$C$62, $C33, '3월 단양 팀STAT'!J$53:J$62) + SUMIF('4월 삼척 팀STAT'!$C$49:$C$58, $C33, '4월 삼척 팀STAT'!J$49:J$58)</f>
        <v>96</v>
      </c>
      <c r="K33" s="93">
        <f t="shared" si="21"/>
        <v>383</v>
      </c>
      <c r="L33" s="94">
        <f t="shared" si="22"/>
        <v>0.5117493473</v>
      </c>
      <c r="M33" s="64">
        <f>SUMIF('3월 단양 팀STAT'!$C$53:$C$62, $C33, '3월 단양 팀STAT'!M$53:M$62) + SUMIF('4월 삼척 팀STAT'!$C$49:$C$58, $C33, '4월 삼척 팀STAT'!M$49:M$58)</f>
        <v>14</v>
      </c>
      <c r="N33" s="64">
        <f>SUMIF('3월 단양 팀STAT'!$C$53:$C$62, $C33, '3월 단양 팀STAT'!N$53:N$62) + SUMIF('4월 삼척 팀STAT'!$C$49:$C$58, $C33, '4월 삼척 팀STAT'!N$49:N$58)</f>
        <v>3</v>
      </c>
      <c r="O33" s="64">
        <f>SUMIF('3월 단양 팀STAT'!$C$53:$C$62, $C33, '3월 단양 팀STAT'!O$53:O$62) + SUMIF('4월 삼척 팀STAT'!$C$49:$C$58, $C33, '4월 삼척 팀STAT'!O$49:O$58)</f>
        <v>10</v>
      </c>
      <c r="P33" s="64">
        <f>SUMIF('3월 단양 팀STAT'!$C$53:$C$62, $C33, '3월 단양 팀STAT'!P$53:P$62) + SUMIF('4월 삼척 팀STAT'!$C$49:$C$58, $C33, '4월 삼척 팀STAT'!P$49:P$58)</f>
        <v>163</v>
      </c>
      <c r="Q33" s="64">
        <f>SUMIF('3월 단양 팀STAT'!$C$53:$C$62, $C33, '3월 단양 팀STAT'!Q$53:Q$62) + SUMIF('4월 삼척 팀STAT'!$C$49:$C$58, $C33, '4월 삼척 팀STAT'!Q$49:Q$58)</f>
        <v>15</v>
      </c>
      <c r="R33" s="64">
        <f>SUMIF('3월 단양 팀STAT'!$C$53:$C$62, $C33, '3월 단양 팀STAT'!R$53:R$62) + SUMIF('4월 삼척 팀STAT'!$C$49:$C$58, $C33, '4월 삼척 팀STAT'!R$49:R$58)</f>
        <v>40</v>
      </c>
      <c r="S33" s="87">
        <f t="shared" si="7"/>
        <v>218</v>
      </c>
      <c r="T33" s="64">
        <f>SUMIF('3월 단양 팀STAT'!$C$53:$C$62, $C33, '3월 단양 팀STAT'!T$53:T$62) + SUMIF('4월 삼척 팀STAT'!$C$49:$C$58, $C33, '4월 삼척 팀STAT'!T$49:T$58)</f>
        <v>12</v>
      </c>
      <c r="U33" s="88">
        <f t="shared" si="23"/>
        <v>129</v>
      </c>
      <c r="V33" s="89">
        <f t="shared" si="8"/>
        <v>136.5</v>
      </c>
      <c r="W33" s="88">
        <f t="shared" si="9"/>
        <v>342</v>
      </c>
      <c r="X33" s="64">
        <f>SUMIF('3월 단양 팀STAT'!$C$53:$C$62, $C33, '3월 단양 팀STAT'!X$53:X$62) + SUMIF('4월 삼척 팀STAT'!$C$49:$C$58, $C33, '4월 삼척 팀STAT'!X$49:X$58)</f>
        <v>281</v>
      </c>
      <c r="Y33" s="64">
        <f>SUMIF('3월 단양 팀STAT'!$C$53:$C$62, $C33, '3월 단양 팀STAT'!Y$53:Y$62) + SUMIF('4월 삼척 팀STAT'!$C$49:$C$58, $C33, '4월 삼척 팀STAT'!Y$49:Y$58)</f>
        <v>61</v>
      </c>
      <c r="Z33" s="90">
        <f t="shared" si="10"/>
        <v>0.8216374269</v>
      </c>
      <c r="AA33" s="64">
        <f>SUMIF('3월 단양 팀STAT'!$C$53:$C$62, $C33, '3월 단양 팀STAT'!AA$53:AA$62) + SUMIF('4월 삼척 팀STAT'!$C$49:$C$58, $C33, '4월 삼척 팀STAT'!AA$49:AA$58)</f>
        <v>114</v>
      </c>
      <c r="AB33" s="91" t="str">
        <f t="shared" si="11"/>
        <v>7.6</v>
      </c>
      <c r="AC33" s="95"/>
      <c r="AD33" s="27">
        <f t="shared" si="12"/>
        <v>6.666666667</v>
      </c>
      <c r="AE33" s="27">
        <f t="shared" si="13"/>
        <v>25.53333333</v>
      </c>
      <c r="AF33" s="92">
        <f t="shared" si="14"/>
        <v>0.2610966057</v>
      </c>
      <c r="AG33" s="27">
        <f t="shared" si="15"/>
        <v>0.9333333333</v>
      </c>
      <c r="AH33" s="27">
        <f t="shared" si="16"/>
        <v>1</v>
      </c>
      <c r="AI33" s="27">
        <f t="shared" si="17"/>
        <v>8.6</v>
      </c>
      <c r="AJ33" s="27">
        <f t="shared" si="18"/>
        <v>9.1</v>
      </c>
      <c r="AK33" s="29">
        <f t="shared" si="19"/>
        <v>4.066666667</v>
      </c>
      <c r="AL33" s="29" t="str">
        <f t="shared" si="20"/>
        <v>7.6</v>
      </c>
    </row>
    <row r="34">
      <c r="B34" s="96">
        <v>8.0</v>
      </c>
      <c r="C34" s="97" t="str">
        <f t="shared" si="6"/>
        <v>선명여고</v>
      </c>
      <c r="D34" s="7"/>
      <c r="E34" s="64">
        <f>SUMIF('3월 단양 팀STAT'!$C$53:$C$62, $C34, '3월 단양 팀STAT'!E$53:E$62) + SUMIF('4월 삼척 팀STAT'!$C$49:$C$58, $C34, '4월 삼척 팀STAT'!E$49:E$58)</f>
        <v>4</v>
      </c>
      <c r="F34" s="64">
        <f>SUMIF('3월 단양 팀STAT'!$C$53:$C$62, $C34, '3월 단양 팀STAT'!F$53:F$62) + SUMIF('4월 삼척 팀STAT'!$C$49:$C$58, $C34, '4월 삼척 팀STAT'!F$49:F$58)</f>
        <v>14</v>
      </c>
      <c r="G34" s="64">
        <f>SUMIF('3월 단양 팀STAT'!$C$53:$C$62, $C34, '3월 단양 팀STAT'!G$53:G$62) + SUMIF('4월 삼척 팀STAT'!$C$49:$C$58, $C34, '4월 삼척 팀STAT'!G$49:G$58)</f>
        <v>178</v>
      </c>
      <c r="H34" s="64">
        <f>SUMIF('3월 단양 팀STAT'!$C$53:$C$62, $C34, '3월 단양 팀STAT'!H$53:H$62) + SUMIF('4월 삼척 팀STAT'!$C$49:$C$58, $C34, '4월 삼척 팀STAT'!H$49:H$58)</f>
        <v>165</v>
      </c>
      <c r="I34" s="64">
        <f>SUMIF('3월 단양 팀STAT'!$C$53:$C$62, $C34, '3월 단양 팀STAT'!I$53:I$62) + SUMIF('4월 삼척 팀STAT'!$C$49:$C$58, $C34, '4월 삼척 팀STAT'!I$49:I$58)</f>
        <v>190</v>
      </c>
      <c r="J34" s="64">
        <f>SUMIF('3월 단양 팀STAT'!$C$53:$C$62, $C34, '3월 단양 팀STAT'!J$53:J$62) + SUMIF('4월 삼척 팀STAT'!$C$49:$C$58, $C34, '4월 삼척 팀STAT'!J$49:J$58)</f>
        <v>65</v>
      </c>
      <c r="K34" s="98">
        <f t="shared" si="21"/>
        <v>433</v>
      </c>
      <c r="L34" s="99">
        <f t="shared" si="22"/>
        <v>0.5612009238</v>
      </c>
      <c r="M34" s="64">
        <f>SUMIF('3월 단양 팀STAT'!$C$53:$C$62, $C34, '3월 단양 팀STAT'!M$53:M$62) + SUMIF('4월 삼척 팀STAT'!$C$49:$C$58, $C34, '4월 삼척 팀STAT'!M$49:M$58)</f>
        <v>38</v>
      </c>
      <c r="N34" s="64">
        <f>SUMIF('3월 단양 팀STAT'!$C$53:$C$62, $C34, '3월 단양 팀STAT'!N$53:N$62) + SUMIF('4월 삼척 팀STAT'!$C$49:$C$58, $C34, '4월 삼척 팀STAT'!N$49:N$58)</f>
        <v>3</v>
      </c>
      <c r="O34" s="64">
        <f>SUMIF('3월 단양 팀STAT'!$C$53:$C$62, $C34, '3월 단양 팀STAT'!O$53:O$62) + SUMIF('4월 삼척 팀STAT'!$C$49:$C$58, $C34, '4월 삼척 팀STAT'!O$49:O$58)</f>
        <v>20</v>
      </c>
      <c r="P34" s="64">
        <f>SUMIF('3월 단양 팀STAT'!$C$53:$C$62, $C34, '3월 단양 팀STAT'!P$53:P$62) + SUMIF('4월 삼척 팀STAT'!$C$49:$C$58, $C34, '4월 삼척 팀STAT'!P$49:P$58)</f>
        <v>271</v>
      </c>
      <c r="Q34" s="64">
        <f>SUMIF('3월 단양 팀STAT'!$C$53:$C$62, $C34, '3월 단양 팀STAT'!Q$53:Q$62) + SUMIF('4월 삼척 팀STAT'!$C$49:$C$58, $C34, '4월 삼척 팀STAT'!Q$49:Q$58)</f>
        <v>26</v>
      </c>
      <c r="R34" s="64">
        <f>SUMIF('3월 단양 팀STAT'!$C$53:$C$62, $C34, '3월 단양 팀STAT'!R$53:R$62) + SUMIF('4월 삼척 팀STAT'!$C$49:$C$58, $C34, '4월 삼척 팀STAT'!R$49:R$58)</f>
        <v>43</v>
      </c>
      <c r="S34" s="100">
        <f t="shared" si="7"/>
        <v>340</v>
      </c>
      <c r="T34" s="64">
        <f>SUMIF('3월 단양 팀STAT'!$C$53:$C$62, $C34, '3월 단양 팀STAT'!T$53:T$62) + SUMIF('4월 삼척 팀STAT'!$C$49:$C$58, $C34, '4월 삼척 팀STAT'!T$49:T$58)</f>
        <v>6</v>
      </c>
      <c r="U34" s="101">
        <f t="shared" si="23"/>
        <v>242</v>
      </c>
      <c r="V34" s="102">
        <f t="shared" si="8"/>
        <v>257</v>
      </c>
      <c r="W34" s="101">
        <f t="shared" si="9"/>
        <v>289</v>
      </c>
      <c r="X34" s="64">
        <f>SUMIF('3월 단양 팀STAT'!$C$53:$C$62, $C34, '3월 단양 팀STAT'!X$53:X$62) + SUMIF('4월 삼척 팀STAT'!$C$49:$C$58, $C34, '4월 삼척 팀STAT'!X$49:X$58)</f>
        <v>260</v>
      </c>
      <c r="Y34" s="64">
        <f>SUMIF('3월 단양 팀STAT'!$C$53:$C$62, $C34, '3월 단양 팀STAT'!Y$53:Y$62) + SUMIF('4월 삼척 팀STAT'!$C$49:$C$58, $C34, '4월 삼척 팀STAT'!Y$49:Y$58)</f>
        <v>29</v>
      </c>
      <c r="Z34" s="90">
        <f t="shared" si="10"/>
        <v>0.8996539792</v>
      </c>
      <c r="AA34" s="64">
        <f>SUMIF('3월 단양 팀STAT'!$C$53:$C$62, $C34, '3월 단양 팀STAT'!AA$53:AA$62) + SUMIF('4월 삼척 팀STAT'!$C$49:$C$58, $C34, '4월 삼척 팀STAT'!AA$49:AA$58)</f>
        <v>147</v>
      </c>
      <c r="AB34" s="103" t="str">
        <f t="shared" si="11"/>
        <v>10.5</v>
      </c>
      <c r="AC34" s="104"/>
      <c r="AD34" s="27">
        <f t="shared" si="12"/>
        <v>12.71428571</v>
      </c>
      <c r="AE34" s="27">
        <f t="shared" si="13"/>
        <v>30.92857143</v>
      </c>
      <c r="AF34" s="92">
        <f t="shared" si="14"/>
        <v>0.4110854503</v>
      </c>
      <c r="AG34" s="27">
        <f t="shared" si="15"/>
        <v>2.714285714</v>
      </c>
      <c r="AH34" s="27">
        <f t="shared" si="16"/>
        <v>1.857142857</v>
      </c>
      <c r="AI34" s="27">
        <f t="shared" si="17"/>
        <v>17.28571429</v>
      </c>
      <c r="AJ34" s="27">
        <f t="shared" si="18"/>
        <v>18.35714286</v>
      </c>
      <c r="AK34" s="29">
        <f t="shared" si="19"/>
        <v>2.071428571</v>
      </c>
      <c r="AL34" s="29" t="str">
        <f t="shared" si="20"/>
        <v>10.5</v>
      </c>
    </row>
    <row r="35">
      <c r="B35" s="96">
        <v>9.0</v>
      </c>
      <c r="C35" s="97" t="str">
        <f t="shared" si="6"/>
        <v>중앙여고</v>
      </c>
      <c r="D35" s="7"/>
      <c r="E35" s="64">
        <f>SUMIF('3월 단양 팀STAT'!$C$53:$C$62, $C35, '3월 단양 팀STAT'!E$53:E$62) + SUMIF('4월 삼척 팀STAT'!$C$49:$C$58, $C35, '4월 삼척 팀STAT'!E$49:E$58)</f>
        <v>4</v>
      </c>
      <c r="F35" s="64">
        <f>SUMIF('3월 단양 팀STAT'!$C$53:$C$62, $C35, '3월 단양 팀STAT'!F$53:F$62) + SUMIF('4월 삼척 팀STAT'!$C$49:$C$58, $C35, '4월 삼척 팀STAT'!F$49:F$58)</f>
        <v>15</v>
      </c>
      <c r="G35" s="64">
        <f>SUMIF('3월 단양 팀STAT'!$C$53:$C$62, $C35, '3월 단양 팀STAT'!G$53:G$62) + SUMIF('4월 삼척 팀STAT'!$C$49:$C$58, $C35, '4월 삼척 팀STAT'!G$49:G$58)</f>
        <v>192</v>
      </c>
      <c r="H35" s="64">
        <f>SUMIF('3월 단양 팀STAT'!$C$53:$C$62, $C35, '3월 단양 팀STAT'!H$53:H$62) + SUMIF('4월 삼척 팀STAT'!$C$49:$C$58, $C35, '4월 삼척 팀STAT'!H$49:H$58)</f>
        <v>172</v>
      </c>
      <c r="I35" s="64">
        <f>SUMIF('3월 단양 팀STAT'!$C$53:$C$62, $C35, '3월 단양 팀STAT'!I$53:I$62) + SUMIF('4월 삼척 팀STAT'!$C$49:$C$58, $C35, '4월 삼척 팀STAT'!I$49:I$58)</f>
        <v>179</v>
      </c>
      <c r="J35" s="64">
        <f>SUMIF('3월 단양 팀STAT'!$C$53:$C$62, $C35, '3월 단양 팀STAT'!J$53:J$62) + SUMIF('4월 삼척 팀STAT'!$C$49:$C$58, $C35, '4월 삼척 팀STAT'!J$49:J$58)</f>
        <v>68</v>
      </c>
      <c r="K35" s="98">
        <f t="shared" si="21"/>
        <v>439</v>
      </c>
      <c r="L35" s="99">
        <f t="shared" si="22"/>
        <v>0.5922551253</v>
      </c>
      <c r="M35" s="64">
        <f>SUMIF('3월 단양 팀STAT'!$C$53:$C$62, $C35, '3월 단양 팀STAT'!M$53:M$62) + SUMIF('4월 삼척 팀STAT'!$C$49:$C$58, $C35, '4월 삼척 팀STAT'!M$49:M$58)</f>
        <v>37</v>
      </c>
      <c r="N35" s="64">
        <f>SUMIF('3월 단양 팀STAT'!$C$53:$C$62, $C35, '3월 단양 팀STAT'!N$53:N$62) + SUMIF('4월 삼척 팀STAT'!$C$49:$C$58, $C35, '4월 삼척 팀STAT'!N$49:N$58)</f>
        <v>3</v>
      </c>
      <c r="O35" s="64">
        <f>SUMIF('3월 단양 팀STAT'!$C$53:$C$62, $C35, '3월 단양 팀STAT'!O$53:O$62) + SUMIF('4월 삼척 팀STAT'!$C$49:$C$58, $C35, '4월 삼척 팀STAT'!O$49:O$58)</f>
        <v>34</v>
      </c>
      <c r="P35" s="64">
        <f>SUMIF('3월 단양 팀STAT'!$C$53:$C$62, $C35, '3월 단양 팀STAT'!P$53:P$62) + SUMIF('4월 삼척 팀STAT'!$C$49:$C$58, $C35, '4월 삼척 팀STAT'!P$49:P$58)</f>
        <v>281</v>
      </c>
      <c r="Q35" s="64">
        <f>SUMIF('3월 단양 팀STAT'!$C$53:$C$62, $C35, '3월 단양 팀STAT'!Q$53:Q$62) + SUMIF('4월 삼척 팀STAT'!$C$49:$C$58, $C35, '4월 삼척 팀STAT'!Q$49:Q$58)</f>
        <v>29</v>
      </c>
      <c r="R35" s="64">
        <f>SUMIF('3월 단양 팀STAT'!$C$53:$C$62, $C35, '3월 단양 팀STAT'!R$53:R$62) + SUMIF('4월 삼척 팀STAT'!$C$49:$C$58, $C35, '4월 삼척 팀STAT'!R$49:R$58)</f>
        <v>25</v>
      </c>
      <c r="S35" s="100">
        <f t="shared" si="7"/>
        <v>335</v>
      </c>
      <c r="T35" s="64">
        <f>SUMIF('3월 단양 팀STAT'!$C$53:$C$62, $C35, '3월 단양 팀STAT'!T$53:T$62) + SUMIF('4월 삼척 팀STAT'!$C$49:$C$58, $C35, '4월 삼척 팀STAT'!T$49:T$58)</f>
        <v>12</v>
      </c>
      <c r="U35" s="101">
        <f t="shared" si="23"/>
        <v>258</v>
      </c>
      <c r="V35" s="102">
        <f t="shared" si="8"/>
        <v>283.5</v>
      </c>
      <c r="W35" s="101">
        <f t="shared" si="9"/>
        <v>265</v>
      </c>
      <c r="X35" s="64">
        <f>SUMIF('3월 단양 팀STAT'!$C$53:$C$62, $C35, '3월 단양 팀STAT'!X$53:X$62) + SUMIF('4월 삼척 팀STAT'!$C$49:$C$58, $C35, '4월 삼척 팀STAT'!X$49:X$58)</f>
        <v>234</v>
      </c>
      <c r="Y35" s="64">
        <f>SUMIF('3월 단양 팀STAT'!$C$53:$C$62, $C35, '3월 단양 팀STAT'!Y$53:Y$62) + SUMIF('4월 삼척 팀STAT'!$C$49:$C$58, $C35, '4월 삼척 팀STAT'!Y$49:Y$58)</f>
        <v>31</v>
      </c>
      <c r="Z35" s="90">
        <f t="shared" si="10"/>
        <v>0.8830188679</v>
      </c>
      <c r="AA35" s="64">
        <f>SUMIF('3월 단양 팀STAT'!$C$53:$C$62, $C35, '3월 단양 팀STAT'!AA$53:AA$62) + SUMIF('4월 삼척 팀STAT'!$C$49:$C$58, $C35, '4월 삼척 팀STAT'!AA$49:AA$58)</f>
        <v>162</v>
      </c>
      <c r="AB35" s="103" t="str">
        <f t="shared" si="11"/>
        <v>10.8</v>
      </c>
      <c r="AC35" s="104"/>
      <c r="AD35" s="27">
        <f t="shared" si="12"/>
        <v>12.8</v>
      </c>
      <c r="AE35" s="27">
        <f t="shared" si="13"/>
        <v>29.26666667</v>
      </c>
      <c r="AF35" s="92">
        <f t="shared" si="14"/>
        <v>0.437357631</v>
      </c>
      <c r="AG35" s="27">
        <f t="shared" si="15"/>
        <v>2.466666667</v>
      </c>
      <c r="AH35" s="27">
        <f t="shared" si="16"/>
        <v>1.933333333</v>
      </c>
      <c r="AI35" s="27">
        <f t="shared" si="17"/>
        <v>17.2</v>
      </c>
      <c r="AJ35" s="27">
        <f t="shared" si="18"/>
        <v>18.9</v>
      </c>
      <c r="AK35" s="29">
        <f t="shared" si="19"/>
        <v>2.066666667</v>
      </c>
      <c r="AL35" s="29" t="str">
        <f t="shared" si="20"/>
        <v>10.8</v>
      </c>
    </row>
    <row r="36">
      <c r="B36" s="96">
        <v>10.0</v>
      </c>
      <c r="C36" s="97" t="str">
        <f t="shared" si="6"/>
        <v>일신여상</v>
      </c>
      <c r="D36" s="7"/>
      <c r="E36" s="64">
        <f>SUMIF('3월 단양 팀STAT'!$C$53:$C$62, $C36, '3월 단양 팀STAT'!E$53:E$62) + SUMIF('4월 삼척 팀STAT'!$C$49:$C$58, $C36, '4월 삼척 팀STAT'!E$49:E$58)</f>
        <v>3</v>
      </c>
      <c r="F36" s="64">
        <f>SUMIF('3월 단양 팀STAT'!$C$53:$C$62, $C36, '3월 단양 팀STAT'!F$53:F$62) + SUMIF('4월 삼척 팀STAT'!$C$49:$C$58, $C36, '4월 삼척 팀STAT'!F$49:F$58)</f>
        <v>12</v>
      </c>
      <c r="G36" s="64">
        <f>SUMIF('3월 단양 팀STAT'!$C$53:$C$62, $C36, '3월 단양 팀STAT'!G$53:G$62) + SUMIF('4월 삼척 팀STAT'!$C$49:$C$58, $C36, '4월 삼척 팀STAT'!G$49:G$58)</f>
        <v>151</v>
      </c>
      <c r="H36" s="64">
        <f>SUMIF('3월 단양 팀STAT'!$C$53:$C$62, $C36, '3월 단양 팀STAT'!H$53:H$62) + SUMIF('4월 삼척 팀STAT'!$C$49:$C$58, $C36, '4월 삼척 팀STAT'!H$49:H$58)</f>
        <v>140</v>
      </c>
      <c r="I36" s="64">
        <f>SUMIF('3월 단양 팀STAT'!$C$53:$C$62, $C36, '3월 단양 팀STAT'!I$53:I$62) + SUMIF('4월 삼척 팀STAT'!$C$49:$C$58, $C36, '4월 삼척 팀STAT'!I$49:I$58)</f>
        <v>188</v>
      </c>
      <c r="J36" s="64">
        <f>SUMIF('3월 단양 팀STAT'!$C$53:$C$62, $C36, '3월 단양 팀STAT'!J$53:J$62) + SUMIF('4월 삼척 팀STAT'!$C$49:$C$58, $C36, '4월 삼척 팀STAT'!J$49:J$58)</f>
        <v>84</v>
      </c>
      <c r="K36" s="98">
        <f t="shared" si="21"/>
        <v>423</v>
      </c>
      <c r="L36" s="99">
        <f t="shared" si="22"/>
        <v>0.5555555556</v>
      </c>
      <c r="M36" s="64">
        <f>SUMIF('3월 단양 팀STAT'!$C$53:$C$62, $C36, '3월 단양 팀STAT'!M$53:M$62) + SUMIF('4월 삼척 팀STAT'!$C$49:$C$58, $C36, '4월 삼척 팀STAT'!M$49:M$58)</f>
        <v>13</v>
      </c>
      <c r="N36" s="64">
        <f>SUMIF('3월 단양 팀STAT'!$C$53:$C$62, $C36, '3월 단양 팀STAT'!N$53:N$62) + SUMIF('4월 삼척 팀STAT'!$C$49:$C$58, $C36, '4월 삼척 팀STAT'!N$49:N$58)</f>
        <v>6</v>
      </c>
      <c r="O36" s="64">
        <f>SUMIF('3월 단양 팀STAT'!$C$53:$C$62, $C36, '3월 단양 팀STAT'!O$53:O$62) + SUMIF('4월 삼척 팀STAT'!$C$49:$C$58, $C36, '4월 삼척 팀STAT'!O$49:O$58)</f>
        <v>10</v>
      </c>
      <c r="P36" s="64">
        <f>SUMIF('3월 단양 팀STAT'!$C$53:$C$62, $C36, '3월 단양 팀STAT'!P$53:P$62) + SUMIF('4월 삼척 팀STAT'!$C$49:$C$58, $C36, '4월 삼척 팀STAT'!P$49:P$58)</f>
        <v>215</v>
      </c>
      <c r="Q36" s="64">
        <f>SUMIF('3월 단양 팀STAT'!$C$53:$C$62, $C36, '3월 단양 팀STAT'!Q$53:Q$62) + SUMIF('4월 삼척 팀STAT'!$C$49:$C$58, $C36, '4월 삼척 팀STAT'!Q$49:Q$58)</f>
        <v>13</v>
      </c>
      <c r="R36" s="64">
        <f>SUMIF('3월 단양 팀STAT'!$C$53:$C$62, $C36, '3월 단양 팀STAT'!R$53:R$62) + SUMIF('4월 삼척 팀STAT'!$C$49:$C$58, $C36, '4월 삼척 팀STAT'!R$49:R$58)</f>
        <v>36</v>
      </c>
      <c r="S36" s="100">
        <f t="shared" si="7"/>
        <v>264</v>
      </c>
      <c r="T36" s="64">
        <f>SUMIF('3월 단양 팀STAT'!$C$53:$C$62, $C36, '3월 단양 팀STAT'!T$53:T$62) + SUMIF('4월 삼척 팀STAT'!$C$49:$C$58, $C36, '4월 삼척 팀STAT'!T$49:T$58)</f>
        <v>16</v>
      </c>
      <c r="U36" s="101">
        <f t="shared" si="23"/>
        <v>177</v>
      </c>
      <c r="V36" s="102">
        <f t="shared" si="8"/>
        <v>184.5</v>
      </c>
      <c r="W36" s="101">
        <f t="shared" si="9"/>
        <v>274</v>
      </c>
      <c r="X36" s="64">
        <f>SUMIF('3월 단양 팀STAT'!$C$53:$C$62, $C36, '3월 단양 팀STAT'!X$53:X$62) + SUMIF('4월 삼척 팀STAT'!$C$49:$C$58, $C36, '4월 삼척 팀STAT'!X$49:X$58)</f>
        <v>244</v>
      </c>
      <c r="Y36" s="64">
        <f>SUMIF('3월 단양 팀STAT'!$C$53:$C$62, $C36, '3월 단양 팀STAT'!Y$53:Y$62) + SUMIF('4월 삼척 팀STAT'!$C$49:$C$58, $C36, '4월 삼척 팀STAT'!Y$49:Y$58)</f>
        <v>30</v>
      </c>
      <c r="Z36" s="90">
        <f t="shared" si="10"/>
        <v>0.8905109489</v>
      </c>
      <c r="AA36" s="64">
        <f>SUMIF('3월 단양 팀STAT'!$C$53:$C$62, $C36, '3월 단양 팀STAT'!AA$53:AA$62) + SUMIF('4월 삼척 팀STAT'!$C$49:$C$58, $C36, '4월 삼척 팀STAT'!AA$49:AA$58)</f>
        <v>151</v>
      </c>
      <c r="AB36" s="103" t="str">
        <f t="shared" si="11"/>
        <v>12.6</v>
      </c>
      <c r="AC36" s="104"/>
      <c r="AD36" s="27">
        <f t="shared" si="12"/>
        <v>12.58333333</v>
      </c>
      <c r="AE36" s="27">
        <f t="shared" si="13"/>
        <v>35.25</v>
      </c>
      <c r="AF36" s="92">
        <f t="shared" si="14"/>
        <v>0.3569739953</v>
      </c>
      <c r="AG36" s="27">
        <f t="shared" si="15"/>
        <v>1.083333333</v>
      </c>
      <c r="AH36" s="27">
        <f t="shared" si="16"/>
        <v>1.083333333</v>
      </c>
      <c r="AI36" s="27">
        <f t="shared" si="17"/>
        <v>14.75</v>
      </c>
      <c r="AJ36" s="27">
        <f t="shared" si="18"/>
        <v>15.375</v>
      </c>
      <c r="AK36" s="29">
        <f t="shared" si="19"/>
        <v>2.5</v>
      </c>
      <c r="AL36" s="29" t="str">
        <f t="shared" si="20"/>
        <v>12.6</v>
      </c>
    </row>
    <row r="37">
      <c r="B37" s="96">
        <v>11.0</v>
      </c>
      <c r="C37" s="97" t="str">
        <f t="shared" si="6"/>
        <v>전주근영</v>
      </c>
      <c r="D37" s="7"/>
      <c r="E37" s="64">
        <f>SUMIF('3월 단양 팀STAT'!$C$53:$C$62, $C37, '3월 단양 팀STAT'!E$53:E$62) + SUMIF('4월 삼척 팀STAT'!$C$49:$C$58, $C37, '4월 삼척 팀STAT'!E$49:E$58)</f>
        <v>2</v>
      </c>
      <c r="F37" s="64">
        <f>SUMIF('3월 단양 팀STAT'!$C$53:$C$62, $C37, '3월 단양 팀STAT'!F$53:F$62) + SUMIF('4월 삼척 팀STAT'!$C$49:$C$58, $C37, '4월 삼척 팀STAT'!F$49:F$58)</f>
        <v>7</v>
      </c>
      <c r="G37" s="64">
        <f>SUMIF('3월 단양 팀STAT'!$C$53:$C$62, $C37, '3월 단양 팀STAT'!G$53:G$62) + SUMIF('4월 삼척 팀STAT'!$C$49:$C$58, $C37, '4월 삼척 팀STAT'!G$49:G$58)</f>
        <v>79</v>
      </c>
      <c r="H37" s="64">
        <f>SUMIF('3월 단양 팀STAT'!$C$53:$C$62, $C37, '3월 단양 팀STAT'!H$53:H$62) + SUMIF('4월 삼척 팀STAT'!$C$49:$C$58, $C37, '4월 삼척 팀STAT'!H$49:H$58)</f>
        <v>70</v>
      </c>
      <c r="I37" s="64">
        <f>SUMIF('3월 단양 팀STAT'!$C$53:$C$62, $C37, '3월 단양 팀STAT'!I$53:I$62) + SUMIF('4월 삼척 팀STAT'!$C$49:$C$58, $C37, '4월 삼척 팀STAT'!I$49:I$58)</f>
        <v>106</v>
      </c>
      <c r="J37" s="64">
        <f>SUMIF('3월 단양 팀STAT'!$C$53:$C$62, $C37, '3월 단양 팀STAT'!J$53:J$62) + SUMIF('4월 삼척 팀STAT'!$C$49:$C$58, $C37, '4월 삼척 팀STAT'!J$49:J$58)</f>
        <v>41</v>
      </c>
      <c r="K37" s="98">
        <f t="shared" si="21"/>
        <v>226</v>
      </c>
      <c r="L37" s="99">
        <f t="shared" si="22"/>
        <v>0.5309734513</v>
      </c>
      <c r="M37" s="64">
        <f>SUMIF('3월 단양 팀STAT'!$C$53:$C$62, $C37, '3월 단양 팀STAT'!M$53:M$62) + SUMIF('4월 삼척 팀STAT'!$C$49:$C$58, $C37, '4월 삼척 팀STAT'!M$49:M$58)</f>
        <v>12</v>
      </c>
      <c r="N37" s="64">
        <f>SUMIF('3월 단양 팀STAT'!$C$53:$C$62, $C37, '3월 단양 팀STAT'!N$53:N$62) + SUMIF('4월 삼척 팀STAT'!$C$49:$C$58, $C37, '4월 삼척 팀STAT'!N$49:N$58)</f>
        <v>0</v>
      </c>
      <c r="O37" s="64">
        <f>SUMIF('3월 단양 팀STAT'!$C$53:$C$62, $C37, '3월 단양 팀STAT'!O$53:O$62) + SUMIF('4월 삼척 팀STAT'!$C$49:$C$58, $C37, '4월 삼척 팀STAT'!O$49:O$58)</f>
        <v>6</v>
      </c>
      <c r="P37" s="64">
        <f>SUMIF('3월 단양 팀STAT'!$C$53:$C$62, $C37, '3월 단양 팀STAT'!P$53:P$62) + SUMIF('4월 삼척 팀STAT'!$C$49:$C$58, $C37, '4월 삼척 팀STAT'!P$49:P$58)</f>
        <v>126</v>
      </c>
      <c r="Q37" s="64">
        <f>SUMIF('3월 단양 팀STAT'!$C$53:$C$62, $C37, '3월 단양 팀STAT'!Q$53:Q$62) + SUMIF('4월 삼척 팀STAT'!$C$49:$C$58, $C37, '4월 삼척 팀STAT'!Q$49:Q$58)</f>
        <v>12</v>
      </c>
      <c r="R37" s="64">
        <f>SUMIF('3월 단양 팀STAT'!$C$53:$C$62, $C37, '3월 단양 팀STAT'!R$53:R$62) + SUMIF('4월 삼척 팀STAT'!$C$49:$C$58, $C37, '4월 삼척 팀STAT'!R$49:R$58)</f>
        <v>18</v>
      </c>
      <c r="S37" s="100">
        <f t="shared" si="7"/>
        <v>156</v>
      </c>
      <c r="T37" s="64">
        <f>SUMIF('3월 단양 팀STAT'!$C$53:$C$62, $C37, '3월 단양 팀STAT'!T$53:T$62) + SUMIF('4월 삼척 팀STAT'!$C$49:$C$58, $C37, '4월 삼척 팀STAT'!T$49:T$58)</f>
        <v>8</v>
      </c>
      <c r="U37" s="101">
        <f t="shared" si="23"/>
        <v>103</v>
      </c>
      <c r="V37" s="102">
        <f t="shared" si="8"/>
        <v>107.5</v>
      </c>
      <c r="W37" s="101">
        <f t="shared" si="9"/>
        <v>148</v>
      </c>
      <c r="X37" s="64">
        <f>SUMIF('3월 단양 팀STAT'!$C$53:$C$62, $C37, '3월 단양 팀STAT'!X$53:X$62) + SUMIF('4월 삼척 팀STAT'!$C$49:$C$58, $C37, '4월 삼척 팀STAT'!X$49:X$58)</f>
        <v>132</v>
      </c>
      <c r="Y37" s="64">
        <f>SUMIF('3월 단양 팀STAT'!$C$53:$C$62, $C37, '3월 단양 팀STAT'!Y$53:Y$62) + SUMIF('4월 삼척 팀STAT'!$C$49:$C$58, $C37, '4월 삼척 팀STAT'!Y$49:Y$58)</f>
        <v>16</v>
      </c>
      <c r="Z37" s="90">
        <f t="shared" si="10"/>
        <v>0.8918918919</v>
      </c>
      <c r="AA37" s="64">
        <f>SUMIF('3월 단양 팀STAT'!$C$53:$C$62, $C37, '3월 단양 팀STAT'!AA$53:AA$62) + SUMIF('4월 삼척 팀STAT'!$C$49:$C$58, $C37, '4월 삼척 팀STAT'!AA$49:AA$58)</f>
        <v>84</v>
      </c>
      <c r="AB37" s="103" t="str">
        <f t="shared" si="11"/>
        <v>12.0</v>
      </c>
      <c r="AC37" s="104"/>
      <c r="AD37" s="27">
        <f t="shared" si="12"/>
        <v>11.28571429</v>
      </c>
      <c r="AE37" s="27">
        <f t="shared" si="13"/>
        <v>32.28571429</v>
      </c>
      <c r="AF37" s="92">
        <f t="shared" si="14"/>
        <v>0.3495575221</v>
      </c>
      <c r="AG37" s="27">
        <f t="shared" si="15"/>
        <v>1.714285714</v>
      </c>
      <c r="AH37" s="27">
        <f t="shared" si="16"/>
        <v>1.714285714</v>
      </c>
      <c r="AI37" s="27">
        <f t="shared" si="17"/>
        <v>14.71428571</v>
      </c>
      <c r="AJ37" s="27">
        <f t="shared" si="18"/>
        <v>15.35714286</v>
      </c>
      <c r="AK37" s="29">
        <f t="shared" si="19"/>
        <v>2.285714286</v>
      </c>
      <c r="AL37" s="29" t="str">
        <f t="shared" si="20"/>
        <v>12.0</v>
      </c>
    </row>
    <row r="38">
      <c r="B38" s="96">
        <v>12.0</v>
      </c>
      <c r="C38" s="97" t="str">
        <f t="shared" si="6"/>
        <v>세화여고</v>
      </c>
      <c r="D38" s="7"/>
      <c r="E38" s="64">
        <f>SUMIF('3월 단양 팀STAT'!$C$53:$C$62, $C38, '3월 단양 팀STAT'!E$53:E$62) + SUMIF('4월 삼척 팀STAT'!$C$49:$C$58, $C38, '4월 삼척 팀STAT'!E$49:E$58)</f>
        <v>2</v>
      </c>
      <c r="F38" s="64">
        <f>SUMIF('3월 단양 팀STAT'!$C$53:$C$62, $C38, '3월 단양 팀STAT'!F$53:F$62) + SUMIF('4월 삼척 팀STAT'!$C$49:$C$58, $C38, '4월 삼척 팀STAT'!F$49:F$58)</f>
        <v>7</v>
      </c>
      <c r="G38" s="64">
        <f>SUMIF('3월 단양 팀STAT'!$C$53:$C$62, $C38, '3월 단양 팀STAT'!G$53:G$62) + SUMIF('4월 삼척 팀STAT'!$C$49:$C$58, $C38, '4월 삼척 팀STAT'!G$49:G$58)</f>
        <v>84</v>
      </c>
      <c r="H38" s="64">
        <f>SUMIF('3월 단양 팀STAT'!$C$53:$C$62, $C38, '3월 단양 팀STAT'!H$53:H$62) + SUMIF('4월 삼척 팀STAT'!$C$49:$C$58, $C38, '4월 삼척 팀STAT'!H$49:H$58)</f>
        <v>80</v>
      </c>
      <c r="I38" s="64">
        <f>SUMIF('3월 단양 팀STAT'!$C$53:$C$62, $C38, '3월 단양 팀STAT'!I$53:I$62) + SUMIF('4월 삼척 팀STAT'!$C$49:$C$58, $C38, '4월 삼척 팀STAT'!I$49:I$58)</f>
        <v>157</v>
      </c>
      <c r="J38" s="64">
        <f>SUMIF('3월 단양 팀STAT'!$C$53:$C$62, $C38, '3월 단양 팀STAT'!J$53:J$62) + SUMIF('4월 삼척 팀STAT'!$C$49:$C$58, $C38, '4월 삼척 팀STAT'!J$49:J$58)</f>
        <v>39</v>
      </c>
      <c r="K38" s="98">
        <f t="shared" si="21"/>
        <v>280</v>
      </c>
      <c r="L38" s="99">
        <f t="shared" si="22"/>
        <v>0.4392857143</v>
      </c>
      <c r="M38" s="64">
        <f>SUMIF('3월 단양 팀STAT'!$C$53:$C$62, $C38, '3월 단양 팀STAT'!M$53:M$62) + SUMIF('4월 삼척 팀STAT'!$C$49:$C$58, $C38, '4월 삼척 팀STAT'!M$49:M$58)</f>
        <v>15</v>
      </c>
      <c r="N38" s="64">
        <f>SUMIF('3월 단양 팀STAT'!$C$53:$C$62, $C38, '3월 단양 팀STAT'!N$53:N$62) + SUMIF('4월 삼척 팀STAT'!$C$49:$C$58, $C38, '4월 삼척 팀STAT'!N$49:N$58)</f>
        <v>1</v>
      </c>
      <c r="O38" s="64">
        <f>SUMIF('3월 단양 팀STAT'!$C$53:$C$62, $C38, '3월 단양 팀STAT'!O$53:O$62) + SUMIF('4월 삼척 팀STAT'!$C$49:$C$58, $C38, '4월 삼척 팀STAT'!O$49:O$58)</f>
        <v>12</v>
      </c>
      <c r="P38" s="64">
        <f>SUMIF('3월 단양 팀STAT'!$C$53:$C$62, $C38, '3월 단양 팀STAT'!P$53:P$62) + SUMIF('4월 삼척 팀STAT'!$C$49:$C$58, $C38, '4월 삼척 팀STAT'!P$49:P$58)</f>
        <v>121</v>
      </c>
      <c r="Q38" s="64">
        <f>SUMIF('3월 단양 팀STAT'!$C$53:$C$62, $C38, '3월 단양 팀STAT'!Q$53:Q$62) + SUMIF('4월 삼척 팀STAT'!$C$49:$C$58, $C38, '4월 삼척 팀STAT'!Q$49:Q$58)</f>
        <v>10</v>
      </c>
      <c r="R38" s="64">
        <f>SUMIF('3월 단양 팀STAT'!$C$53:$C$62, $C38, '3월 단양 팀STAT'!R$53:R$62) + SUMIF('4월 삼척 팀STAT'!$C$49:$C$58, $C38, '4월 삼척 팀STAT'!R$49:R$58)</f>
        <v>18</v>
      </c>
      <c r="S38" s="100">
        <f t="shared" si="7"/>
        <v>149</v>
      </c>
      <c r="T38" s="64">
        <f>SUMIF('3월 단양 팀STAT'!$C$53:$C$62, $C38, '3월 단양 팀STAT'!T$53:T$62) + SUMIF('4월 삼척 팀STAT'!$C$49:$C$58, $C38, '4월 삼척 팀STAT'!T$49:T$58)</f>
        <v>1</v>
      </c>
      <c r="U38" s="101">
        <f t="shared" si="23"/>
        <v>109</v>
      </c>
      <c r="V38" s="102">
        <f t="shared" si="8"/>
        <v>118</v>
      </c>
      <c r="W38" s="101">
        <f t="shared" si="9"/>
        <v>155</v>
      </c>
      <c r="X38" s="64">
        <f>SUMIF('3월 단양 팀STAT'!$C$53:$C$62, $C38, '3월 단양 팀STAT'!X$53:X$62) + SUMIF('4월 삼척 팀STAT'!$C$49:$C$58, $C38, '4월 삼척 팀STAT'!X$49:X$58)</f>
        <v>137</v>
      </c>
      <c r="Y38" s="64">
        <f>SUMIF('3월 단양 팀STAT'!$C$53:$C$62, $C38, '3월 단양 팀STAT'!Y$53:Y$62) + SUMIF('4월 삼척 팀STAT'!$C$49:$C$58, $C38, '4월 삼척 팀STAT'!Y$49:Y$58)</f>
        <v>18</v>
      </c>
      <c r="Z38" s="90">
        <f t="shared" si="10"/>
        <v>0.8838709677</v>
      </c>
      <c r="AA38" s="64">
        <f>SUMIF('3월 단양 팀STAT'!$C$53:$C$62, $C38, '3월 단양 팀STAT'!AA$53:AA$62) + SUMIF('4월 삼척 팀STAT'!$C$49:$C$58, $C38, '4월 삼척 팀STAT'!AA$49:AA$58)</f>
        <v>140</v>
      </c>
      <c r="AB38" s="103" t="str">
        <f t="shared" si="11"/>
        <v>20.0</v>
      </c>
      <c r="AC38" s="104"/>
      <c r="AD38" s="27">
        <f t="shared" si="12"/>
        <v>12</v>
      </c>
      <c r="AE38" s="27">
        <f t="shared" si="13"/>
        <v>40</v>
      </c>
      <c r="AF38" s="92">
        <f t="shared" si="14"/>
        <v>0.3</v>
      </c>
      <c r="AG38" s="27">
        <f t="shared" si="15"/>
        <v>2.142857143</v>
      </c>
      <c r="AH38" s="27">
        <f t="shared" si="16"/>
        <v>1.428571429</v>
      </c>
      <c r="AI38" s="27">
        <f t="shared" si="17"/>
        <v>15.57142857</v>
      </c>
      <c r="AJ38" s="27">
        <f t="shared" si="18"/>
        <v>16.85714286</v>
      </c>
      <c r="AK38" s="29">
        <f t="shared" si="19"/>
        <v>2.571428571</v>
      </c>
      <c r="AL38" s="29" t="str">
        <f t="shared" si="20"/>
        <v>20.0</v>
      </c>
    </row>
    <row r="39">
      <c r="B39" s="96">
        <v>13.0</v>
      </c>
      <c r="C39" s="97" t="str">
        <f t="shared" si="6"/>
        <v/>
      </c>
      <c r="D39" s="7"/>
      <c r="E39" s="105"/>
      <c r="F39" s="105"/>
      <c r="G39" s="105"/>
      <c r="H39" s="105"/>
      <c r="I39" s="105"/>
      <c r="J39" s="105"/>
      <c r="K39" s="98"/>
      <c r="L39" s="99"/>
      <c r="M39" s="105"/>
      <c r="N39" s="105"/>
      <c r="O39" s="105"/>
      <c r="P39" s="105"/>
      <c r="Q39" s="105"/>
      <c r="R39" s="105"/>
      <c r="S39" s="100"/>
      <c r="T39" s="105"/>
      <c r="U39" s="101"/>
      <c r="V39" s="102"/>
      <c r="W39" s="101"/>
      <c r="X39" s="105"/>
      <c r="Y39" s="105"/>
      <c r="Z39" s="106"/>
      <c r="AA39" s="105"/>
      <c r="AB39" s="103"/>
      <c r="AC39" s="104"/>
      <c r="AD39" s="107"/>
      <c r="AE39" s="107"/>
      <c r="AF39" s="107"/>
      <c r="AG39" s="107"/>
      <c r="AH39" s="107"/>
      <c r="AI39" s="107"/>
      <c r="AJ39" s="107"/>
      <c r="AK39" s="107"/>
      <c r="AL39" s="107"/>
    </row>
    <row r="40">
      <c r="B40" s="96">
        <v>14.0</v>
      </c>
      <c r="C40" s="97" t="str">
        <f t="shared" si="6"/>
        <v/>
      </c>
      <c r="D40" s="7"/>
      <c r="E40" s="105"/>
      <c r="F40" s="105"/>
      <c r="G40" s="105"/>
      <c r="H40" s="105"/>
      <c r="I40" s="105"/>
      <c r="J40" s="105"/>
      <c r="K40" s="98"/>
      <c r="L40" s="99"/>
      <c r="M40" s="105"/>
      <c r="N40" s="105"/>
      <c r="O40" s="105"/>
      <c r="P40" s="105"/>
      <c r="Q40" s="105"/>
      <c r="R40" s="105"/>
      <c r="S40" s="100"/>
      <c r="T40" s="105"/>
      <c r="U40" s="101"/>
      <c r="V40" s="102"/>
      <c r="W40" s="101"/>
      <c r="X40" s="105"/>
      <c r="Y40" s="105"/>
      <c r="Z40" s="106"/>
      <c r="AA40" s="105"/>
      <c r="AB40" s="103"/>
      <c r="AC40" s="104"/>
      <c r="AD40" s="107"/>
      <c r="AE40" s="107"/>
      <c r="AF40" s="107"/>
      <c r="AG40" s="107"/>
      <c r="AH40" s="107"/>
      <c r="AI40" s="107"/>
      <c r="AJ40" s="107"/>
      <c r="AK40" s="107"/>
      <c r="AL40" s="107"/>
    </row>
    <row r="41">
      <c r="B41" s="96">
        <v>15.0</v>
      </c>
      <c r="C41" s="97" t="str">
        <f t="shared" si="6"/>
        <v/>
      </c>
      <c r="D41" s="7"/>
      <c r="E41" s="105"/>
      <c r="F41" s="105"/>
      <c r="G41" s="105"/>
      <c r="H41" s="105"/>
      <c r="I41" s="105"/>
      <c r="J41" s="105"/>
      <c r="K41" s="98"/>
      <c r="L41" s="99"/>
      <c r="M41" s="105"/>
      <c r="N41" s="105"/>
      <c r="O41" s="105"/>
      <c r="P41" s="105"/>
      <c r="Q41" s="105"/>
      <c r="R41" s="105"/>
      <c r="S41" s="100"/>
      <c r="T41" s="105"/>
      <c r="U41" s="101"/>
      <c r="V41" s="102"/>
      <c r="W41" s="101"/>
      <c r="X41" s="105"/>
      <c r="Y41" s="105"/>
      <c r="Z41" s="106"/>
      <c r="AA41" s="105"/>
      <c r="AB41" s="103"/>
      <c r="AC41" s="104"/>
      <c r="AD41" s="107"/>
      <c r="AE41" s="107"/>
      <c r="AF41" s="107"/>
      <c r="AG41" s="107"/>
      <c r="AH41" s="107"/>
      <c r="AI41" s="107"/>
      <c r="AJ41" s="107"/>
      <c r="AK41" s="107"/>
      <c r="AL41" s="107"/>
    </row>
  </sheetData>
  <mergeCells count="65">
    <mergeCell ref="C29:D29"/>
    <mergeCell ref="C30:D30"/>
    <mergeCell ref="C31:D31"/>
    <mergeCell ref="C32:D32"/>
    <mergeCell ref="C33:D33"/>
    <mergeCell ref="C34:D34"/>
    <mergeCell ref="C35:D35"/>
    <mergeCell ref="C43:D43"/>
    <mergeCell ref="C44:D44"/>
    <mergeCell ref="C45:D45"/>
    <mergeCell ref="C46:D46"/>
    <mergeCell ref="C36:D36"/>
    <mergeCell ref="C37:D37"/>
    <mergeCell ref="C38:D38"/>
    <mergeCell ref="C39:D39"/>
    <mergeCell ref="C40:D40"/>
    <mergeCell ref="C41:D41"/>
    <mergeCell ref="C42:D42"/>
    <mergeCell ref="A1:O1"/>
    <mergeCell ref="B3:C3"/>
    <mergeCell ref="B4:B5"/>
    <mergeCell ref="E4:E5"/>
    <mergeCell ref="F4:G4"/>
    <mergeCell ref="H4:I4"/>
    <mergeCell ref="N4:O4"/>
    <mergeCell ref="J4:K4"/>
    <mergeCell ref="L4:M4"/>
    <mergeCell ref="P5:S5"/>
    <mergeCell ref="P6:S6"/>
    <mergeCell ref="P7:S7"/>
    <mergeCell ref="P8:S8"/>
    <mergeCell ref="P9:S9"/>
    <mergeCell ref="C4:D5"/>
    <mergeCell ref="C6:D6"/>
    <mergeCell ref="C7:D7"/>
    <mergeCell ref="C8:D8"/>
    <mergeCell ref="C9:D9"/>
    <mergeCell ref="C10:D10"/>
    <mergeCell ref="C11:D11"/>
    <mergeCell ref="P17:S17"/>
    <mergeCell ref="P18:S18"/>
    <mergeCell ref="P19:S19"/>
    <mergeCell ref="P20:S20"/>
    <mergeCell ref="P21:S21"/>
    <mergeCell ref="P10:S10"/>
    <mergeCell ref="P11:S11"/>
    <mergeCell ref="P12:S12"/>
    <mergeCell ref="P13:S13"/>
    <mergeCell ref="P14:S14"/>
    <mergeCell ref="P15:S15"/>
    <mergeCell ref="P16:S16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B25:C25"/>
    <mergeCell ref="C26:D26"/>
    <mergeCell ref="C27:D27"/>
    <mergeCell ref="C28:D28"/>
  </mergeCells>
  <conditionalFormatting sqref="L27 L29 L31">
    <cfRule type="cellIs" dxfId="3" priority="1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3.88"/>
    <col customWidth="1" min="3" max="3" width="10.88"/>
    <col customWidth="1" min="4" max="4" width="11.13"/>
    <col customWidth="1" min="5" max="28" width="6.25"/>
  </cols>
  <sheetData>
    <row r="1">
      <c r="A1" s="1" t="s">
        <v>241</v>
      </c>
    </row>
    <row r="3">
      <c r="B3" s="47" t="s">
        <v>220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108">
        <v>46082.0</v>
      </c>
    </row>
    <row r="4">
      <c r="B4" s="109" t="s">
        <v>3</v>
      </c>
      <c r="C4" s="110" t="s">
        <v>4</v>
      </c>
      <c r="D4" s="51"/>
      <c r="E4" s="111" t="s">
        <v>221</v>
      </c>
      <c r="F4" s="112" t="s">
        <v>222</v>
      </c>
      <c r="H4" s="112" t="s">
        <v>223</v>
      </c>
      <c r="J4" s="112" t="s">
        <v>224</v>
      </c>
      <c r="L4" s="112" t="s">
        <v>225</v>
      </c>
      <c r="N4" s="113" t="s">
        <v>226</v>
      </c>
      <c r="P4" s="114" t="s">
        <v>233</v>
      </c>
      <c r="Q4" s="115"/>
      <c r="R4" s="115"/>
      <c r="S4" s="51"/>
    </row>
    <row r="5">
      <c r="B5" s="55"/>
      <c r="C5" s="56"/>
      <c r="D5" s="57"/>
      <c r="E5" s="55"/>
      <c r="F5" s="116" t="s">
        <v>227</v>
      </c>
      <c r="G5" s="116" t="s">
        <v>228</v>
      </c>
      <c r="H5" s="117" t="s">
        <v>227</v>
      </c>
      <c r="I5" s="117" t="s">
        <v>228</v>
      </c>
      <c r="J5" s="117" t="s">
        <v>229</v>
      </c>
      <c r="K5" s="117" t="s">
        <v>230</v>
      </c>
      <c r="L5" s="117" t="s">
        <v>231</v>
      </c>
      <c r="M5" s="117" t="s">
        <v>232</v>
      </c>
      <c r="N5" s="117" t="s">
        <v>231</v>
      </c>
      <c r="O5" s="117" t="s">
        <v>232</v>
      </c>
      <c r="P5" s="56"/>
      <c r="Q5" s="118"/>
      <c r="R5" s="118"/>
      <c r="S5" s="57"/>
    </row>
    <row r="6">
      <c r="B6" s="62">
        <v>1.0</v>
      </c>
      <c r="C6" s="68" t="s">
        <v>45</v>
      </c>
      <c r="D6" s="7"/>
      <c r="E6" s="64">
        <v>4.0</v>
      </c>
      <c r="F6" s="64">
        <v>3.0</v>
      </c>
      <c r="G6" s="64">
        <v>1.0</v>
      </c>
      <c r="H6" s="64">
        <v>10.0</v>
      </c>
      <c r="I6" s="64">
        <v>4.0</v>
      </c>
      <c r="J6" s="64">
        <v>344.0</v>
      </c>
      <c r="K6" s="64">
        <v>307.0</v>
      </c>
      <c r="L6" s="65">
        <f t="shared" ref="L6:L14" si="1">J6/E6</f>
        <v>86</v>
      </c>
      <c r="M6" s="65">
        <f t="shared" ref="M6:M14" si="2">K6/E6</f>
        <v>76.75</v>
      </c>
      <c r="N6" s="119">
        <f t="shared" ref="N6:N14" si="3">J6/(H6+I6)</f>
        <v>24.57142857</v>
      </c>
      <c r="O6" s="119">
        <f t="shared" ref="O6:O14" si="4">K6/(I6+H6)</f>
        <v>21.92857143</v>
      </c>
      <c r="P6" s="67" t="s">
        <v>242</v>
      </c>
      <c r="Q6" s="67"/>
      <c r="R6" s="67"/>
      <c r="S6" s="120"/>
    </row>
    <row r="7">
      <c r="B7" s="62">
        <v>2.0</v>
      </c>
      <c r="C7" s="68" t="s">
        <v>67</v>
      </c>
      <c r="D7" s="7"/>
      <c r="E7" s="64">
        <v>4.0</v>
      </c>
      <c r="F7" s="64">
        <v>3.0</v>
      </c>
      <c r="G7" s="64">
        <v>1.0</v>
      </c>
      <c r="H7" s="64">
        <v>10.0</v>
      </c>
      <c r="I7" s="64">
        <v>5.0</v>
      </c>
      <c r="J7" s="64">
        <v>336.0</v>
      </c>
      <c r="K7" s="64">
        <v>283.0</v>
      </c>
      <c r="L7" s="65">
        <f t="shared" si="1"/>
        <v>84</v>
      </c>
      <c r="M7" s="65">
        <f t="shared" si="2"/>
        <v>70.75</v>
      </c>
      <c r="N7" s="119">
        <f t="shared" si="3"/>
        <v>22.4</v>
      </c>
      <c r="O7" s="119">
        <f t="shared" si="4"/>
        <v>18.86666667</v>
      </c>
      <c r="P7" s="67" t="s">
        <v>243</v>
      </c>
      <c r="Q7" s="67"/>
      <c r="R7" s="67"/>
      <c r="S7" s="120"/>
    </row>
    <row r="8">
      <c r="B8" s="62">
        <v>3.0</v>
      </c>
      <c r="C8" s="68" t="s">
        <v>83</v>
      </c>
      <c r="D8" s="7"/>
      <c r="E8" s="64">
        <v>4.0</v>
      </c>
      <c r="F8" s="64">
        <v>2.0</v>
      </c>
      <c r="G8" s="64">
        <v>2.0</v>
      </c>
      <c r="H8" s="64">
        <v>6.0</v>
      </c>
      <c r="I8" s="64">
        <v>8.0</v>
      </c>
      <c r="J8" s="64">
        <v>306.0</v>
      </c>
      <c r="K8" s="64">
        <v>291.0</v>
      </c>
      <c r="L8" s="65">
        <f t="shared" si="1"/>
        <v>76.5</v>
      </c>
      <c r="M8" s="65">
        <f t="shared" si="2"/>
        <v>72.75</v>
      </c>
      <c r="N8" s="119">
        <f t="shared" si="3"/>
        <v>21.85714286</v>
      </c>
      <c r="O8" s="119">
        <f t="shared" si="4"/>
        <v>20.78571429</v>
      </c>
      <c r="P8" s="67" t="s">
        <v>244</v>
      </c>
      <c r="Q8" s="67"/>
      <c r="R8" s="67"/>
      <c r="S8" s="120"/>
    </row>
    <row r="9">
      <c r="B9" s="62">
        <v>4.0</v>
      </c>
      <c r="C9" s="68" t="s">
        <v>100</v>
      </c>
      <c r="D9" s="7"/>
      <c r="E9" s="64">
        <v>4.0</v>
      </c>
      <c r="F9" s="64">
        <v>3.0</v>
      </c>
      <c r="G9" s="64">
        <v>1.0</v>
      </c>
      <c r="H9" s="64">
        <v>11.0</v>
      </c>
      <c r="I9" s="64">
        <v>5.0</v>
      </c>
      <c r="J9" s="64">
        <v>354.0</v>
      </c>
      <c r="K9" s="64">
        <v>313.0</v>
      </c>
      <c r="L9" s="65">
        <f t="shared" si="1"/>
        <v>88.5</v>
      </c>
      <c r="M9" s="65">
        <f t="shared" si="2"/>
        <v>78.25</v>
      </c>
      <c r="N9" s="119">
        <f t="shared" si="3"/>
        <v>22.125</v>
      </c>
      <c r="O9" s="119">
        <f t="shared" si="4"/>
        <v>19.5625</v>
      </c>
      <c r="P9" s="67" t="s">
        <v>244</v>
      </c>
      <c r="Q9" s="67"/>
      <c r="R9" s="67"/>
      <c r="S9" s="120"/>
    </row>
    <row r="10">
      <c r="B10" s="62">
        <v>5.0</v>
      </c>
      <c r="C10" s="68" t="s">
        <v>114</v>
      </c>
      <c r="D10" s="7"/>
      <c r="E10" s="64">
        <v>3.0</v>
      </c>
      <c r="F10" s="64">
        <v>1.0</v>
      </c>
      <c r="G10" s="64">
        <v>2.0</v>
      </c>
      <c r="H10" s="64">
        <v>5.0</v>
      </c>
      <c r="I10" s="64">
        <v>7.0</v>
      </c>
      <c r="J10" s="64">
        <v>264.0</v>
      </c>
      <c r="K10" s="64">
        <v>293.0</v>
      </c>
      <c r="L10" s="65">
        <f t="shared" si="1"/>
        <v>88</v>
      </c>
      <c r="M10" s="65">
        <f t="shared" si="2"/>
        <v>97.66666667</v>
      </c>
      <c r="N10" s="119">
        <f t="shared" si="3"/>
        <v>22</v>
      </c>
      <c r="O10" s="119">
        <f t="shared" si="4"/>
        <v>24.41666667</v>
      </c>
      <c r="P10" s="69"/>
      <c r="Q10" s="69"/>
      <c r="R10" s="69"/>
      <c r="S10" s="73"/>
    </row>
    <row r="11">
      <c r="B11" s="62">
        <v>6.0</v>
      </c>
      <c r="C11" s="68" t="s">
        <v>127</v>
      </c>
      <c r="D11" s="7"/>
      <c r="E11" s="64">
        <v>3.0</v>
      </c>
      <c r="F11" s="64">
        <v>1.0</v>
      </c>
      <c r="G11" s="64">
        <v>2.0</v>
      </c>
      <c r="H11" s="64">
        <v>6.0</v>
      </c>
      <c r="I11" s="64">
        <v>7.0</v>
      </c>
      <c r="J11" s="64">
        <v>267.0</v>
      </c>
      <c r="K11" s="64">
        <v>280.0</v>
      </c>
      <c r="L11" s="65">
        <f t="shared" si="1"/>
        <v>89</v>
      </c>
      <c r="M11" s="65">
        <f t="shared" si="2"/>
        <v>93.33333333</v>
      </c>
      <c r="N11" s="119">
        <f t="shared" si="3"/>
        <v>20.53846154</v>
      </c>
      <c r="O11" s="119">
        <f t="shared" si="4"/>
        <v>21.53846154</v>
      </c>
      <c r="P11" s="69"/>
      <c r="Q11" s="69"/>
      <c r="R11" s="69"/>
      <c r="S11" s="73"/>
    </row>
    <row r="12">
      <c r="B12" s="62">
        <v>7.0</v>
      </c>
      <c r="C12" s="68" t="s">
        <v>138</v>
      </c>
      <c r="D12" s="7"/>
      <c r="E12" s="64">
        <v>2.0</v>
      </c>
      <c r="F12" s="64">
        <v>1.0</v>
      </c>
      <c r="G12" s="64">
        <v>1.0</v>
      </c>
      <c r="H12" s="64">
        <v>3.0</v>
      </c>
      <c r="I12" s="64">
        <v>4.0</v>
      </c>
      <c r="J12" s="64">
        <v>153.0</v>
      </c>
      <c r="K12" s="64">
        <v>160.0</v>
      </c>
      <c r="L12" s="65">
        <f t="shared" si="1"/>
        <v>76.5</v>
      </c>
      <c r="M12" s="65">
        <f t="shared" si="2"/>
        <v>80</v>
      </c>
      <c r="N12" s="119">
        <f t="shared" si="3"/>
        <v>21.85714286</v>
      </c>
      <c r="O12" s="119">
        <f t="shared" si="4"/>
        <v>22.85714286</v>
      </c>
      <c r="P12" s="69"/>
      <c r="Q12" s="69"/>
      <c r="R12" s="69"/>
      <c r="S12" s="73"/>
    </row>
    <row r="13">
      <c r="B13" s="62">
        <v>8.0</v>
      </c>
      <c r="C13" s="68" t="s">
        <v>151</v>
      </c>
      <c r="D13" s="7"/>
      <c r="E13" s="64">
        <v>2.0</v>
      </c>
      <c r="F13" s="64">
        <v>0.0</v>
      </c>
      <c r="G13" s="64">
        <v>2.0</v>
      </c>
      <c r="H13" s="64">
        <v>1.0</v>
      </c>
      <c r="I13" s="64">
        <v>6.0</v>
      </c>
      <c r="J13" s="64">
        <v>145.0</v>
      </c>
      <c r="K13" s="64">
        <v>171.0</v>
      </c>
      <c r="L13" s="65">
        <f t="shared" si="1"/>
        <v>72.5</v>
      </c>
      <c r="M13" s="65">
        <f t="shared" si="2"/>
        <v>85.5</v>
      </c>
      <c r="N13" s="119">
        <f t="shared" si="3"/>
        <v>20.71428571</v>
      </c>
      <c r="O13" s="119">
        <f t="shared" si="4"/>
        <v>24.42857143</v>
      </c>
      <c r="P13" s="69"/>
      <c r="Q13" s="69"/>
      <c r="R13" s="69"/>
      <c r="S13" s="73"/>
    </row>
    <row r="14">
      <c r="B14" s="62">
        <v>9.0</v>
      </c>
      <c r="C14" s="68" t="s">
        <v>162</v>
      </c>
      <c r="D14" s="7"/>
      <c r="E14" s="64">
        <v>2.0</v>
      </c>
      <c r="F14" s="64">
        <v>0.0</v>
      </c>
      <c r="G14" s="64">
        <v>2.0</v>
      </c>
      <c r="H14" s="64">
        <v>0.0</v>
      </c>
      <c r="I14" s="64">
        <v>6.0</v>
      </c>
      <c r="J14" s="64">
        <v>79.0</v>
      </c>
      <c r="K14" s="64">
        <v>150.0</v>
      </c>
      <c r="L14" s="65">
        <f t="shared" si="1"/>
        <v>39.5</v>
      </c>
      <c r="M14" s="65">
        <f t="shared" si="2"/>
        <v>75</v>
      </c>
      <c r="N14" s="119">
        <f t="shared" si="3"/>
        <v>13.16666667</v>
      </c>
      <c r="O14" s="119">
        <f t="shared" si="4"/>
        <v>25</v>
      </c>
      <c r="P14" s="69"/>
      <c r="Q14" s="69"/>
      <c r="R14" s="69"/>
      <c r="S14" s="73"/>
    </row>
    <row r="15">
      <c r="B15" s="62">
        <v>10.0</v>
      </c>
      <c r="C15" s="68"/>
      <c r="D15" s="7"/>
      <c r="E15" s="64"/>
      <c r="F15" s="70"/>
      <c r="G15" s="70"/>
      <c r="H15" s="70"/>
      <c r="I15" s="70"/>
      <c r="J15" s="71"/>
      <c r="K15" s="71"/>
      <c r="L15" s="72"/>
      <c r="M15" s="70"/>
      <c r="N15" s="121"/>
      <c r="O15" s="121"/>
      <c r="P15" s="69"/>
      <c r="Q15" s="69"/>
      <c r="R15" s="69"/>
      <c r="S15" s="73"/>
    </row>
    <row r="16">
      <c r="B16" s="74"/>
      <c r="C16" s="75" t="s">
        <v>236</v>
      </c>
      <c r="D16" s="7"/>
      <c r="E16" s="72">
        <f t="shared" ref="E16:O16" si="5">SUM(E6:E15)</f>
        <v>28</v>
      </c>
      <c r="F16" s="72">
        <f t="shared" si="5"/>
        <v>14</v>
      </c>
      <c r="G16" s="72">
        <f t="shared" si="5"/>
        <v>14</v>
      </c>
      <c r="H16" s="72">
        <f t="shared" si="5"/>
        <v>52</v>
      </c>
      <c r="I16" s="72">
        <f t="shared" si="5"/>
        <v>52</v>
      </c>
      <c r="J16" s="76">
        <f t="shared" si="5"/>
        <v>2248</v>
      </c>
      <c r="K16" s="76">
        <f t="shared" si="5"/>
        <v>2248</v>
      </c>
      <c r="L16" s="65">
        <f t="shared" si="5"/>
        <v>700.5</v>
      </c>
      <c r="M16" s="65">
        <f t="shared" si="5"/>
        <v>730</v>
      </c>
      <c r="N16" s="65">
        <f t="shared" si="5"/>
        <v>189.2301282</v>
      </c>
      <c r="O16" s="65">
        <f t="shared" si="5"/>
        <v>199.3842949</v>
      </c>
      <c r="P16" s="69"/>
      <c r="Q16" s="69"/>
      <c r="R16" s="69"/>
      <c r="S16" s="73"/>
    </row>
    <row r="19">
      <c r="A19" s="77"/>
      <c r="B19" s="78" t="s">
        <v>245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</row>
    <row r="20">
      <c r="A20" s="77"/>
      <c r="B20" s="79" t="s">
        <v>3</v>
      </c>
      <c r="C20" s="79" t="s">
        <v>246</v>
      </c>
      <c r="D20" s="79" t="s">
        <v>4</v>
      </c>
      <c r="E20" s="122" t="s">
        <v>238</v>
      </c>
      <c r="F20" s="10" t="s">
        <v>13</v>
      </c>
      <c r="G20" s="10" t="s">
        <v>14</v>
      </c>
      <c r="H20" s="10" t="s">
        <v>15</v>
      </c>
      <c r="I20" s="10" t="s">
        <v>16</v>
      </c>
      <c r="J20" s="10" t="s">
        <v>17</v>
      </c>
      <c r="K20" s="11" t="s">
        <v>18</v>
      </c>
      <c r="L20" s="12" t="s">
        <v>19</v>
      </c>
      <c r="M20" s="10" t="s">
        <v>20</v>
      </c>
      <c r="N20" s="10" t="s">
        <v>21</v>
      </c>
      <c r="O20" s="10" t="s">
        <v>22</v>
      </c>
      <c r="P20" s="10" t="s">
        <v>23</v>
      </c>
      <c r="Q20" s="10" t="s">
        <v>24</v>
      </c>
      <c r="R20" s="10" t="s">
        <v>25</v>
      </c>
      <c r="S20" s="11" t="s">
        <v>26</v>
      </c>
      <c r="T20" s="10" t="s">
        <v>27</v>
      </c>
      <c r="U20" s="11" t="s">
        <v>28</v>
      </c>
      <c r="V20" s="11" t="s">
        <v>247</v>
      </c>
      <c r="W20" s="11" t="s">
        <v>30</v>
      </c>
      <c r="X20" s="10" t="s">
        <v>31</v>
      </c>
      <c r="Y20" s="10" t="s">
        <v>32</v>
      </c>
      <c r="Z20" s="11" t="s">
        <v>33</v>
      </c>
      <c r="AA20" s="10" t="s">
        <v>34</v>
      </c>
      <c r="AB20" s="13" t="s">
        <v>35</v>
      </c>
    </row>
    <row r="21">
      <c r="A21" s="77"/>
      <c r="B21" s="123">
        <v>1.0</v>
      </c>
      <c r="C21" s="124" t="s">
        <v>248</v>
      </c>
      <c r="D21" s="125" t="s">
        <v>162</v>
      </c>
      <c r="E21" s="126"/>
      <c r="F21" s="127">
        <v>3.0</v>
      </c>
      <c r="G21" s="127">
        <v>18.0</v>
      </c>
      <c r="H21" s="127">
        <v>15.0</v>
      </c>
      <c r="I21" s="127">
        <v>22.0</v>
      </c>
      <c r="J21" s="127">
        <v>24.0</v>
      </c>
      <c r="K21" s="128">
        <f>if(J21+I21+G21=0,"-",J21+I21+G21)</f>
        <v>64</v>
      </c>
      <c r="L21" s="129">
        <f>if(iferror((G21-J21)/K21,0)=0,"-",round((G21-J21)/K21,2))</f>
        <v>-0.09</v>
      </c>
      <c r="M21" s="127">
        <v>3.0</v>
      </c>
      <c r="N21" s="127">
        <v>1.0</v>
      </c>
      <c r="O21" s="127">
        <v>3.0</v>
      </c>
      <c r="P21" s="127">
        <v>25.0</v>
      </c>
      <c r="Q21" s="127">
        <v>2.0</v>
      </c>
      <c r="R21" s="127">
        <v>5.0</v>
      </c>
      <c r="S21" s="130">
        <f t="shared" ref="S21:S48" si="6">IF(R21+Q21+P21=0,"-",R21+Q21+P21)</f>
        <v>32</v>
      </c>
      <c r="T21" s="127">
        <v>0.0</v>
      </c>
      <c r="U21" s="131">
        <f>G21+M21+Q21</f>
        <v>23</v>
      </c>
      <c r="V21" s="132">
        <f t="shared" ref="V21:V48" si="7">U21+O21*0.75</f>
        <v>25.25</v>
      </c>
      <c r="W21" s="131">
        <f t="shared" ref="W21:W48" si="8">X21+Y21</f>
        <v>68</v>
      </c>
      <c r="X21" s="127">
        <v>59.0</v>
      </c>
      <c r="Y21" s="127">
        <v>9.0</v>
      </c>
      <c r="Z21" s="133">
        <f t="shared" ref="Z21:Z48" si="9">iferror((X21/W21)*100,"-")</f>
        <v>86.76470588</v>
      </c>
      <c r="AA21" s="127">
        <v>16.0</v>
      </c>
      <c r="AB21" s="134" t="str">
        <f t="shared" ref="AB21:AB48" si="10">IFERROR(IF(MOD(AA21/F21, 1)=0, TEXT(AA21/F21, "0.0"), TEXT(AA21/F21, "0.0")), "-")</f>
        <v>5.3</v>
      </c>
    </row>
    <row r="22">
      <c r="A22" s="77"/>
      <c r="B22" s="55"/>
      <c r="C22" s="135" t="s">
        <v>248</v>
      </c>
      <c r="D22" s="136" t="s">
        <v>67</v>
      </c>
      <c r="E22" s="137"/>
      <c r="F22" s="138">
        <v>3.0</v>
      </c>
      <c r="G22" s="138">
        <v>38.0</v>
      </c>
      <c r="H22" s="138">
        <v>32.0</v>
      </c>
      <c r="I22" s="138">
        <v>18.0</v>
      </c>
      <c r="J22" s="138">
        <v>5.0</v>
      </c>
      <c r="K22" s="139">
        <f>G22+I22+J22</f>
        <v>61</v>
      </c>
      <c r="L22" s="140">
        <f>(G22+J22)/K22</f>
        <v>0.7049180328</v>
      </c>
      <c r="M22" s="138">
        <v>11.0</v>
      </c>
      <c r="N22" s="138">
        <v>1.0</v>
      </c>
      <c r="O22" s="138">
        <v>9.0</v>
      </c>
      <c r="P22" s="138">
        <v>59.0</v>
      </c>
      <c r="Q22" s="138">
        <v>9.0</v>
      </c>
      <c r="R22" s="138">
        <v>6.0</v>
      </c>
      <c r="S22" s="141">
        <f t="shared" si="6"/>
        <v>74</v>
      </c>
      <c r="T22" s="138">
        <v>0.0</v>
      </c>
      <c r="U22" s="142">
        <f>Q22+M22+G22</f>
        <v>58</v>
      </c>
      <c r="V22" s="143">
        <f t="shared" si="7"/>
        <v>64.75</v>
      </c>
      <c r="W22" s="142">
        <f t="shared" si="8"/>
        <v>27</v>
      </c>
      <c r="X22" s="138">
        <v>25.0</v>
      </c>
      <c r="Y22" s="138">
        <v>2.0</v>
      </c>
      <c r="Z22" s="144">
        <f t="shared" si="9"/>
        <v>92.59259259</v>
      </c>
      <c r="AA22" s="138">
        <v>16.0</v>
      </c>
      <c r="AB22" s="145" t="str">
        <f t="shared" si="10"/>
        <v>5.3</v>
      </c>
    </row>
    <row r="23">
      <c r="A23" s="77"/>
      <c r="B23" s="123">
        <v>2.0</v>
      </c>
      <c r="C23" s="124" t="s">
        <v>249</v>
      </c>
      <c r="D23" s="125" t="s">
        <v>114</v>
      </c>
      <c r="E23" s="126"/>
      <c r="F23" s="127">
        <v>4.0</v>
      </c>
      <c r="G23" s="127">
        <v>45.0</v>
      </c>
      <c r="H23" s="127">
        <v>42.0</v>
      </c>
      <c r="I23" s="127">
        <v>75.0</v>
      </c>
      <c r="J23" s="127">
        <v>23.0</v>
      </c>
      <c r="K23" s="128">
        <f>if(J23+I23+G23=0,"-",J23+I23+G23)</f>
        <v>143</v>
      </c>
      <c r="L23" s="129">
        <f>if(iferror((G23-J23)/K23,0)=0,"-",round((G23-J23)/K23,2))</f>
        <v>0.15</v>
      </c>
      <c r="M23" s="127">
        <v>7.0</v>
      </c>
      <c r="N23" s="127">
        <v>3.0</v>
      </c>
      <c r="O23" s="127">
        <v>7.0</v>
      </c>
      <c r="P23" s="127">
        <v>71.0</v>
      </c>
      <c r="Q23" s="127">
        <v>2.0</v>
      </c>
      <c r="R23" s="127">
        <v>12.0</v>
      </c>
      <c r="S23" s="130">
        <f t="shared" si="6"/>
        <v>85</v>
      </c>
      <c r="T23" s="127">
        <v>7.0</v>
      </c>
      <c r="U23" s="131">
        <f>G23+M23+Q23</f>
        <v>54</v>
      </c>
      <c r="V23" s="132">
        <f t="shared" si="7"/>
        <v>59.25</v>
      </c>
      <c r="W23" s="131">
        <f t="shared" si="8"/>
        <v>93</v>
      </c>
      <c r="X23" s="127">
        <v>77.0</v>
      </c>
      <c r="Y23" s="127">
        <v>16.0</v>
      </c>
      <c r="Z23" s="133">
        <f t="shared" si="9"/>
        <v>82.79569892</v>
      </c>
      <c r="AA23" s="127">
        <v>60.0</v>
      </c>
      <c r="AB23" s="134" t="str">
        <f t="shared" si="10"/>
        <v>15.0</v>
      </c>
    </row>
    <row r="24">
      <c r="A24" s="77"/>
      <c r="B24" s="55"/>
      <c r="C24" s="135" t="s">
        <v>249</v>
      </c>
      <c r="D24" s="136" t="s">
        <v>138</v>
      </c>
      <c r="E24" s="137"/>
      <c r="F24" s="138">
        <v>4.0</v>
      </c>
      <c r="G24" s="138">
        <v>47.0</v>
      </c>
      <c r="H24" s="138">
        <v>40.0</v>
      </c>
      <c r="I24" s="138">
        <v>70.0</v>
      </c>
      <c r="J24" s="138">
        <v>19.0</v>
      </c>
      <c r="K24" s="139">
        <f>G24+I24+J24</f>
        <v>136</v>
      </c>
      <c r="L24" s="140">
        <f>(G24+J24)/K24</f>
        <v>0.4852941176</v>
      </c>
      <c r="M24" s="138">
        <v>7.0</v>
      </c>
      <c r="N24" s="138">
        <v>0.0</v>
      </c>
      <c r="O24" s="138">
        <v>6.0</v>
      </c>
      <c r="P24" s="138">
        <v>77.0</v>
      </c>
      <c r="Q24" s="138">
        <v>9.0</v>
      </c>
      <c r="R24" s="138">
        <v>12.0</v>
      </c>
      <c r="S24" s="141">
        <f t="shared" si="6"/>
        <v>98</v>
      </c>
      <c r="T24" s="138">
        <v>7.0</v>
      </c>
      <c r="U24" s="142">
        <f>Q24+M24+G24</f>
        <v>63</v>
      </c>
      <c r="V24" s="143">
        <f t="shared" si="7"/>
        <v>67.5</v>
      </c>
      <c r="W24" s="142">
        <f t="shared" si="8"/>
        <v>80</v>
      </c>
      <c r="X24" s="138">
        <v>71.0</v>
      </c>
      <c r="Y24" s="138">
        <v>9.0</v>
      </c>
      <c r="Z24" s="144">
        <f t="shared" si="9"/>
        <v>88.75</v>
      </c>
      <c r="AA24" s="138">
        <v>59.0</v>
      </c>
      <c r="AB24" s="145" t="str">
        <f t="shared" si="10"/>
        <v>14.8</v>
      </c>
    </row>
    <row r="25">
      <c r="A25" s="77"/>
      <c r="B25" s="123">
        <v>3.0</v>
      </c>
      <c r="C25" s="124">
        <v>260303.0</v>
      </c>
      <c r="D25" s="125" t="s">
        <v>151</v>
      </c>
      <c r="E25" s="126"/>
      <c r="F25" s="127">
        <v>4.0</v>
      </c>
      <c r="G25" s="127">
        <v>51.0</v>
      </c>
      <c r="H25" s="127">
        <v>47.0</v>
      </c>
      <c r="I25" s="127">
        <v>108.0</v>
      </c>
      <c r="J25" s="127">
        <v>21.0</v>
      </c>
      <c r="K25" s="128">
        <f>if(J25+I25+G25=0,"-",J25+I25+G25)</f>
        <v>180</v>
      </c>
      <c r="L25" s="129">
        <f>if(iferror((G25-J25)/K25,0)=0,"-",round((G25-J25)/K25,2))</f>
        <v>0.17</v>
      </c>
      <c r="M25" s="127">
        <v>6.0</v>
      </c>
      <c r="N25" s="127">
        <v>1.0</v>
      </c>
      <c r="O25" s="127">
        <v>5.0</v>
      </c>
      <c r="P25" s="127">
        <v>73.0</v>
      </c>
      <c r="Q25" s="127">
        <v>4.0</v>
      </c>
      <c r="R25" s="127">
        <v>9.0</v>
      </c>
      <c r="S25" s="130">
        <f t="shared" si="6"/>
        <v>86</v>
      </c>
      <c r="T25" s="127">
        <v>1.0</v>
      </c>
      <c r="U25" s="131">
        <f>G25+M25+Q25</f>
        <v>61</v>
      </c>
      <c r="V25" s="132">
        <f t="shared" si="7"/>
        <v>64.75</v>
      </c>
      <c r="W25" s="131">
        <f t="shared" si="8"/>
        <v>87</v>
      </c>
      <c r="X25" s="127">
        <v>79.0</v>
      </c>
      <c r="Y25" s="127">
        <v>8.0</v>
      </c>
      <c r="Z25" s="133">
        <f t="shared" si="9"/>
        <v>90.8045977</v>
      </c>
      <c r="AA25" s="127">
        <v>94.0</v>
      </c>
      <c r="AB25" s="134" t="str">
        <f t="shared" si="10"/>
        <v>23.5</v>
      </c>
    </row>
    <row r="26">
      <c r="A26" s="77"/>
      <c r="B26" s="55"/>
      <c r="C26" s="135">
        <v>260303.0</v>
      </c>
      <c r="D26" s="136" t="s">
        <v>127</v>
      </c>
      <c r="E26" s="137"/>
      <c r="F26" s="138">
        <v>4.0</v>
      </c>
      <c r="G26" s="138">
        <v>58.0</v>
      </c>
      <c r="H26" s="138">
        <v>55.0</v>
      </c>
      <c r="I26" s="138">
        <v>106.0</v>
      </c>
      <c r="J26" s="138">
        <v>20.0</v>
      </c>
      <c r="K26" s="139">
        <f>G26+I26+J26</f>
        <v>184</v>
      </c>
      <c r="L26" s="140">
        <f>(G26+J26)/K26</f>
        <v>0.4239130435</v>
      </c>
      <c r="M26" s="138">
        <v>3.0</v>
      </c>
      <c r="N26" s="138">
        <v>1.0</v>
      </c>
      <c r="O26" s="138">
        <v>3.0</v>
      </c>
      <c r="P26" s="138">
        <v>79.0</v>
      </c>
      <c r="Q26" s="138">
        <v>7.0</v>
      </c>
      <c r="R26" s="138">
        <v>8.0</v>
      </c>
      <c r="S26" s="141">
        <f t="shared" si="6"/>
        <v>94</v>
      </c>
      <c r="T26" s="138">
        <v>1.0</v>
      </c>
      <c r="U26" s="142">
        <f>Q26+M26+G26</f>
        <v>68</v>
      </c>
      <c r="V26" s="143">
        <f t="shared" si="7"/>
        <v>70.25</v>
      </c>
      <c r="W26" s="142">
        <f t="shared" si="8"/>
        <v>78</v>
      </c>
      <c r="X26" s="138">
        <v>73.0</v>
      </c>
      <c r="Y26" s="138">
        <v>5.0</v>
      </c>
      <c r="Z26" s="144">
        <f t="shared" si="9"/>
        <v>93.58974359</v>
      </c>
      <c r="AA26" s="138">
        <v>96.0</v>
      </c>
      <c r="AB26" s="145" t="str">
        <f t="shared" si="10"/>
        <v>24.0</v>
      </c>
    </row>
    <row r="27">
      <c r="A27" s="77"/>
      <c r="B27" s="123">
        <v>4.0</v>
      </c>
      <c r="C27" s="124">
        <v>260304.0</v>
      </c>
      <c r="D27" s="125" t="s">
        <v>45</v>
      </c>
      <c r="E27" s="126"/>
      <c r="F27" s="127">
        <v>4.0</v>
      </c>
      <c r="G27" s="127">
        <v>49.0</v>
      </c>
      <c r="H27" s="127">
        <v>46.0</v>
      </c>
      <c r="I27" s="127">
        <v>67.0</v>
      </c>
      <c r="J27" s="127">
        <v>21.0</v>
      </c>
      <c r="K27" s="128">
        <f>if(J27+I27+G27=0,"-",J27+I27+G27)</f>
        <v>137</v>
      </c>
      <c r="L27" s="129">
        <f>if(iferror((G27-J27)/K27,0)=0,"-",round((G27-J27)/K27,2))</f>
        <v>0.2</v>
      </c>
      <c r="M27" s="127">
        <v>2.0</v>
      </c>
      <c r="N27" s="127">
        <v>1.0</v>
      </c>
      <c r="O27" s="127">
        <v>0.0</v>
      </c>
      <c r="P27" s="127">
        <v>82.0</v>
      </c>
      <c r="Q27" s="127">
        <v>4.0</v>
      </c>
      <c r="R27" s="127">
        <v>14.0</v>
      </c>
      <c r="S27" s="130">
        <f t="shared" si="6"/>
        <v>100</v>
      </c>
      <c r="T27" s="127">
        <v>2.0</v>
      </c>
      <c r="U27" s="131">
        <f>G27+M27+Q27</f>
        <v>55</v>
      </c>
      <c r="V27" s="132">
        <f t="shared" si="7"/>
        <v>55</v>
      </c>
      <c r="W27" s="131">
        <f t="shared" si="8"/>
        <v>96</v>
      </c>
      <c r="X27" s="127">
        <v>85.0</v>
      </c>
      <c r="Y27" s="127">
        <v>11.0</v>
      </c>
      <c r="Z27" s="133">
        <f t="shared" si="9"/>
        <v>88.54166667</v>
      </c>
      <c r="AA27" s="127">
        <v>46.0</v>
      </c>
      <c r="AB27" s="134" t="str">
        <f t="shared" si="10"/>
        <v>11.5</v>
      </c>
    </row>
    <row r="28">
      <c r="A28" s="77"/>
      <c r="B28" s="55"/>
      <c r="C28" s="135">
        <v>260304.0</v>
      </c>
      <c r="D28" s="136" t="s">
        <v>114</v>
      </c>
      <c r="E28" s="137"/>
      <c r="F28" s="138">
        <v>4.0</v>
      </c>
      <c r="G28" s="138">
        <v>62.0</v>
      </c>
      <c r="H28" s="138">
        <v>57.0</v>
      </c>
      <c r="I28" s="138">
        <v>60.0</v>
      </c>
      <c r="J28" s="138">
        <v>31.0</v>
      </c>
      <c r="K28" s="139">
        <f>G28+I28+J28</f>
        <v>153</v>
      </c>
      <c r="L28" s="140">
        <f>(G28+J28)/K28</f>
        <v>0.6078431373</v>
      </c>
      <c r="M28" s="138">
        <v>1.0</v>
      </c>
      <c r="N28" s="138">
        <v>1.0</v>
      </c>
      <c r="O28" s="138">
        <v>0.0</v>
      </c>
      <c r="P28" s="138">
        <v>85.0</v>
      </c>
      <c r="Q28" s="138">
        <v>9.0</v>
      </c>
      <c r="R28" s="138">
        <v>12.0</v>
      </c>
      <c r="S28" s="141">
        <f t="shared" si="6"/>
        <v>106</v>
      </c>
      <c r="T28" s="138">
        <v>3.0</v>
      </c>
      <c r="U28" s="142">
        <f>Q28+M28+G28</f>
        <v>72</v>
      </c>
      <c r="V28" s="143">
        <f t="shared" si="7"/>
        <v>72</v>
      </c>
      <c r="W28" s="142">
        <f t="shared" si="8"/>
        <v>89</v>
      </c>
      <c r="X28" s="138">
        <v>82.0</v>
      </c>
      <c r="Y28" s="138">
        <v>7.0</v>
      </c>
      <c r="Z28" s="144">
        <f t="shared" si="9"/>
        <v>92.13483146</v>
      </c>
      <c r="AA28" s="138">
        <v>60.0</v>
      </c>
      <c r="AB28" s="145" t="str">
        <f t="shared" si="10"/>
        <v>15.0</v>
      </c>
    </row>
    <row r="29">
      <c r="A29" s="77"/>
      <c r="B29" s="123">
        <v>5.0</v>
      </c>
      <c r="C29" s="124">
        <v>260305.0</v>
      </c>
      <c r="D29" s="125" t="s">
        <v>100</v>
      </c>
      <c r="E29" s="126"/>
      <c r="F29" s="127">
        <v>4.0</v>
      </c>
      <c r="G29" s="127">
        <v>52.0</v>
      </c>
      <c r="H29" s="127">
        <v>48.0</v>
      </c>
      <c r="I29" s="127">
        <v>53.0</v>
      </c>
      <c r="J29" s="127">
        <v>20.0</v>
      </c>
      <c r="K29" s="128">
        <f>if(J29+I29+G29=0,"-",J29+I29+G29)</f>
        <v>125</v>
      </c>
      <c r="L29" s="129">
        <f>if(iferror((G29-J29)/K29,0)=0,"-",round((G29-J29)/K29,2))</f>
        <v>0.26</v>
      </c>
      <c r="M29" s="127">
        <v>13.0</v>
      </c>
      <c r="N29" s="127">
        <v>1.0</v>
      </c>
      <c r="O29" s="127">
        <v>12.0</v>
      </c>
      <c r="P29" s="127">
        <v>70.0</v>
      </c>
      <c r="Q29" s="127">
        <v>12.0</v>
      </c>
      <c r="R29" s="127">
        <v>5.0</v>
      </c>
      <c r="S29" s="130">
        <f t="shared" si="6"/>
        <v>87</v>
      </c>
      <c r="T29" s="127">
        <v>1.0</v>
      </c>
      <c r="U29" s="131">
        <f>G29+M29+Q29</f>
        <v>77</v>
      </c>
      <c r="V29" s="132">
        <f t="shared" si="7"/>
        <v>86</v>
      </c>
      <c r="W29" s="131">
        <f t="shared" si="8"/>
        <v>74</v>
      </c>
      <c r="X29" s="127">
        <v>67.0</v>
      </c>
      <c r="Y29" s="127">
        <v>7.0</v>
      </c>
      <c r="Z29" s="133">
        <f t="shared" si="9"/>
        <v>90.54054054</v>
      </c>
      <c r="AA29" s="127">
        <v>47.0</v>
      </c>
      <c r="AB29" s="134" t="str">
        <f t="shared" si="10"/>
        <v>11.8</v>
      </c>
    </row>
    <row r="30">
      <c r="A30" s="77"/>
      <c r="B30" s="55"/>
      <c r="C30" s="135">
        <v>260305.0</v>
      </c>
      <c r="D30" s="136" t="s">
        <v>127</v>
      </c>
      <c r="E30" s="137"/>
      <c r="F30" s="138">
        <v>4.0</v>
      </c>
      <c r="G30" s="138">
        <v>47.0</v>
      </c>
      <c r="H30" s="138">
        <v>43.0</v>
      </c>
      <c r="I30" s="138">
        <v>49.0</v>
      </c>
      <c r="J30" s="138">
        <v>16.0</v>
      </c>
      <c r="K30" s="139">
        <f>G30+I30+J30</f>
        <v>112</v>
      </c>
      <c r="L30" s="140">
        <f>(G30+J30)/K30</f>
        <v>0.5625</v>
      </c>
      <c r="M30" s="138">
        <v>3.0</v>
      </c>
      <c r="N30" s="138">
        <v>0.0</v>
      </c>
      <c r="O30" s="138">
        <v>2.0</v>
      </c>
      <c r="P30" s="138">
        <v>67.0</v>
      </c>
      <c r="Q30" s="138">
        <v>6.0</v>
      </c>
      <c r="R30" s="138">
        <v>7.0</v>
      </c>
      <c r="S30" s="141">
        <f t="shared" si="6"/>
        <v>80</v>
      </c>
      <c r="T30" s="138">
        <v>1.0</v>
      </c>
      <c r="U30" s="142">
        <f>Q30+M30+G30</f>
        <v>56</v>
      </c>
      <c r="V30" s="143">
        <f t="shared" si="7"/>
        <v>57.5</v>
      </c>
      <c r="W30" s="142">
        <f t="shared" si="8"/>
        <v>82</v>
      </c>
      <c r="X30" s="138">
        <v>70.0</v>
      </c>
      <c r="Y30" s="138">
        <v>12.0</v>
      </c>
      <c r="Z30" s="144">
        <f t="shared" si="9"/>
        <v>85.36585366</v>
      </c>
      <c r="AA30" s="138">
        <v>43.0</v>
      </c>
      <c r="AB30" s="145" t="str">
        <f t="shared" si="10"/>
        <v>10.8</v>
      </c>
    </row>
    <row r="31">
      <c r="A31" s="77"/>
      <c r="B31" s="123">
        <v>6.0</v>
      </c>
      <c r="C31" s="124">
        <v>260306.0</v>
      </c>
      <c r="D31" s="125" t="s">
        <v>83</v>
      </c>
      <c r="E31" s="126"/>
      <c r="F31" s="127">
        <v>3.0</v>
      </c>
      <c r="G31" s="127">
        <v>30.0</v>
      </c>
      <c r="H31" s="127">
        <v>28.0</v>
      </c>
      <c r="I31" s="127">
        <v>43.0</v>
      </c>
      <c r="J31" s="127">
        <v>16.0</v>
      </c>
      <c r="K31" s="128">
        <f>if(J31+I31+G31=0,"-",J31+I31+G31)</f>
        <v>89</v>
      </c>
      <c r="L31" s="129">
        <f>if(iferror((G31-J31)/K31,0)=0,"-",round((G31-J31)/K31,2))</f>
        <v>0.16</v>
      </c>
      <c r="M31" s="127">
        <v>5.0</v>
      </c>
      <c r="N31" s="127">
        <v>2.0</v>
      </c>
      <c r="O31" s="127">
        <v>4.0</v>
      </c>
      <c r="P31" s="127">
        <v>45.0</v>
      </c>
      <c r="Q31" s="127">
        <v>6.0</v>
      </c>
      <c r="R31" s="127">
        <v>12.0</v>
      </c>
      <c r="S31" s="130">
        <f t="shared" si="6"/>
        <v>63</v>
      </c>
      <c r="T31" s="127">
        <v>2.0</v>
      </c>
      <c r="U31" s="131">
        <f>G31+M31+Q31</f>
        <v>41</v>
      </c>
      <c r="V31" s="132">
        <f t="shared" si="7"/>
        <v>44</v>
      </c>
      <c r="W31" s="131">
        <f t="shared" si="8"/>
        <v>69</v>
      </c>
      <c r="X31" s="127">
        <v>60.0</v>
      </c>
      <c r="Y31" s="127">
        <v>9.0</v>
      </c>
      <c r="Z31" s="133">
        <f t="shared" si="9"/>
        <v>86.95652174</v>
      </c>
      <c r="AA31" s="127">
        <v>27.0</v>
      </c>
      <c r="AB31" s="134" t="str">
        <f t="shared" si="10"/>
        <v>9.0</v>
      </c>
    </row>
    <row r="32">
      <c r="A32" s="77"/>
      <c r="B32" s="55"/>
      <c r="C32" s="135">
        <v>260306.0</v>
      </c>
      <c r="D32" s="136" t="s">
        <v>67</v>
      </c>
      <c r="E32" s="137"/>
      <c r="F32" s="138">
        <v>3.0</v>
      </c>
      <c r="G32" s="138">
        <v>40.0</v>
      </c>
      <c r="H32" s="138">
        <v>36.0</v>
      </c>
      <c r="I32" s="138">
        <v>30.0</v>
      </c>
      <c r="J32" s="138">
        <v>17.0</v>
      </c>
      <c r="K32" s="139">
        <f>G32+I32+J32</f>
        <v>87</v>
      </c>
      <c r="L32" s="140">
        <f>(G32+J32)/K32</f>
        <v>0.6551724138</v>
      </c>
      <c r="M32" s="138">
        <v>8.0</v>
      </c>
      <c r="N32" s="138">
        <v>0.0</v>
      </c>
      <c r="O32" s="138">
        <v>8.0</v>
      </c>
      <c r="P32" s="138">
        <v>60.0</v>
      </c>
      <c r="Q32" s="138">
        <v>7.0</v>
      </c>
      <c r="R32" s="138">
        <v>8.0</v>
      </c>
      <c r="S32" s="141">
        <f t="shared" si="6"/>
        <v>75</v>
      </c>
      <c r="T32" s="138">
        <v>0.0</v>
      </c>
      <c r="U32" s="142">
        <f>Q32+M32+G32</f>
        <v>55</v>
      </c>
      <c r="V32" s="143">
        <f t="shared" si="7"/>
        <v>61</v>
      </c>
      <c r="W32" s="142">
        <f t="shared" si="8"/>
        <v>51</v>
      </c>
      <c r="X32" s="138">
        <v>45.0</v>
      </c>
      <c r="Y32" s="138">
        <v>6.0</v>
      </c>
      <c r="Z32" s="144">
        <f t="shared" si="9"/>
        <v>88.23529412</v>
      </c>
      <c r="AA32" s="138">
        <v>34.0</v>
      </c>
      <c r="AB32" s="145" t="str">
        <f t="shared" si="10"/>
        <v>11.3</v>
      </c>
    </row>
    <row r="33">
      <c r="A33" s="77"/>
      <c r="B33" s="123">
        <v>7.0</v>
      </c>
      <c r="C33" s="124">
        <v>260307.0</v>
      </c>
      <c r="D33" s="125" t="s">
        <v>100</v>
      </c>
      <c r="E33" s="126"/>
      <c r="F33" s="127">
        <v>3.0</v>
      </c>
      <c r="G33" s="127">
        <v>38.0</v>
      </c>
      <c r="H33" s="127">
        <v>34.0</v>
      </c>
      <c r="I33" s="127">
        <v>49.0</v>
      </c>
      <c r="J33" s="127">
        <v>17.0</v>
      </c>
      <c r="K33" s="128">
        <f>if(J33+I33+G33=0,"-",J33+I33+G33)</f>
        <v>104</v>
      </c>
      <c r="L33" s="129">
        <f>if(iferror((G33-J33)/K33,0)=0,"-",round((G33-J33)/K33,2))</f>
        <v>0.2</v>
      </c>
      <c r="M33" s="127">
        <v>9.0</v>
      </c>
      <c r="N33" s="127">
        <v>2.0</v>
      </c>
      <c r="O33" s="127">
        <v>8.0</v>
      </c>
      <c r="P33" s="127">
        <v>58.0</v>
      </c>
      <c r="Q33" s="127">
        <v>10.0</v>
      </c>
      <c r="R33" s="127">
        <v>6.0</v>
      </c>
      <c r="S33" s="130">
        <f t="shared" si="6"/>
        <v>74</v>
      </c>
      <c r="T33" s="127">
        <v>0.0</v>
      </c>
      <c r="U33" s="131">
        <f>G33+M33+Q33</f>
        <v>57</v>
      </c>
      <c r="V33" s="132">
        <f t="shared" si="7"/>
        <v>63</v>
      </c>
      <c r="W33" s="131">
        <f t="shared" si="8"/>
        <v>54</v>
      </c>
      <c r="X33" s="127">
        <v>48.0</v>
      </c>
      <c r="Y33" s="127">
        <v>6.0</v>
      </c>
      <c r="Z33" s="133">
        <f t="shared" si="9"/>
        <v>88.88888889</v>
      </c>
      <c r="AA33" s="127">
        <v>40.0</v>
      </c>
      <c r="AB33" s="134" t="str">
        <f t="shared" si="10"/>
        <v>13.3</v>
      </c>
    </row>
    <row r="34">
      <c r="A34" s="77"/>
      <c r="B34" s="55"/>
      <c r="C34" s="135">
        <v>260307.0</v>
      </c>
      <c r="D34" s="136" t="s">
        <v>151</v>
      </c>
      <c r="E34" s="137"/>
      <c r="F34" s="138">
        <v>3.0</v>
      </c>
      <c r="G34" s="138">
        <v>33.0</v>
      </c>
      <c r="H34" s="138">
        <v>33.0</v>
      </c>
      <c r="I34" s="138">
        <v>49.0</v>
      </c>
      <c r="J34" s="138">
        <v>18.0</v>
      </c>
      <c r="K34" s="139">
        <f>G34+I34+J34</f>
        <v>100</v>
      </c>
      <c r="L34" s="140">
        <f>(G34+J34)/K34</f>
        <v>0.51</v>
      </c>
      <c r="M34" s="138">
        <v>9.0</v>
      </c>
      <c r="N34" s="138">
        <v>0.0</v>
      </c>
      <c r="O34" s="138">
        <v>7.0</v>
      </c>
      <c r="P34" s="138">
        <v>48.0</v>
      </c>
      <c r="Q34" s="138">
        <v>6.0</v>
      </c>
      <c r="R34" s="138">
        <v>9.0</v>
      </c>
      <c r="S34" s="141">
        <f t="shared" si="6"/>
        <v>63</v>
      </c>
      <c r="T34" s="138">
        <v>0.0</v>
      </c>
      <c r="U34" s="142">
        <f>Q34+M34+G34</f>
        <v>48</v>
      </c>
      <c r="V34" s="143">
        <f t="shared" si="7"/>
        <v>53.25</v>
      </c>
      <c r="W34" s="142">
        <f t="shared" si="8"/>
        <v>68</v>
      </c>
      <c r="X34" s="138">
        <v>58.0</v>
      </c>
      <c r="Y34" s="138">
        <v>10.0</v>
      </c>
      <c r="Z34" s="144">
        <f t="shared" si="9"/>
        <v>85.29411765</v>
      </c>
      <c r="AA34" s="138">
        <v>46.0</v>
      </c>
      <c r="AB34" s="145" t="str">
        <f t="shared" si="10"/>
        <v>15.3</v>
      </c>
    </row>
    <row r="35">
      <c r="A35" s="77"/>
      <c r="B35" s="123">
        <v>8.0</v>
      </c>
      <c r="C35" s="124">
        <v>260308.0</v>
      </c>
      <c r="D35" s="125" t="s">
        <v>83</v>
      </c>
      <c r="E35" s="126"/>
      <c r="F35" s="127">
        <v>3.0</v>
      </c>
      <c r="G35" s="127">
        <v>31.0</v>
      </c>
      <c r="H35" s="127">
        <v>31.0</v>
      </c>
      <c r="I35" s="127">
        <v>29.0</v>
      </c>
      <c r="J35" s="127">
        <v>15.0</v>
      </c>
      <c r="K35" s="128">
        <f>if(J35+I35+G35=0,"-",J35+I35+G35)</f>
        <v>75</v>
      </c>
      <c r="L35" s="129">
        <f>if(iferror((G35-J35)/K35,0)=0,"-",round((G35-J35)/K35,2))</f>
        <v>0.21</v>
      </c>
      <c r="M35" s="127">
        <v>5.0</v>
      </c>
      <c r="N35" s="127">
        <v>0.0</v>
      </c>
      <c r="O35" s="127">
        <v>4.0</v>
      </c>
      <c r="P35" s="127">
        <v>55.0</v>
      </c>
      <c r="Q35" s="127">
        <v>10.0</v>
      </c>
      <c r="R35" s="127">
        <v>8.0</v>
      </c>
      <c r="S35" s="130">
        <f t="shared" si="6"/>
        <v>73</v>
      </c>
      <c r="T35" s="127">
        <v>3.0</v>
      </c>
      <c r="U35" s="131">
        <f>G35+M35+Q35</f>
        <v>46</v>
      </c>
      <c r="V35" s="132">
        <f t="shared" si="7"/>
        <v>49</v>
      </c>
      <c r="W35" s="131">
        <f t="shared" si="8"/>
        <v>44</v>
      </c>
      <c r="X35" s="127">
        <v>36.0</v>
      </c>
      <c r="Y35" s="127">
        <v>8.0</v>
      </c>
      <c r="Z35" s="133">
        <f t="shared" si="9"/>
        <v>81.81818182</v>
      </c>
      <c r="AA35" s="127">
        <v>36.0</v>
      </c>
      <c r="AB35" s="134" t="str">
        <f t="shared" si="10"/>
        <v>12.0</v>
      </c>
    </row>
    <row r="36">
      <c r="A36" s="77"/>
      <c r="B36" s="55"/>
      <c r="C36" s="135">
        <v>260308.0</v>
      </c>
      <c r="D36" s="136" t="s">
        <v>162</v>
      </c>
      <c r="E36" s="137"/>
      <c r="F36" s="138">
        <v>3.0</v>
      </c>
      <c r="G36" s="138">
        <v>16.0</v>
      </c>
      <c r="H36" s="138">
        <v>16.0</v>
      </c>
      <c r="I36" s="138">
        <v>39.0</v>
      </c>
      <c r="J36" s="138">
        <v>23.0</v>
      </c>
      <c r="K36" s="139">
        <f>G36+I36+J36</f>
        <v>78</v>
      </c>
      <c r="L36" s="140">
        <f>(G36+J36)/K36</f>
        <v>0.5</v>
      </c>
      <c r="M36" s="138">
        <v>4.0</v>
      </c>
      <c r="N36" s="138">
        <v>0.0</v>
      </c>
      <c r="O36" s="138">
        <v>2.0</v>
      </c>
      <c r="P36" s="138">
        <v>36.0</v>
      </c>
      <c r="Q36" s="138">
        <v>5.0</v>
      </c>
      <c r="R36" s="138">
        <v>8.0</v>
      </c>
      <c r="S36" s="141">
        <f t="shared" si="6"/>
        <v>49</v>
      </c>
      <c r="T36" s="138">
        <v>3.0</v>
      </c>
      <c r="U36" s="142">
        <f>Q36+M36+G36</f>
        <v>25</v>
      </c>
      <c r="V36" s="143">
        <f t="shared" si="7"/>
        <v>26.5</v>
      </c>
      <c r="W36" s="142">
        <f t="shared" si="8"/>
        <v>68</v>
      </c>
      <c r="X36" s="138">
        <v>55.0</v>
      </c>
      <c r="Y36" s="138">
        <v>13.0</v>
      </c>
      <c r="Z36" s="144">
        <f t="shared" si="9"/>
        <v>80.88235294</v>
      </c>
      <c r="AA36" s="138">
        <v>23.0</v>
      </c>
      <c r="AB36" s="145" t="str">
        <f t="shared" si="10"/>
        <v>7.7</v>
      </c>
    </row>
    <row r="37">
      <c r="A37" s="77"/>
      <c r="B37" s="123">
        <v>9.0</v>
      </c>
      <c r="C37" s="124">
        <v>260309.0</v>
      </c>
      <c r="D37" s="125" t="s">
        <v>45</v>
      </c>
      <c r="E37" s="126"/>
      <c r="F37" s="127">
        <v>3.0</v>
      </c>
      <c r="G37" s="127">
        <v>40.0</v>
      </c>
      <c r="H37" s="127">
        <v>38.0</v>
      </c>
      <c r="I37" s="127">
        <v>32.0</v>
      </c>
      <c r="J37" s="127">
        <v>14.0</v>
      </c>
      <c r="K37" s="128">
        <f>if(J37+I37+G37=0,"-",J37+I37+G37)</f>
        <v>86</v>
      </c>
      <c r="L37" s="129">
        <f>if(iferror((G37-J37)/K37,0)=0,"-",round((G37-J37)/K37,2))</f>
        <v>0.3</v>
      </c>
      <c r="M37" s="127">
        <v>12.0</v>
      </c>
      <c r="N37" s="127">
        <v>1.0</v>
      </c>
      <c r="O37" s="127">
        <v>0.0</v>
      </c>
      <c r="P37" s="127">
        <v>61.0</v>
      </c>
      <c r="Q37" s="127">
        <v>6.0</v>
      </c>
      <c r="R37" s="127">
        <v>6.0</v>
      </c>
      <c r="S37" s="130">
        <f t="shared" si="6"/>
        <v>73</v>
      </c>
      <c r="T37" s="127">
        <v>0.0</v>
      </c>
      <c r="U37" s="131">
        <f>G37+M37+Q37</f>
        <v>58</v>
      </c>
      <c r="V37" s="132">
        <f t="shared" si="7"/>
        <v>58</v>
      </c>
      <c r="W37" s="131">
        <f t="shared" si="8"/>
        <v>52</v>
      </c>
      <c r="X37" s="127">
        <v>49.0</v>
      </c>
      <c r="Y37" s="127">
        <v>3.0</v>
      </c>
      <c r="Z37" s="133">
        <f t="shared" si="9"/>
        <v>94.23076923</v>
      </c>
      <c r="AA37" s="127">
        <v>31.0</v>
      </c>
      <c r="AB37" s="134" t="str">
        <f t="shared" si="10"/>
        <v>10.3</v>
      </c>
    </row>
    <row r="38">
      <c r="A38" s="77"/>
      <c r="B38" s="55"/>
      <c r="C38" s="135">
        <v>260309.0</v>
      </c>
      <c r="D38" s="136" t="s">
        <v>138</v>
      </c>
      <c r="E38" s="137"/>
      <c r="F38" s="138">
        <v>3.0</v>
      </c>
      <c r="G38" s="138">
        <v>32.0</v>
      </c>
      <c r="H38" s="138">
        <v>30.0</v>
      </c>
      <c r="I38" s="138">
        <v>36.0</v>
      </c>
      <c r="J38" s="138">
        <v>22.0</v>
      </c>
      <c r="K38" s="139">
        <f>G38+I38+J38</f>
        <v>90</v>
      </c>
      <c r="L38" s="140">
        <f>(G38+J38)/K38</f>
        <v>0.6</v>
      </c>
      <c r="M38" s="138">
        <v>5.0</v>
      </c>
      <c r="N38" s="138">
        <v>0.0</v>
      </c>
      <c r="O38" s="138">
        <v>0.0</v>
      </c>
      <c r="P38" s="138">
        <v>49.0</v>
      </c>
      <c r="Q38" s="138">
        <v>3.0</v>
      </c>
      <c r="R38" s="138">
        <v>6.0</v>
      </c>
      <c r="S38" s="141">
        <f t="shared" si="6"/>
        <v>58</v>
      </c>
      <c r="T38" s="138">
        <v>1.0</v>
      </c>
      <c r="U38" s="142">
        <f>Q38+M38+G38</f>
        <v>40</v>
      </c>
      <c r="V38" s="143">
        <f t="shared" si="7"/>
        <v>40</v>
      </c>
      <c r="W38" s="142">
        <f t="shared" si="8"/>
        <v>68</v>
      </c>
      <c r="X38" s="138">
        <v>61.0</v>
      </c>
      <c r="Y38" s="138">
        <v>7.0</v>
      </c>
      <c r="Z38" s="144">
        <f t="shared" si="9"/>
        <v>89.70588235</v>
      </c>
      <c r="AA38" s="138">
        <v>25.0</v>
      </c>
      <c r="AB38" s="145" t="str">
        <f t="shared" si="10"/>
        <v>8.3</v>
      </c>
    </row>
    <row r="39">
      <c r="A39" s="77"/>
      <c r="B39" s="123">
        <v>10.0</v>
      </c>
      <c r="C39" s="124">
        <v>260310.0</v>
      </c>
      <c r="D39" s="125" t="s">
        <v>100</v>
      </c>
      <c r="E39" s="126"/>
      <c r="F39" s="127">
        <v>4.0</v>
      </c>
      <c r="G39" s="127">
        <v>47.0</v>
      </c>
      <c r="H39" s="127">
        <v>42.0</v>
      </c>
      <c r="I39" s="127">
        <v>37.0</v>
      </c>
      <c r="J39" s="127">
        <v>14.0</v>
      </c>
      <c r="K39" s="128">
        <f>if(J39+I39+G39=0,"-",J39+I39+G39)</f>
        <v>98</v>
      </c>
      <c r="L39" s="129">
        <f>if(iferror((G39-J39)/K39,0)=0,"-",round((G39-J39)/K39,2))</f>
        <v>0.34</v>
      </c>
      <c r="M39" s="127">
        <v>10.0</v>
      </c>
      <c r="N39" s="127">
        <v>0.0</v>
      </c>
      <c r="O39" s="127">
        <v>9.0</v>
      </c>
      <c r="P39" s="127">
        <v>85.0</v>
      </c>
      <c r="Q39" s="127">
        <v>1.0</v>
      </c>
      <c r="R39" s="127">
        <v>8.0</v>
      </c>
      <c r="S39" s="130">
        <f t="shared" si="6"/>
        <v>94</v>
      </c>
      <c r="T39" s="127">
        <v>3.0</v>
      </c>
      <c r="U39" s="131">
        <f>G39+M39+Q39</f>
        <v>58</v>
      </c>
      <c r="V39" s="132">
        <f t="shared" si="7"/>
        <v>64.75</v>
      </c>
      <c r="W39" s="131">
        <f t="shared" si="8"/>
        <v>64</v>
      </c>
      <c r="X39" s="127">
        <v>59.0</v>
      </c>
      <c r="Y39" s="127">
        <v>5.0</v>
      </c>
      <c r="Z39" s="133">
        <f t="shared" si="9"/>
        <v>92.1875</v>
      </c>
      <c r="AA39" s="127">
        <v>44.0</v>
      </c>
      <c r="AB39" s="134" t="str">
        <f t="shared" si="10"/>
        <v>11.0</v>
      </c>
    </row>
    <row r="40">
      <c r="A40" s="77"/>
      <c r="B40" s="55"/>
      <c r="C40" s="135">
        <v>260310.0</v>
      </c>
      <c r="D40" s="136" t="s">
        <v>114</v>
      </c>
      <c r="E40" s="137"/>
      <c r="F40" s="138">
        <v>4.0</v>
      </c>
      <c r="G40" s="138">
        <v>44.0</v>
      </c>
      <c r="H40" s="138">
        <v>41.0</v>
      </c>
      <c r="I40" s="138">
        <v>53.0</v>
      </c>
      <c r="J40" s="138">
        <v>30.0</v>
      </c>
      <c r="K40" s="139">
        <f>G40+I40+J40</f>
        <v>127</v>
      </c>
      <c r="L40" s="140">
        <f>(G40+J40)/K40</f>
        <v>0.5826771654</v>
      </c>
      <c r="M40" s="138">
        <v>5.0</v>
      </c>
      <c r="N40" s="138">
        <v>2.0</v>
      </c>
      <c r="O40" s="138">
        <v>3.0</v>
      </c>
      <c r="P40" s="138">
        <v>59.0</v>
      </c>
      <c r="Q40" s="138">
        <v>2.0</v>
      </c>
      <c r="R40" s="138">
        <v>12.0</v>
      </c>
      <c r="S40" s="141">
        <f t="shared" si="6"/>
        <v>73</v>
      </c>
      <c r="T40" s="138">
        <v>6.0</v>
      </c>
      <c r="U40" s="142">
        <f>Q40+M40+G40</f>
        <v>51</v>
      </c>
      <c r="V40" s="143">
        <f t="shared" si="7"/>
        <v>53.25</v>
      </c>
      <c r="W40" s="142">
        <f t="shared" si="8"/>
        <v>92</v>
      </c>
      <c r="X40" s="138">
        <v>85.0</v>
      </c>
      <c r="Y40" s="138">
        <v>7.0</v>
      </c>
      <c r="Z40" s="144">
        <f t="shared" si="9"/>
        <v>92.39130435</v>
      </c>
      <c r="AA40" s="138">
        <v>31.0</v>
      </c>
      <c r="AB40" s="145" t="str">
        <f t="shared" si="10"/>
        <v>7.8</v>
      </c>
    </row>
    <row r="41">
      <c r="A41" s="77"/>
      <c r="B41" s="123">
        <v>11.0</v>
      </c>
      <c r="C41" s="124">
        <v>260311.0</v>
      </c>
      <c r="D41" s="125" t="s">
        <v>127</v>
      </c>
      <c r="E41" s="126"/>
      <c r="F41" s="127">
        <v>5.0</v>
      </c>
      <c r="G41" s="127">
        <v>46.0</v>
      </c>
      <c r="H41" s="127">
        <v>42.0</v>
      </c>
      <c r="I41" s="127">
        <v>53.0</v>
      </c>
      <c r="J41" s="127">
        <v>23.0</v>
      </c>
      <c r="K41" s="128">
        <f>if(J41+I41+G41=0,"-",J41+I41+G41)</f>
        <v>122</v>
      </c>
      <c r="L41" s="129">
        <f>if(iferror((G41-J41)/K41,0)=0,"-",round((G41-J41)/K41,2))</f>
        <v>0.19</v>
      </c>
      <c r="M41" s="127">
        <v>5.0</v>
      </c>
      <c r="N41" s="127">
        <v>0.0</v>
      </c>
      <c r="O41" s="127">
        <v>2.0</v>
      </c>
      <c r="P41" s="127">
        <v>71.0</v>
      </c>
      <c r="Q41" s="127">
        <v>8.0</v>
      </c>
      <c r="R41" s="127">
        <v>12.0</v>
      </c>
      <c r="S41" s="130">
        <f t="shared" si="6"/>
        <v>91</v>
      </c>
      <c r="T41" s="127">
        <v>4.0</v>
      </c>
      <c r="U41" s="131">
        <f>G41+M41+Q41</f>
        <v>59</v>
      </c>
      <c r="V41" s="132">
        <f t="shared" si="7"/>
        <v>60.5</v>
      </c>
      <c r="W41" s="131">
        <f t="shared" si="8"/>
        <v>98</v>
      </c>
      <c r="X41" s="127">
        <v>82.0</v>
      </c>
      <c r="Y41" s="127">
        <v>16.0</v>
      </c>
      <c r="Z41" s="133">
        <f t="shared" si="9"/>
        <v>83.67346939</v>
      </c>
      <c r="AA41" s="127">
        <v>47.0</v>
      </c>
      <c r="AB41" s="134" t="str">
        <f t="shared" si="10"/>
        <v>9.4</v>
      </c>
    </row>
    <row r="42">
      <c r="A42" s="77"/>
      <c r="B42" s="55"/>
      <c r="C42" s="135">
        <v>260311.0</v>
      </c>
      <c r="D42" s="136" t="s">
        <v>83</v>
      </c>
      <c r="E42" s="137"/>
      <c r="F42" s="138">
        <v>5.0</v>
      </c>
      <c r="G42" s="138">
        <v>57.0</v>
      </c>
      <c r="H42" s="138">
        <v>52.0</v>
      </c>
      <c r="I42" s="138">
        <v>46.0</v>
      </c>
      <c r="J42" s="138">
        <v>21.0</v>
      </c>
      <c r="K42" s="139">
        <f>G42+I42+J42</f>
        <v>124</v>
      </c>
      <c r="L42" s="140">
        <f>(G42+J42)/K42</f>
        <v>0.6290322581</v>
      </c>
      <c r="M42" s="138">
        <v>7.0</v>
      </c>
      <c r="N42" s="138">
        <v>0.0</v>
      </c>
      <c r="O42" s="138">
        <v>7.0</v>
      </c>
      <c r="P42" s="138">
        <v>82.0</v>
      </c>
      <c r="Q42" s="138">
        <v>12.0</v>
      </c>
      <c r="R42" s="138">
        <v>14.0</v>
      </c>
      <c r="S42" s="141">
        <f t="shared" si="6"/>
        <v>108</v>
      </c>
      <c r="T42" s="138">
        <v>2.0</v>
      </c>
      <c r="U42" s="142">
        <f>Q42+M42+G42</f>
        <v>76</v>
      </c>
      <c r="V42" s="143">
        <f t="shared" si="7"/>
        <v>81.25</v>
      </c>
      <c r="W42" s="142">
        <f t="shared" si="8"/>
        <v>81</v>
      </c>
      <c r="X42" s="138">
        <v>71.0</v>
      </c>
      <c r="Y42" s="138">
        <v>10.0</v>
      </c>
      <c r="Z42" s="144">
        <f t="shared" si="9"/>
        <v>87.65432099</v>
      </c>
      <c r="AA42" s="138">
        <v>55.0</v>
      </c>
      <c r="AB42" s="145" t="str">
        <f t="shared" si="10"/>
        <v>11.0</v>
      </c>
    </row>
    <row r="43">
      <c r="A43" s="77"/>
      <c r="B43" s="123">
        <v>12.0</v>
      </c>
      <c r="C43" s="124">
        <v>260312.0</v>
      </c>
      <c r="D43" s="125" t="s">
        <v>100</v>
      </c>
      <c r="E43" s="126"/>
      <c r="F43" s="127">
        <v>5.0</v>
      </c>
      <c r="G43" s="127">
        <v>56.0</v>
      </c>
      <c r="H43" s="127">
        <v>51.0</v>
      </c>
      <c r="I43" s="127">
        <v>87.0</v>
      </c>
      <c r="J43" s="127">
        <v>24.0</v>
      </c>
      <c r="K43" s="128">
        <f>if(J43+I43+G43=0,"-",J43+I43+G43)</f>
        <v>167</v>
      </c>
      <c r="L43" s="129">
        <f>if(iferror((G43-J43)/K43,0)=0,"-",round((G43-J43)/K43,2))</f>
        <v>0.19</v>
      </c>
      <c r="M43" s="127">
        <v>13.0</v>
      </c>
      <c r="N43" s="127">
        <v>0.0</v>
      </c>
      <c r="O43" s="127">
        <v>10.0</v>
      </c>
      <c r="P43" s="127">
        <v>85.0</v>
      </c>
      <c r="Q43" s="127">
        <v>5.0</v>
      </c>
      <c r="R43" s="127">
        <v>6.0</v>
      </c>
      <c r="S43" s="130">
        <f t="shared" si="6"/>
        <v>96</v>
      </c>
      <c r="T43" s="127">
        <v>1.0</v>
      </c>
      <c r="U43" s="131">
        <f>G43+M43+Q43</f>
        <v>74</v>
      </c>
      <c r="V43" s="132">
        <f t="shared" si="7"/>
        <v>81.5</v>
      </c>
      <c r="W43" s="131">
        <f t="shared" si="8"/>
        <v>98</v>
      </c>
      <c r="X43" s="127">
        <v>90.0</v>
      </c>
      <c r="Y43" s="127">
        <v>8.0</v>
      </c>
      <c r="Z43" s="133">
        <f t="shared" si="9"/>
        <v>91.83673469</v>
      </c>
      <c r="AA43" s="127">
        <v>53.0</v>
      </c>
      <c r="AB43" s="134" t="str">
        <f t="shared" si="10"/>
        <v>10.6</v>
      </c>
    </row>
    <row r="44">
      <c r="A44" s="77"/>
      <c r="B44" s="55"/>
      <c r="C44" s="135">
        <v>260312.0</v>
      </c>
      <c r="D44" s="136" t="s">
        <v>67</v>
      </c>
      <c r="E44" s="137"/>
      <c r="F44" s="138">
        <v>5.0</v>
      </c>
      <c r="G44" s="138">
        <v>65.0</v>
      </c>
      <c r="H44" s="138">
        <v>59.0</v>
      </c>
      <c r="I44" s="138">
        <v>72.0</v>
      </c>
      <c r="J44" s="138">
        <v>24.0</v>
      </c>
      <c r="K44" s="139">
        <f>G44+I44+J44</f>
        <v>161</v>
      </c>
      <c r="L44" s="140">
        <f>(G44+J44)/K44</f>
        <v>0.5527950311</v>
      </c>
      <c r="M44" s="138">
        <v>9.0</v>
      </c>
      <c r="N44" s="138">
        <v>1.0</v>
      </c>
      <c r="O44" s="138">
        <v>8.0</v>
      </c>
      <c r="P44" s="138">
        <v>90.0</v>
      </c>
      <c r="Q44" s="138">
        <v>7.0</v>
      </c>
      <c r="R44" s="138">
        <v>5.0</v>
      </c>
      <c r="S44" s="141">
        <f t="shared" si="6"/>
        <v>102</v>
      </c>
      <c r="T44" s="138">
        <v>5.0</v>
      </c>
      <c r="U44" s="142">
        <f>Q44+M44+G44</f>
        <v>81</v>
      </c>
      <c r="V44" s="143">
        <f t="shared" si="7"/>
        <v>87</v>
      </c>
      <c r="W44" s="142">
        <f t="shared" si="8"/>
        <v>95</v>
      </c>
      <c r="X44" s="138">
        <v>85.0</v>
      </c>
      <c r="Y44" s="138">
        <v>10.0</v>
      </c>
      <c r="Z44" s="144">
        <f t="shared" si="9"/>
        <v>89.47368421</v>
      </c>
      <c r="AA44" s="138">
        <v>65.0</v>
      </c>
      <c r="AB44" s="145" t="str">
        <f t="shared" si="10"/>
        <v>13.0</v>
      </c>
    </row>
    <row r="45">
      <c r="A45" s="77"/>
      <c r="B45" s="123">
        <v>13.0</v>
      </c>
      <c r="C45" s="124">
        <v>260313.0</v>
      </c>
      <c r="D45" s="125" t="s">
        <v>45</v>
      </c>
      <c r="E45" s="126"/>
      <c r="F45" s="127">
        <v>3.0</v>
      </c>
      <c r="G45" s="127">
        <v>35.0</v>
      </c>
      <c r="H45" s="127">
        <v>31.0</v>
      </c>
      <c r="I45" s="127">
        <v>35.0</v>
      </c>
      <c r="J45" s="127">
        <v>14.0</v>
      </c>
      <c r="K45" s="128">
        <f>if(J45+I45+G45=0,"-",J45+I45+G45)</f>
        <v>84</v>
      </c>
      <c r="L45" s="129">
        <f>if(iferror((G45-J45)/K45,0)=0,"-",round((G45-J45)/K45,2))</f>
        <v>0.25</v>
      </c>
      <c r="M45" s="127">
        <v>13.0</v>
      </c>
      <c r="N45" s="127">
        <v>1.0</v>
      </c>
      <c r="O45" s="127">
        <v>10.0</v>
      </c>
      <c r="P45" s="127">
        <v>49.0</v>
      </c>
      <c r="Q45" s="127">
        <v>10.0</v>
      </c>
      <c r="R45" s="127">
        <v>14.0</v>
      </c>
      <c r="S45" s="130">
        <f t="shared" si="6"/>
        <v>73</v>
      </c>
      <c r="T45" s="127">
        <v>2.0</v>
      </c>
      <c r="U45" s="131">
        <f>G45+M45+Q45</f>
        <v>58</v>
      </c>
      <c r="V45" s="132">
        <f t="shared" si="7"/>
        <v>65.5</v>
      </c>
      <c r="W45" s="131">
        <f t="shared" si="8"/>
        <v>61</v>
      </c>
      <c r="X45" s="127">
        <v>54.0</v>
      </c>
      <c r="Y45" s="127">
        <v>7.0</v>
      </c>
      <c r="Z45" s="133">
        <f t="shared" si="9"/>
        <v>88.52459016</v>
      </c>
      <c r="AA45" s="127">
        <v>23.0</v>
      </c>
      <c r="AB45" s="134" t="str">
        <f t="shared" si="10"/>
        <v>7.7</v>
      </c>
    </row>
    <row r="46">
      <c r="A46" s="77"/>
      <c r="B46" s="55"/>
      <c r="C46" s="135">
        <v>260313.0</v>
      </c>
      <c r="D46" s="136" t="s">
        <v>83</v>
      </c>
      <c r="E46" s="137"/>
      <c r="F46" s="138">
        <v>3.0</v>
      </c>
      <c r="G46" s="138">
        <v>27.0</v>
      </c>
      <c r="H46" s="138">
        <v>24.0</v>
      </c>
      <c r="I46" s="138">
        <v>29.0</v>
      </c>
      <c r="J46" s="138">
        <v>23.0</v>
      </c>
      <c r="K46" s="139">
        <f>G46+I46+J46</f>
        <v>79</v>
      </c>
      <c r="L46" s="140">
        <f>(G46+J46)/K46</f>
        <v>0.6329113924</v>
      </c>
      <c r="M46" s="138">
        <v>5.0</v>
      </c>
      <c r="N46" s="138">
        <v>1.0</v>
      </c>
      <c r="O46" s="138">
        <v>5.0</v>
      </c>
      <c r="P46" s="138">
        <v>54.0</v>
      </c>
      <c r="Q46" s="138">
        <v>5.0</v>
      </c>
      <c r="R46" s="138">
        <v>5.0</v>
      </c>
      <c r="S46" s="141">
        <f t="shared" si="6"/>
        <v>64</v>
      </c>
      <c r="T46" s="138">
        <v>2.0</v>
      </c>
      <c r="U46" s="142">
        <f>Q46+M46+G46</f>
        <v>37</v>
      </c>
      <c r="V46" s="143">
        <f t="shared" si="7"/>
        <v>40.75</v>
      </c>
      <c r="W46" s="142">
        <f t="shared" si="8"/>
        <v>61</v>
      </c>
      <c r="X46" s="138">
        <v>49.0</v>
      </c>
      <c r="Y46" s="138">
        <v>12.0</v>
      </c>
      <c r="Z46" s="144">
        <f t="shared" si="9"/>
        <v>80.32786885</v>
      </c>
      <c r="AA46" s="138">
        <v>31.0</v>
      </c>
      <c r="AB46" s="145" t="str">
        <f t="shared" si="10"/>
        <v>10.3</v>
      </c>
    </row>
    <row r="47">
      <c r="A47" s="77"/>
      <c r="B47" s="123">
        <v>14.0</v>
      </c>
      <c r="C47" s="124">
        <v>260314.0</v>
      </c>
      <c r="D47" s="125" t="s">
        <v>45</v>
      </c>
      <c r="E47" s="126"/>
      <c r="F47" s="127">
        <v>4.0</v>
      </c>
      <c r="G47" s="127">
        <v>54.0</v>
      </c>
      <c r="H47" s="127">
        <v>50.0</v>
      </c>
      <c r="I47" s="127">
        <v>56.0</v>
      </c>
      <c r="J47" s="127">
        <v>16.0</v>
      </c>
      <c r="K47" s="128">
        <f>if(J47+I47+G47=0,"-",J47+I47+G47)</f>
        <v>126</v>
      </c>
      <c r="L47" s="129">
        <f>if(iferror((G47-J47)/K47,0)=0,"-",round((G47-J47)/K47,2))</f>
        <v>0.3</v>
      </c>
      <c r="M47" s="127">
        <v>11.0</v>
      </c>
      <c r="N47" s="127">
        <v>0.0</v>
      </c>
      <c r="O47" s="127">
        <v>10.0</v>
      </c>
      <c r="P47" s="127">
        <v>79.0</v>
      </c>
      <c r="Q47" s="127">
        <v>6.0</v>
      </c>
      <c r="R47" s="127">
        <v>9.0</v>
      </c>
      <c r="S47" s="130">
        <f t="shared" si="6"/>
        <v>94</v>
      </c>
      <c r="T47" s="127">
        <v>2.0</v>
      </c>
      <c r="U47" s="131">
        <f>G47+M47+Q47</f>
        <v>71</v>
      </c>
      <c r="V47" s="132">
        <f t="shared" si="7"/>
        <v>78.5</v>
      </c>
      <c r="W47" s="131">
        <f t="shared" si="8"/>
        <v>80</v>
      </c>
      <c r="X47" s="127">
        <v>72.0</v>
      </c>
      <c r="Y47" s="127">
        <v>8.0</v>
      </c>
      <c r="Z47" s="133">
        <f t="shared" si="9"/>
        <v>90</v>
      </c>
      <c r="AA47" s="127">
        <v>47.0</v>
      </c>
      <c r="AB47" s="134" t="str">
        <f t="shared" si="10"/>
        <v>11.8</v>
      </c>
    </row>
    <row r="48">
      <c r="A48" s="77"/>
      <c r="B48" s="55"/>
      <c r="C48" s="135">
        <v>260314.0</v>
      </c>
      <c r="D48" s="136" t="s">
        <v>67</v>
      </c>
      <c r="E48" s="137"/>
      <c r="F48" s="138">
        <v>4.0</v>
      </c>
      <c r="G48" s="138">
        <v>49.0</v>
      </c>
      <c r="H48" s="138">
        <v>45.0</v>
      </c>
      <c r="I48" s="138">
        <v>59.0</v>
      </c>
      <c r="J48" s="138">
        <v>22.0</v>
      </c>
      <c r="K48" s="139">
        <f>G48+I48+J48</f>
        <v>130</v>
      </c>
      <c r="L48" s="140">
        <f>(G48+J48)/K48</f>
        <v>0.5461538462</v>
      </c>
      <c r="M48" s="138">
        <v>9.0</v>
      </c>
      <c r="N48" s="138">
        <v>1.0</v>
      </c>
      <c r="O48" s="138">
        <v>9.0</v>
      </c>
      <c r="P48" s="138">
        <v>72.0</v>
      </c>
      <c r="Q48" s="138">
        <v>6.0</v>
      </c>
      <c r="R48" s="138">
        <v>6.0</v>
      </c>
      <c r="S48" s="141">
        <f t="shared" si="6"/>
        <v>84</v>
      </c>
      <c r="T48" s="138">
        <v>7.0</v>
      </c>
      <c r="U48" s="142">
        <f>Q48+M48+G48</f>
        <v>64</v>
      </c>
      <c r="V48" s="143">
        <f t="shared" si="7"/>
        <v>70.75</v>
      </c>
      <c r="W48" s="142">
        <f t="shared" si="8"/>
        <v>92</v>
      </c>
      <c r="X48" s="138">
        <v>79.0</v>
      </c>
      <c r="Y48" s="138">
        <v>13.0</v>
      </c>
      <c r="Z48" s="144">
        <f t="shared" si="9"/>
        <v>85.86956522</v>
      </c>
      <c r="AA48" s="138">
        <v>47.0</v>
      </c>
      <c r="AB48" s="145" t="str">
        <f t="shared" si="10"/>
        <v>11.8</v>
      </c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>
      <c r="B50" s="77"/>
    </row>
    <row r="51">
      <c r="B51" s="78" t="s">
        <v>250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>
      <c r="B52" s="79" t="s">
        <v>3</v>
      </c>
      <c r="C52" s="80" t="s">
        <v>4</v>
      </c>
      <c r="D52" s="51"/>
      <c r="E52" s="146" t="s">
        <v>238</v>
      </c>
      <c r="F52" s="10" t="s">
        <v>13</v>
      </c>
      <c r="G52" s="10" t="s">
        <v>14</v>
      </c>
      <c r="H52" s="10" t="s">
        <v>15</v>
      </c>
      <c r="I52" s="10" t="s">
        <v>16</v>
      </c>
      <c r="J52" s="10" t="s">
        <v>17</v>
      </c>
      <c r="K52" s="11" t="s">
        <v>18</v>
      </c>
      <c r="L52" s="12" t="s">
        <v>19</v>
      </c>
      <c r="M52" s="10" t="s">
        <v>20</v>
      </c>
      <c r="N52" s="10" t="s">
        <v>21</v>
      </c>
      <c r="O52" s="10" t="s">
        <v>22</v>
      </c>
      <c r="P52" s="10" t="s">
        <v>23</v>
      </c>
      <c r="Q52" s="10" t="s">
        <v>24</v>
      </c>
      <c r="R52" s="10" t="s">
        <v>25</v>
      </c>
      <c r="S52" s="11" t="s">
        <v>26</v>
      </c>
      <c r="T52" s="10" t="s">
        <v>27</v>
      </c>
      <c r="U52" s="11" t="s">
        <v>28</v>
      </c>
      <c r="V52" s="11" t="s">
        <v>251</v>
      </c>
      <c r="W52" s="11" t="s">
        <v>30</v>
      </c>
      <c r="X52" s="10" t="s">
        <v>31</v>
      </c>
      <c r="Y52" s="10" t="s">
        <v>32</v>
      </c>
      <c r="Z52" s="11" t="s">
        <v>33</v>
      </c>
      <c r="AA52" s="10" t="s">
        <v>34</v>
      </c>
      <c r="AB52" s="13" t="s">
        <v>35</v>
      </c>
    </row>
    <row r="53">
      <c r="B53" s="147">
        <v>1.0</v>
      </c>
      <c r="C53" s="148" t="str">
        <f t="shared" ref="C53:C62" si="11">C6</f>
        <v>선명여고</v>
      </c>
      <c r="D53" s="149"/>
      <c r="E53" s="150">
        <f t="shared" ref="E53:E61" si="12">E6</f>
        <v>4</v>
      </c>
      <c r="F53" s="150">
        <f t="shared" ref="F53:F61" si="13">H6+I6</f>
        <v>14</v>
      </c>
      <c r="G53" s="150">
        <v>178.0</v>
      </c>
      <c r="H53" s="150">
        <v>165.0</v>
      </c>
      <c r="I53" s="150">
        <v>190.0</v>
      </c>
      <c r="J53" s="150">
        <v>65.0</v>
      </c>
      <c r="K53" s="151">
        <f t="shared" ref="K53:K61" si="14">if(J53+I53+G53=0,"-",J53+I53+G53)</f>
        <v>433</v>
      </c>
      <c r="L53" s="107">
        <f t="shared" ref="L53:L61" si="15">if(iferror((G53-J53)/K53,0)=0,"-",round((G53-J53)/K53,2))</f>
        <v>0.26</v>
      </c>
      <c r="M53" s="150">
        <v>38.0</v>
      </c>
      <c r="N53" s="150">
        <v>3.0</v>
      </c>
      <c r="O53" s="150">
        <v>20.0</v>
      </c>
      <c r="P53" s="150">
        <v>271.0</v>
      </c>
      <c r="Q53" s="150">
        <v>26.0</v>
      </c>
      <c r="R53" s="150">
        <v>43.0</v>
      </c>
      <c r="S53" s="151">
        <f t="shared" ref="S53:S61" si="16">IF(R53+Q53+P53=0,"-",R53+Q53+P53)</f>
        <v>340</v>
      </c>
      <c r="T53" s="150">
        <v>6.0</v>
      </c>
      <c r="U53" s="150">
        <f>G53+M53+Q53</f>
        <v>242</v>
      </c>
      <c r="V53" s="152">
        <f t="shared" ref="V53:V61" si="17">U53+O53*0.75</f>
        <v>257</v>
      </c>
      <c r="W53" s="150">
        <f t="shared" ref="W53:W61" si="18">X53+Y53</f>
        <v>289</v>
      </c>
      <c r="X53" s="150">
        <v>260.0</v>
      </c>
      <c r="Y53" s="150">
        <v>29.0</v>
      </c>
      <c r="Z53" s="153">
        <f t="shared" ref="Z53:Z61" si="19">iferror((X53/W53)*100,"-")</f>
        <v>89.96539792</v>
      </c>
      <c r="AA53" s="150">
        <v>147.0</v>
      </c>
      <c r="AB53" s="107" t="str">
        <f t="shared" ref="AB53:AB61" si="20">IFERROR(IF(MOD(AA53/F53, 1)=0, TEXT(AA53/F53, "0.0"), TEXT(AA53/F53, "0.0")), "-")</f>
        <v>10.5</v>
      </c>
    </row>
    <row r="54">
      <c r="B54" s="154">
        <v>2.0</v>
      </c>
      <c r="C54" s="155" t="str">
        <f t="shared" si="11"/>
        <v>중앙여고</v>
      </c>
      <c r="D54" s="156"/>
      <c r="E54" s="88">
        <f t="shared" si="12"/>
        <v>4</v>
      </c>
      <c r="F54" s="88">
        <f t="shared" si="13"/>
        <v>15</v>
      </c>
      <c r="G54" s="88">
        <v>192.0</v>
      </c>
      <c r="H54" s="88">
        <v>172.0</v>
      </c>
      <c r="I54" s="88">
        <v>179.0</v>
      </c>
      <c r="J54" s="88">
        <v>68.0</v>
      </c>
      <c r="K54" s="157">
        <f t="shared" si="14"/>
        <v>439</v>
      </c>
      <c r="L54" s="91">
        <f t="shared" si="15"/>
        <v>0.28</v>
      </c>
      <c r="M54" s="88">
        <v>37.0</v>
      </c>
      <c r="N54" s="88">
        <v>3.0</v>
      </c>
      <c r="O54" s="88">
        <v>34.0</v>
      </c>
      <c r="P54" s="88">
        <v>281.0</v>
      </c>
      <c r="Q54" s="88">
        <v>29.0</v>
      </c>
      <c r="R54" s="88">
        <v>25.0</v>
      </c>
      <c r="S54" s="157">
        <f t="shared" si="16"/>
        <v>335</v>
      </c>
      <c r="T54" s="88">
        <v>12.0</v>
      </c>
      <c r="U54" s="88">
        <f>Q54+M54+G54</f>
        <v>258</v>
      </c>
      <c r="V54" s="89">
        <f t="shared" si="17"/>
        <v>283.5</v>
      </c>
      <c r="W54" s="88">
        <f t="shared" si="18"/>
        <v>265</v>
      </c>
      <c r="X54" s="88">
        <v>234.0</v>
      </c>
      <c r="Y54" s="88">
        <v>31.0</v>
      </c>
      <c r="Z54" s="158">
        <f t="shared" si="19"/>
        <v>88.30188679</v>
      </c>
      <c r="AA54" s="88">
        <v>162.0</v>
      </c>
      <c r="AB54" s="91" t="str">
        <f t="shared" si="20"/>
        <v>10.8</v>
      </c>
    </row>
    <row r="55">
      <c r="B55" s="147">
        <v>3.0</v>
      </c>
      <c r="C55" s="148" t="str">
        <f t="shared" si="11"/>
        <v>광주체고</v>
      </c>
      <c r="D55" s="149"/>
      <c r="E55" s="150">
        <f t="shared" si="12"/>
        <v>4</v>
      </c>
      <c r="F55" s="150">
        <f t="shared" si="13"/>
        <v>14</v>
      </c>
      <c r="G55" s="150">
        <v>145.0</v>
      </c>
      <c r="H55" s="150">
        <v>135.0</v>
      </c>
      <c r="I55" s="150">
        <v>147.0</v>
      </c>
      <c r="J55" s="150">
        <v>75.0</v>
      </c>
      <c r="K55" s="151">
        <f t="shared" si="14"/>
        <v>367</v>
      </c>
      <c r="L55" s="107">
        <f t="shared" si="15"/>
        <v>0.19</v>
      </c>
      <c r="M55" s="150">
        <v>22.0</v>
      </c>
      <c r="N55" s="150">
        <v>3.0</v>
      </c>
      <c r="O55" s="150">
        <v>20.0</v>
      </c>
      <c r="P55" s="150">
        <v>236.0</v>
      </c>
      <c r="Q55" s="150">
        <v>33.0</v>
      </c>
      <c r="R55" s="150">
        <v>39.0</v>
      </c>
      <c r="S55" s="151">
        <f t="shared" si="16"/>
        <v>308</v>
      </c>
      <c r="T55" s="150">
        <v>9.0</v>
      </c>
      <c r="U55" s="150">
        <f>G55+M55+Q55</f>
        <v>200</v>
      </c>
      <c r="V55" s="152">
        <f t="shared" si="17"/>
        <v>215</v>
      </c>
      <c r="W55" s="150">
        <f t="shared" si="18"/>
        <v>255</v>
      </c>
      <c r="X55" s="150">
        <v>216.0</v>
      </c>
      <c r="Y55" s="150">
        <v>39.0</v>
      </c>
      <c r="Z55" s="153">
        <f t="shared" si="19"/>
        <v>84.70588235</v>
      </c>
      <c r="AA55" s="150">
        <v>149.0</v>
      </c>
      <c r="AB55" s="107" t="str">
        <f t="shared" si="20"/>
        <v>10.6</v>
      </c>
    </row>
    <row r="56">
      <c r="B56" s="154">
        <v>4.0</v>
      </c>
      <c r="C56" s="155" t="str">
        <f t="shared" si="11"/>
        <v>천안청수</v>
      </c>
      <c r="D56" s="156"/>
      <c r="E56" s="88">
        <f t="shared" si="12"/>
        <v>4</v>
      </c>
      <c r="F56" s="88">
        <f t="shared" si="13"/>
        <v>16</v>
      </c>
      <c r="G56" s="88">
        <v>193.0</v>
      </c>
      <c r="H56" s="88">
        <v>175.0</v>
      </c>
      <c r="I56" s="88">
        <v>226.0</v>
      </c>
      <c r="J56" s="88">
        <v>75.0</v>
      </c>
      <c r="K56" s="157">
        <f t="shared" si="14"/>
        <v>494</v>
      </c>
      <c r="L56" s="91">
        <f t="shared" si="15"/>
        <v>0.24</v>
      </c>
      <c r="M56" s="88">
        <v>45.0</v>
      </c>
      <c r="N56" s="88">
        <v>3.0</v>
      </c>
      <c r="O56" s="88">
        <v>39.0</v>
      </c>
      <c r="P56" s="88">
        <v>298.0</v>
      </c>
      <c r="Q56" s="88">
        <v>28.0</v>
      </c>
      <c r="R56" s="88">
        <v>25.0</v>
      </c>
      <c r="S56" s="157">
        <f t="shared" si="16"/>
        <v>351</v>
      </c>
      <c r="T56" s="88">
        <v>5.0</v>
      </c>
      <c r="U56" s="88">
        <f>Q56+M56+G56</f>
        <v>266</v>
      </c>
      <c r="V56" s="89">
        <f t="shared" si="17"/>
        <v>295.25</v>
      </c>
      <c r="W56" s="88">
        <f t="shared" si="18"/>
        <v>290</v>
      </c>
      <c r="X56" s="88">
        <v>264.0</v>
      </c>
      <c r="Y56" s="88">
        <v>26.0</v>
      </c>
      <c r="Z56" s="158">
        <f t="shared" si="19"/>
        <v>91.03448276</v>
      </c>
      <c r="AA56" s="88">
        <v>184.0</v>
      </c>
      <c r="AB56" s="91" t="str">
        <f t="shared" si="20"/>
        <v>11.5</v>
      </c>
    </row>
    <row r="57">
      <c r="B57" s="147">
        <v>5.0</v>
      </c>
      <c r="C57" s="148" t="str">
        <f t="shared" si="11"/>
        <v>일신여상</v>
      </c>
      <c r="D57" s="149"/>
      <c r="E57" s="150">
        <f t="shared" si="12"/>
        <v>3</v>
      </c>
      <c r="F57" s="150">
        <f t="shared" si="13"/>
        <v>12</v>
      </c>
      <c r="G57" s="150">
        <v>151.0</v>
      </c>
      <c r="H57" s="150">
        <v>140.0</v>
      </c>
      <c r="I57" s="150">
        <v>188.0</v>
      </c>
      <c r="J57" s="150">
        <v>84.0</v>
      </c>
      <c r="K57" s="151">
        <f t="shared" si="14"/>
        <v>423</v>
      </c>
      <c r="L57" s="107">
        <f t="shared" si="15"/>
        <v>0.16</v>
      </c>
      <c r="M57" s="150">
        <v>13.0</v>
      </c>
      <c r="N57" s="150">
        <v>6.0</v>
      </c>
      <c r="O57" s="150">
        <v>10.0</v>
      </c>
      <c r="P57" s="150">
        <v>215.0</v>
      </c>
      <c r="Q57" s="150">
        <v>13.0</v>
      </c>
      <c r="R57" s="150">
        <v>36.0</v>
      </c>
      <c r="S57" s="151">
        <f t="shared" si="16"/>
        <v>264</v>
      </c>
      <c r="T57" s="150">
        <v>16.0</v>
      </c>
      <c r="U57" s="150">
        <f>G57+M57+Q57</f>
        <v>177</v>
      </c>
      <c r="V57" s="152">
        <f t="shared" si="17"/>
        <v>184.5</v>
      </c>
      <c r="W57" s="150">
        <f t="shared" si="18"/>
        <v>274</v>
      </c>
      <c r="X57" s="150">
        <v>244.0</v>
      </c>
      <c r="Y57" s="150">
        <v>30.0</v>
      </c>
      <c r="Z57" s="153">
        <f t="shared" si="19"/>
        <v>89.05109489</v>
      </c>
      <c r="AA57" s="150">
        <v>151.0</v>
      </c>
      <c r="AB57" s="107" t="str">
        <f t="shared" si="20"/>
        <v>12.6</v>
      </c>
    </row>
    <row r="58">
      <c r="B58" s="154">
        <v>6.0</v>
      </c>
      <c r="C58" s="155" t="str">
        <f t="shared" si="11"/>
        <v>강릉여고</v>
      </c>
      <c r="D58" s="156"/>
      <c r="E58" s="88">
        <f t="shared" si="12"/>
        <v>3</v>
      </c>
      <c r="F58" s="88">
        <f t="shared" si="13"/>
        <v>13</v>
      </c>
      <c r="G58" s="88">
        <v>151.0</v>
      </c>
      <c r="H58" s="88">
        <v>140.0</v>
      </c>
      <c r="I58" s="88">
        <v>208.0</v>
      </c>
      <c r="J58" s="88">
        <v>59.0</v>
      </c>
      <c r="K58" s="157">
        <f t="shared" si="14"/>
        <v>418</v>
      </c>
      <c r="L58" s="91">
        <f t="shared" si="15"/>
        <v>0.22</v>
      </c>
      <c r="M58" s="88">
        <v>11.0</v>
      </c>
      <c r="N58" s="88">
        <v>1.0</v>
      </c>
      <c r="O58" s="88">
        <v>7.0</v>
      </c>
      <c r="P58" s="88">
        <v>217.0</v>
      </c>
      <c r="Q58" s="88">
        <v>21.0</v>
      </c>
      <c r="R58" s="88">
        <v>27.0</v>
      </c>
      <c r="S58" s="157">
        <f t="shared" si="16"/>
        <v>265</v>
      </c>
      <c r="T58" s="88">
        <v>6.0</v>
      </c>
      <c r="U58" s="88">
        <f t="shared" ref="U58:U61" si="21">Q58+M58+G58</f>
        <v>183</v>
      </c>
      <c r="V58" s="89">
        <f t="shared" si="17"/>
        <v>188.25</v>
      </c>
      <c r="W58" s="88">
        <f t="shared" si="18"/>
        <v>258</v>
      </c>
      <c r="X58" s="88">
        <v>225.0</v>
      </c>
      <c r="Y58" s="88">
        <v>33.0</v>
      </c>
      <c r="Z58" s="158">
        <f t="shared" si="19"/>
        <v>87.20930233</v>
      </c>
      <c r="AA58" s="88">
        <v>186.0</v>
      </c>
      <c r="AB58" s="91" t="str">
        <f t="shared" si="20"/>
        <v>14.3</v>
      </c>
    </row>
    <row r="59">
      <c r="B59" s="147">
        <v>7.0</v>
      </c>
      <c r="C59" s="148" t="str">
        <f t="shared" si="11"/>
        <v>전주근영</v>
      </c>
      <c r="D59" s="149"/>
      <c r="E59" s="150">
        <f t="shared" si="12"/>
        <v>2</v>
      </c>
      <c r="F59" s="150">
        <f t="shared" si="13"/>
        <v>7</v>
      </c>
      <c r="G59" s="150">
        <v>79.0</v>
      </c>
      <c r="H59" s="150">
        <v>70.0</v>
      </c>
      <c r="I59" s="150">
        <v>106.0</v>
      </c>
      <c r="J59" s="150">
        <v>41.0</v>
      </c>
      <c r="K59" s="151">
        <f t="shared" si="14"/>
        <v>226</v>
      </c>
      <c r="L59" s="107">
        <f t="shared" si="15"/>
        <v>0.17</v>
      </c>
      <c r="M59" s="150">
        <v>12.0</v>
      </c>
      <c r="N59" s="150">
        <v>0.0</v>
      </c>
      <c r="O59" s="150">
        <v>6.0</v>
      </c>
      <c r="P59" s="150">
        <v>126.0</v>
      </c>
      <c r="Q59" s="150">
        <v>12.0</v>
      </c>
      <c r="R59" s="150">
        <v>18.0</v>
      </c>
      <c r="S59" s="151">
        <f t="shared" si="16"/>
        <v>156</v>
      </c>
      <c r="T59" s="150">
        <v>8.0</v>
      </c>
      <c r="U59" s="150">
        <f t="shared" si="21"/>
        <v>103</v>
      </c>
      <c r="V59" s="152">
        <f t="shared" si="17"/>
        <v>107.5</v>
      </c>
      <c r="W59" s="150">
        <f t="shared" si="18"/>
        <v>148</v>
      </c>
      <c r="X59" s="150">
        <v>132.0</v>
      </c>
      <c r="Y59" s="150">
        <v>16.0</v>
      </c>
      <c r="Z59" s="153">
        <f t="shared" si="19"/>
        <v>89.18918919</v>
      </c>
      <c r="AA59" s="150">
        <v>84.0</v>
      </c>
      <c r="AB59" s="107" t="str">
        <f t="shared" si="20"/>
        <v>12.0</v>
      </c>
    </row>
    <row r="60">
      <c r="B60" s="154">
        <v>8.0</v>
      </c>
      <c r="C60" s="155" t="str">
        <f t="shared" si="11"/>
        <v>세화여고</v>
      </c>
      <c r="D60" s="156"/>
      <c r="E60" s="88">
        <f t="shared" si="12"/>
        <v>2</v>
      </c>
      <c r="F60" s="88">
        <f t="shared" si="13"/>
        <v>7</v>
      </c>
      <c r="G60" s="88">
        <v>84.0</v>
      </c>
      <c r="H60" s="88">
        <v>80.0</v>
      </c>
      <c r="I60" s="88">
        <v>157.0</v>
      </c>
      <c r="J60" s="88">
        <v>39.0</v>
      </c>
      <c r="K60" s="157">
        <f t="shared" si="14"/>
        <v>280</v>
      </c>
      <c r="L60" s="91">
        <f t="shared" si="15"/>
        <v>0.16</v>
      </c>
      <c r="M60" s="88">
        <v>15.0</v>
      </c>
      <c r="N60" s="88">
        <v>1.0</v>
      </c>
      <c r="O60" s="88">
        <v>12.0</v>
      </c>
      <c r="P60" s="88">
        <v>121.0</v>
      </c>
      <c r="Q60" s="88">
        <v>10.0</v>
      </c>
      <c r="R60" s="88">
        <v>18.0</v>
      </c>
      <c r="S60" s="157">
        <f t="shared" si="16"/>
        <v>149</v>
      </c>
      <c r="T60" s="88">
        <v>1.0</v>
      </c>
      <c r="U60" s="88">
        <f t="shared" si="21"/>
        <v>109</v>
      </c>
      <c r="V60" s="89">
        <f t="shared" si="17"/>
        <v>118</v>
      </c>
      <c r="W60" s="88">
        <f t="shared" si="18"/>
        <v>155</v>
      </c>
      <c r="X60" s="88">
        <v>137.0</v>
      </c>
      <c r="Y60" s="88">
        <v>18.0</v>
      </c>
      <c r="Z60" s="158">
        <f t="shared" si="19"/>
        <v>88.38709677</v>
      </c>
      <c r="AA60" s="88">
        <v>140.0</v>
      </c>
      <c r="AB60" s="91" t="str">
        <f t="shared" si="20"/>
        <v>20.0</v>
      </c>
    </row>
    <row r="61">
      <c r="B61" s="147">
        <v>9.0</v>
      </c>
      <c r="C61" s="148" t="str">
        <f t="shared" si="11"/>
        <v>제천여고</v>
      </c>
      <c r="D61" s="149"/>
      <c r="E61" s="150">
        <f t="shared" si="12"/>
        <v>2</v>
      </c>
      <c r="F61" s="150">
        <f t="shared" si="13"/>
        <v>6</v>
      </c>
      <c r="G61" s="150">
        <v>34.0</v>
      </c>
      <c r="H61" s="150">
        <v>31.0</v>
      </c>
      <c r="I61" s="150">
        <v>61.0</v>
      </c>
      <c r="J61" s="150">
        <v>47.0</v>
      </c>
      <c r="K61" s="151">
        <f t="shared" si="14"/>
        <v>142</v>
      </c>
      <c r="L61" s="107">
        <f t="shared" si="15"/>
        <v>-0.09</v>
      </c>
      <c r="M61" s="150">
        <v>7.0</v>
      </c>
      <c r="N61" s="150">
        <v>1.0</v>
      </c>
      <c r="O61" s="150">
        <v>5.0</v>
      </c>
      <c r="P61" s="150">
        <v>61.0</v>
      </c>
      <c r="Q61" s="150">
        <v>7.0</v>
      </c>
      <c r="R61" s="150">
        <v>13.0</v>
      </c>
      <c r="S61" s="151">
        <f t="shared" si="16"/>
        <v>81</v>
      </c>
      <c r="T61" s="150">
        <v>3.0</v>
      </c>
      <c r="U61" s="150">
        <f t="shared" si="21"/>
        <v>48</v>
      </c>
      <c r="V61" s="152">
        <f t="shared" si="17"/>
        <v>51.75</v>
      </c>
      <c r="W61" s="150">
        <f t="shared" si="18"/>
        <v>136</v>
      </c>
      <c r="X61" s="150">
        <v>114.0</v>
      </c>
      <c r="Y61" s="150">
        <v>22.0</v>
      </c>
      <c r="Z61" s="153">
        <f t="shared" si="19"/>
        <v>83.82352941</v>
      </c>
      <c r="AA61" s="150">
        <v>39.0</v>
      </c>
      <c r="AB61" s="107" t="str">
        <f t="shared" si="20"/>
        <v>6.5</v>
      </c>
    </row>
    <row r="62">
      <c r="B62" s="96">
        <v>10.0</v>
      </c>
      <c r="C62" s="97" t="str">
        <f t="shared" si="11"/>
        <v/>
      </c>
      <c r="D62" s="7"/>
      <c r="E62" s="105"/>
      <c r="F62" s="105"/>
      <c r="G62" s="105"/>
      <c r="H62" s="105"/>
      <c r="I62" s="105"/>
      <c r="J62" s="105"/>
      <c r="K62" s="98"/>
      <c r="L62" s="99"/>
      <c r="M62" s="105"/>
      <c r="N62" s="105"/>
      <c r="O62" s="105"/>
      <c r="P62" s="105"/>
      <c r="Q62" s="105"/>
      <c r="R62" s="105"/>
      <c r="S62" s="100"/>
      <c r="T62" s="105"/>
      <c r="U62" s="101"/>
      <c r="V62" s="102"/>
      <c r="W62" s="101"/>
      <c r="X62" s="105"/>
      <c r="Y62" s="105"/>
      <c r="Z62" s="106"/>
      <c r="AA62" s="105"/>
      <c r="AB62" s="103"/>
    </row>
  </sheetData>
  <mergeCells count="50">
    <mergeCell ref="L4:M4"/>
    <mergeCell ref="N4:O4"/>
    <mergeCell ref="A1:AB1"/>
    <mergeCell ref="B3:C3"/>
    <mergeCell ref="R3:S3"/>
    <mergeCell ref="B4:B5"/>
    <mergeCell ref="C4:D5"/>
    <mergeCell ref="E4:E5"/>
    <mergeCell ref="F4:G4"/>
    <mergeCell ref="P4:S5"/>
    <mergeCell ref="H4:I4"/>
    <mergeCell ref="J4:K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9:C19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C58:D58"/>
    <mergeCell ref="C59:D59"/>
    <mergeCell ref="C60:D60"/>
    <mergeCell ref="C61:D61"/>
    <mergeCell ref="C62:D62"/>
    <mergeCell ref="B51:C51"/>
    <mergeCell ref="C52:D52"/>
    <mergeCell ref="C53:D53"/>
    <mergeCell ref="C54:D54"/>
    <mergeCell ref="C55:D55"/>
    <mergeCell ref="C56:D56"/>
    <mergeCell ref="C57:D57"/>
  </mergeCells>
  <conditionalFormatting sqref="L21 L23 L25 L27 L29 L31 L33 L35 L37 L39 L41 L43 L45 L47 L53:L61">
    <cfRule type="cellIs" dxfId="3" priority="1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3.88"/>
    <col customWidth="1" min="3" max="3" width="10.88"/>
    <col customWidth="1" min="4" max="4" width="11.13"/>
    <col customWidth="1" min="5" max="28" width="6.25"/>
  </cols>
  <sheetData>
    <row r="1">
      <c r="A1" s="1" t="s">
        <v>252</v>
      </c>
    </row>
    <row r="3">
      <c r="B3" s="47" t="s">
        <v>220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108">
        <v>46113.0</v>
      </c>
    </row>
    <row r="4">
      <c r="B4" s="159" t="s">
        <v>3</v>
      </c>
      <c r="C4" s="160" t="s">
        <v>4</v>
      </c>
      <c r="D4" s="51"/>
      <c r="E4" s="161" t="s">
        <v>221</v>
      </c>
      <c r="F4" s="162" t="s">
        <v>222</v>
      </c>
      <c r="H4" s="162" t="s">
        <v>223</v>
      </c>
      <c r="J4" s="162" t="s">
        <v>224</v>
      </c>
      <c r="L4" s="162" t="s">
        <v>225</v>
      </c>
      <c r="N4" s="162" t="s">
        <v>226</v>
      </c>
      <c r="P4" s="163"/>
      <c r="Q4" s="163"/>
      <c r="R4" s="163"/>
      <c r="S4" s="163"/>
    </row>
    <row r="5">
      <c r="B5" s="55"/>
      <c r="C5" s="56"/>
      <c r="D5" s="57"/>
      <c r="E5" s="55"/>
      <c r="F5" s="164" t="s">
        <v>227</v>
      </c>
      <c r="G5" s="164" t="s">
        <v>228</v>
      </c>
      <c r="H5" s="165" t="s">
        <v>227</v>
      </c>
      <c r="I5" s="165" t="s">
        <v>228</v>
      </c>
      <c r="J5" s="165" t="s">
        <v>229</v>
      </c>
      <c r="K5" s="165" t="s">
        <v>230</v>
      </c>
      <c r="L5" s="165" t="s">
        <v>231</v>
      </c>
      <c r="M5" s="165" t="s">
        <v>232</v>
      </c>
      <c r="N5" s="165" t="s">
        <v>231</v>
      </c>
      <c r="O5" s="165" t="s">
        <v>232</v>
      </c>
      <c r="P5" s="166" t="s">
        <v>233</v>
      </c>
      <c r="Q5" s="61"/>
      <c r="R5" s="61"/>
      <c r="S5" s="7"/>
    </row>
    <row r="6">
      <c r="B6" s="62">
        <v>1.0</v>
      </c>
      <c r="C6" s="68" t="s">
        <v>100</v>
      </c>
      <c r="D6" s="7"/>
      <c r="E6" s="64">
        <v>4.0</v>
      </c>
      <c r="F6" s="64">
        <v>4.0</v>
      </c>
      <c r="G6" s="64">
        <v>0.0</v>
      </c>
      <c r="H6" s="64">
        <v>12.0</v>
      </c>
      <c r="I6" s="64">
        <v>0.0</v>
      </c>
      <c r="J6" s="64">
        <v>303.0</v>
      </c>
      <c r="K6" s="64">
        <v>219.0</v>
      </c>
      <c r="L6" s="65">
        <f t="shared" ref="L6:L12" si="1">J6/E6</f>
        <v>75.75</v>
      </c>
      <c r="M6" s="65">
        <f t="shared" ref="M6:M12" si="2">K6/E6</f>
        <v>54.75</v>
      </c>
      <c r="N6" s="66">
        <f t="shared" ref="N6:N12" si="3">J6/(H6+I6)</f>
        <v>25.25</v>
      </c>
      <c r="O6" s="66">
        <f t="shared" ref="O6:O12" si="4">K6/(I6+H6)</f>
        <v>18.25</v>
      </c>
      <c r="P6" s="67" t="s">
        <v>253</v>
      </c>
      <c r="Q6" s="61"/>
      <c r="R6" s="61"/>
      <c r="S6" s="7"/>
    </row>
    <row r="7">
      <c r="B7" s="62">
        <v>2.0</v>
      </c>
      <c r="C7" s="68" t="s">
        <v>173</v>
      </c>
      <c r="D7" s="7"/>
      <c r="E7" s="64">
        <v>2.0</v>
      </c>
      <c r="F7" s="64">
        <v>1.0</v>
      </c>
      <c r="G7" s="64">
        <v>1.0</v>
      </c>
      <c r="H7" s="64">
        <v>3.0</v>
      </c>
      <c r="I7" s="64">
        <v>5.0</v>
      </c>
      <c r="J7" s="64">
        <v>144.0</v>
      </c>
      <c r="K7" s="64">
        <v>179.0</v>
      </c>
      <c r="L7" s="65">
        <f t="shared" si="1"/>
        <v>72</v>
      </c>
      <c r="M7" s="65">
        <f t="shared" si="2"/>
        <v>89.5</v>
      </c>
      <c r="N7" s="66">
        <f t="shared" si="3"/>
        <v>18</v>
      </c>
      <c r="O7" s="66">
        <f t="shared" si="4"/>
        <v>22.375</v>
      </c>
      <c r="P7" s="69"/>
      <c r="Q7" s="61"/>
      <c r="R7" s="61"/>
      <c r="S7" s="7"/>
    </row>
    <row r="8">
      <c r="B8" s="62">
        <v>3.0</v>
      </c>
      <c r="C8" s="68" t="s">
        <v>127</v>
      </c>
      <c r="D8" s="7"/>
      <c r="E8" s="64">
        <v>4.0</v>
      </c>
      <c r="F8" s="64">
        <v>2.0</v>
      </c>
      <c r="G8" s="64">
        <v>2.0</v>
      </c>
      <c r="H8" s="64">
        <v>7.0</v>
      </c>
      <c r="I8" s="64">
        <v>6.0</v>
      </c>
      <c r="J8" s="64">
        <v>281.0</v>
      </c>
      <c r="K8" s="64">
        <v>276.0</v>
      </c>
      <c r="L8" s="65">
        <f t="shared" si="1"/>
        <v>70.25</v>
      </c>
      <c r="M8" s="65">
        <f t="shared" si="2"/>
        <v>69</v>
      </c>
      <c r="N8" s="66">
        <f t="shared" si="3"/>
        <v>21.61538462</v>
      </c>
      <c r="O8" s="66">
        <f t="shared" si="4"/>
        <v>21.23076923</v>
      </c>
      <c r="P8" s="69"/>
      <c r="Q8" s="61"/>
      <c r="R8" s="61"/>
      <c r="S8" s="7"/>
    </row>
    <row r="9">
      <c r="B9" s="62">
        <v>4.0</v>
      </c>
      <c r="C9" s="68" t="s">
        <v>188</v>
      </c>
      <c r="D9" s="7"/>
      <c r="E9" s="64">
        <v>5.0</v>
      </c>
      <c r="F9" s="64">
        <v>3.0</v>
      </c>
      <c r="G9" s="64">
        <v>2.0</v>
      </c>
      <c r="H9" s="64">
        <v>9.0</v>
      </c>
      <c r="I9" s="64">
        <v>9.0</v>
      </c>
      <c r="J9" s="64">
        <v>403.0</v>
      </c>
      <c r="K9" s="64">
        <v>370.0</v>
      </c>
      <c r="L9" s="65">
        <f t="shared" si="1"/>
        <v>80.6</v>
      </c>
      <c r="M9" s="65">
        <f t="shared" si="2"/>
        <v>74</v>
      </c>
      <c r="N9" s="66">
        <f t="shared" si="3"/>
        <v>22.38888889</v>
      </c>
      <c r="O9" s="66">
        <f t="shared" si="4"/>
        <v>20.55555556</v>
      </c>
      <c r="P9" s="67" t="s">
        <v>254</v>
      </c>
      <c r="Q9" s="61"/>
      <c r="R9" s="61"/>
      <c r="S9" s="7"/>
    </row>
    <row r="10">
      <c r="B10" s="62">
        <v>5.0</v>
      </c>
      <c r="C10" s="68" t="s">
        <v>83</v>
      </c>
      <c r="D10" s="7"/>
      <c r="E10" s="64">
        <v>3.0</v>
      </c>
      <c r="F10" s="64">
        <v>0.0</v>
      </c>
      <c r="G10" s="64">
        <v>3.0</v>
      </c>
      <c r="H10" s="64">
        <v>4.0</v>
      </c>
      <c r="I10" s="64">
        <v>9.0</v>
      </c>
      <c r="J10" s="64">
        <v>256.0</v>
      </c>
      <c r="K10" s="64">
        <v>276.0</v>
      </c>
      <c r="L10" s="65">
        <f t="shared" si="1"/>
        <v>85.33333333</v>
      </c>
      <c r="M10" s="65">
        <f t="shared" si="2"/>
        <v>92</v>
      </c>
      <c r="N10" s="66">
        <f t="shared" si="3"/>
        <v>19.69230769</v>
      </c>
      <c r="O10" s="66">
        <f t="shared" si="4"/>
        <v>21.23076923</v>
      </c>
      <c r="P10" s="69"/>
      <c r="Q10" s="61"/>
      <c r="R10" s="61"/>
      <c r="S10" s="7"/>
    </row>
    <row r="11">
      <c r="B11" s="62">
        <v>6.0</v>
      </c>
      <c r="C11" s="68" t="s">
        <v>201</v>
      </c>
      <c r="D11" s="7"/>
      <c r="E11" s="64">
        <v>3.0</v>
      </c>
      <c r="F11" s="64">
        <v>2.0</v>
      </c>
      <c r="G11" s="64">
        <v>1.0</v>
      </c>
      <c r="H11" s="64">
        <v>6.0</v>
      </c>
      <c r="I11" s="64">
        <v>3.0</v>
      </c>
      <c r="J11" s="64">
        <v>207.0</v>
      </c>
      <c r="K11" s="64">
        <v>182.0</v>
      </c>
      <c r="L11" s="65">
        <f t="shared" si="1"/>
        <v>69</v>
      </c>
      <c r="M11" s="65">
        <f t="shared" si="2"/>
        <v>60.66666667</v>
      </c>
      <c r="N11" s="66">
        <f t="shared" si="3"/>
        <v>23</v>
      </c>
      <c r="O11" s="66">
        <f t="shared" si="4"/>
        <v>20.22222222</v>
      </c>
      <c r="P11" s="69"/>
      <c r="Q11" s="61"/>
      <c r="R11" s="61"/>
      <c r="S11" s="7"/>
    </row>
    <row r="12">
      <c r="B12" s="62">
        <v>7.0</v>
      </c>
      <c r="C12" s="68" t="s">
        <v>162</v>
      </c>
      <c r="D12" s="7"/>
      <c r="E12" s="64">
        <v>3.0</v>
      </c>
      <c r="F12" s="64">
        <v>0.0</v>
      </c>
      <c r="G12" s="64">
        <v>3.0</v>
      </c>
      <c r="H12" s="64">
        <v>0.0</v>
      </c>
      <c r="I12" s="64">
        <v>9.0</v>
      </c>
      <c r="J12" s="64">
        <v>133.0</v>
      </c>
      <c r="K12" s="64">
        <v>225.0</v>
      </c>
      <c r="L12" s="65">
        <f t="shared" si="1"/>
        <v>44.33333333</v>
      </c>
      <c r="M12" s="65">
        <f t="shared" si="2"/>
        <v>75</v>
      </c>
      <c r="N12" s="66">
        <f t="shared" si="3"/>
        <v>14.77777778</v>
      </c>
      <c r="O12" s="66">
        <f t="shared" si="4"/>
        <v>25</v>
      </c>
      <c r="P12" s="69"/>
      <c r="Q12" s="61"/>
      <c r="R12" s="61"/>
      <c r="S12" s="7"/>
    </row>
    <row r="13">
      <c r="B13" s="62">
        <v>8.0</v>
      </c>
      <c r="C13" s="68"/>
      <c r="D13" s="7"/>
      <c r="E13" s="64"/>
      <c r="F13" s="64"/>
      <c r="G13" s="64"/>
      <c r="H13" s="64"/>
      <c r="I13" s="64"/>
      <c r="J13" s="64"/>
      <c r="K13" s="64"/>
      <c r="L13" s="72"/>
      <c r="M13" s="72"/>
      <c r="N13" s="73"/>
      <c r="O13" s="73"/>
      <c r="P13" s="69"/>
      <c r="Q13" s="61"/>
      <c r="R13" s="61"/>
      <c r="S13" s="7"/>
    </row>
    <row r="14">
      <c r="B14" s="62">
        <v>9.0</v>
      </c>
      <c r="C14" s="68"/>
      <c r="D14" s="7"/>
      <c r="E14" s="64"/>
      <c r="F14" s="64"/>
      <c r="G14" s="64"/>
      <c r="H14" s="64"/>
      <c r="I14" s="64"/>
      <c r="J14" s="64"/>
      <c r="K14" s="64"/>
      <c r="L14" s="72"/>
      <c r="M14" s="72"/>
      <c r="N14" s="73"/>
      <c r="O14" s="73"/>
      <c r="P14" s="69"/>
      <c r="Q14" s="61"/>
      <c r="R14" s="61"/>
      <c r="S14" s="7"/>
    </row>
    <row r="15">
      <c r="B15" s="62">
        <v>10.0</v>
      </c>
      <c r="C15" s="68"/>
      <c r="D15" s="7"/>
      <c r="E15" s="64"/>
      <c r="F15" s="70"/>
      <c r="G15" s="70"/>
      <c r="H15" s="70"/>
      <c r="I15" s="70"/>
      <c r="J15" s="71"/>
      <c r="K15" s="71"/>
      <c r="L15" s="72"/>
      <c r="M15" s="70"/>
      <c r="N15" s="73"/>
      <c r="O15" s="73"/>
      <c r="P15" s="69"/>
      <c r="Q15" s="61"/>
      <c r="R15" s="61"/>
      <c r="S15" s="7"/>
    </row>
    <row r="16">
      <c r="B16" s="74"/>
      <c r="C16" s="75" t="s">
        <v>236</v>
      </c>
      <c r="D16" s="7"/>
      <c r="E16" s="72">
        <f t="shared" ref="E16:O16" si="5">SUM(E6:E15)</f>
        <v>24</v>
      </c>
      <c r="F16" s="72">
        <f t="shared" si="5"/>
        <v>12</v>
      </c>
      <c r="G16" s="72">
        <f t="shared" si="5"/>
        <v>12</v>
      </c>
      <c r="H16" s="72">
        <f t="shared" si="5"/>
        <v>41</v>
      </c>
      <c r="I16" s="72">
        <f t="shared" si="5"/>
        <v>41</v>
      </c>
      <c r="J16" s="76">
        <f t="shared" si="5"/>
        <v>1727</v>
      </c>
      <c r="K16" s="76">
        <f t="shared" si="5"/>
        <v>1727</v>
      </c>
      <c r="L16" s="65">
        <f t="shared" si="5"/>
        <v>497.2666667</v>
      </c>
      <c r="M16" s="65">
        <f t="shared" si="5"/>
        <v>514.9166667</v>
      </c>
      <c r="N16" s="65">
        <f t="shared" si="5"/>
        <v>144.724359</v>
      </c>
      <c r="O16" s="65">
        <f t="shared" si="5"/>
        <v>148.8643162</v>
      </c>
      <c r="P16" s="69"/>
      <c r="Q16" s="61"/>
      <c r="R16" s="61"/>
      <c r="S16" s="7"/>
    </row>
    <row r="19">
      <c r="A19" s="77"/>
      <c r="B19" s="78" t="s">
        <v>245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</row>
    <row r="20">
      <c r="A20" s="77"/>
      <c r="B20" s="79" t="s">
        <v>3</v>
      </c>
      <c r="C20" s="79" t="s">
        <v>246</v>
      </c>
      <c r="D20" s="79" t="s">
        <v>4</v>
      </c>
      <c r="E20" s="167" t="s">
        <v>238</v>
      </c>
      <c r="F20" s="10" t="s">
        <v>13</v>
      </c>
      <c r="G20" s="10" t="s">
        <v>14</v>
      </c>
      <c r="H20" s="10" t="s">
        <v>15</v>
      </c>
      <c r="I20" s="10" t="s">
        <v>16</v>
      </c>
      <c r="J20" s="10" t="s">
        <v>17</v>
      </c>
      <c r="K20" s="11" t="s">
        <v>18</v>
      </c>
      <c r="L20" s="13" t="s">
        <v>255</v>
      </c>
      <c r="M20" s="10" t="s">
        <v>20</v>
      </c>
      <c r="N20" s="10" t="s">
        <v>21</v>
      </c>
      <c r="O20" s="10" t="s">
        <v>22</v>
      </c>
      <c r="P20" s="10" t="s">
        <v>23</v>
      </c>
      <c r="Q20" s="10" t="s">
        <v>24</v>
      </c>
      <c r="R20" s="10" t="s">
        <v>25</v>
      </c>
      <c r="S20" s="11" t="s">
        <v>26</v>
      </c>
      <c r="T20" s="10" t="s">
        <v>27</v>
      </c>
      <c r="U20" s="11" t="s">
        <v>28</v>
      </c>
      <c r="V20" s="11" t="s">
        <v>256</v>
      </c>
      <c r="W20" s="11" t="s">
        <v>30</v>
      </c>
      <c r="X20" s="10" t="s">
        <v>31</v>
      </c>
      <c r="Y20" s="10" t="s">
        <v>32</v>
      </c>
      <c r="Z20" s="11" t="s">
        <v>33</v>
      </c>
      <c r="AA20" s="10" t="s">
        <v>34</v>
      </c>
      <c r="AB20" s="13" t="s">
        <v>35</v>
      </c>
    </row>
    <row r="21">
      <c r="A21" s="77"/>
      <c r="B21" s="123">
        <v>1.0</v>
      </c>
      <c r="C21" s="124" t="s">
        <v>257</v>
      </c>
      <c r="D21" s="125" t="s">
        <v>100</v>
      </c>
      <c r="E21" s="126"/>
      <c r="F21" s="127">
        <v>3.0</v>
      </c>
      <c r="G21" s="127">
        <v>38.0</v>
      </c>
      <c r="H21" s="127">
        <v>36.0</v>
      </c>
      <c r="I21" s="127">
        <v>36.0</v>
      </c>
      <c r="J21" s="127">
        <v>15.0</v>
      </c>
      <c r="K21" s="128">
        <f>if(J21+I21+G21=0,"-",J21+I21+G21)</f>
        <v>89</v>
      </c>
      <c r="L21" s="129">
        <f>if(iferror((G21-J21)/K21,0)=0,"-",round((G21-J21)/K21,2))</f>
        <v>0.26</v>
      </c>
      <c r="M21" s="127">
        <v>7.0</v>
      </c>
      <c r="N21" s="127">
        <v>0.0</v>
      </c>
      <c r="O21" s="127">
        <v>6.0</v>
      </c>
      <c r="P21" s="127">
        <v>64.0</v>
      </c>
      <c r="Q21" s="127">
        <v>8.0</v>
      </c>
      <c r="R21" s="127">
        <v>3.0</v>
      </c>
      <c r="S21" s="130">
        <f t="shared" ref="S21:S44" si="6">IF(R21+Q21+P21=0,"-",R21+Q21+P21)</f>
        <v>75</v>
      </c>
      <c r="T21" s="127">
        <v>1.0</v>
      </c>
      <c r="U21" s="131">
        <f>G21+M21+Q21</f>
        <v>53</v>
      </c>
      <c r="V21" s="132">
        <f t="shared" ref="V21:V44" si="7">U21+O21*0.75</f>
        <v>57.5</v>
      </c>
      <c r="W21" s="131">
        <f t="shared" ref="W21:W44" si="8">X21+Y21</f>
        <v>42</v>
      </c>
      <c r="X21" s="127">
        <v>41.0</v>
      </c>
      <c r="Y21" s="127">
        <v>1.0</v>
      </c>
      <c r="Z21" s="133">
        <f t="shared" ref="Z21:Z44" si="9">iferror((X21/W21)*100,"-")</f>
        <v>97.61904762</v>
      </c>
      <c r="AA21" s="127">
        <v>40.0</v>
      </c>
      <c r="AB21" s="134" t="str">
        <f t="shared" ref="AB21:AB44" si="10">IFERROR(IF(MOD(AA21/F21, 1)=0, TEXT(AA21/F21, "0.0"), TEXT(AA21/F21, "0.0")), "-")</f>
        <v>13.3</v>
      </c>
    </row>
    <row r="22">
      <c r="A22" s="77"/>
      <c r="B22" s="55"/>
      <c r="C22" s="135" t="s">
        <v>257</v>
      </c>
      <c r="D22" s="136" t="s">
        <v>173</v>
      </c>
      <c r="E22" s="137"/>
      <c r="F22" s="138">
        <v>3.0</v>
      </c>
      <c r="G22" s="138">
        <v>31.0</v>
      </c>
      <c r="H22" s="138">
        <v>31.0</v>
      </c>
      <c r="I22" s="138">
        <v>44.0</v>
      </c>
      <c r="J22" s="138">
        <v>15.0</v>
      </c>
      <c r="K22" s="139">
        <f>G22+I22+J22</f>
        <v>90</v>
      </c>
      <c r="L22" s="140">
        <f>(G22+J22)/K22</f>
        <v>0.5111111111</v>
      </c>
      <c r="M22" s="138">
        <v>9.0</v>
      </c>
      <c r="N22" s="138">
        <v>0.0</v>
      </c>
      <c r="O22" s="138">
        <v>7.0</v>
      </c>
      <c r="P22" s="138">
        <v>41.0</v>
      </c>
      <c r="Q22" s="138">
        <v>0.0</v>
      </c>
      <c r="R22" s="138">
        <v>10.0</v>
      </c>
      <c r="S22" s="141">
        <f t="shared" si="6"/>
        <v>51</v>
      </c>
      <c r="T22" s="138">
        <v>4.0</v>
      </c>
      <c r="U22" s="142">
        <f>Q22+M22+G22</f>
        <v>40</v>
      </c>
      <c r="V22" s="143">
        <f t="shared" si="7"/>
        <v>45.25</v>
      </c>
      <c r="W22" s="142">
        <f t="shared" si="8"/>
        <v>75</v>
      </c>
      <c r="X22" s="138">
        <v>64.0</v>
      </c>
      <c r="Y22" s="138">
        <v>11.0</v>
      </c>
      <c r="Z22" s="144">
        <f t="shared" si="9"/>
        <v>85.33333333</v>
      </c>
      <c r="AA22" s="138">
        <v>26.0</v>
      </c>
      <c r="AB22" s="145" t="str">
        <f t="shared" si="10"/>
        <v>8.7</v>
      </c>
    </row>
    <row r="23">
      <c r="A23" s="77"/>
      <c r="B23" s="123">
        <v>2.0</v>
      </c>
      <c r="C23" s="124" t="s">
        <v>258</v>
      </c>
      <c r="D23" s="125" t="s">
        <v>127</v>
      </c>
      <c r="E23" s="126"/>
      <c r="F23" s="127">
        <v>4.0</v>
      </c>
      <c r="G23" s="127">
        <v>51.0</v>
      </c>
      <c r="H23" s="127">
        <v>49.0</v>
      </c>
      <c r="I23" s="127">
        <v>73.0</v>
      </c>
      <c r="J23" s="127">
        <v>13.0</v>
      </c>
      <c r="K23" s="128">
        <f>if(J23+I23+G23=0,"-",J23+I23+G23)</f>
        <v>137</v>
      </c>
      <c r="L23" s="129">
        <f>if(iferror((G23-J23)/K23,0)=0,"-",round((G23-J23)/K23,2))</f>
        <v>0.28</v>
      </c>
      <c r="M23" s="127">
        <v>3.0</v>
      </c>
      <c r="N23" s="127">
        <v>1.0</v>
      </c>
      <c r="O23" s="127">
        <v>3.0</v>
      </c>
      <c r="P23" s="127">
        <v>63.0</v>
      </c>
      <c r="Q23" s="127">
        <v>4.0</v>
      </c>
      <c r="R23" s="127">
        <v>11.0</v>
      </c>
      <c r="S23" s="130">
        <f t="shared" si="6"/>
        <v>78</v>
      </c>
      <c r="T23" s="127">
        <v>1.0</v>
      </c>
      <c r="U23" s="131">
        <f>G23+M23+Q23</f>
        <v>58</v>
      </c>
      <c r="V23" s="132">
        <f t="shared" si="7"/>
        <v>60.25</v>
      </c>
      <c r="W23" s="131">
        <f t="shared" si="8"/>
        <v>85</v>
      </c>
      <c r="X23" s="127">
        <v>76.0</v>
      </c>
      <c r="Y23" s="127">
        <v>9.0</v>
      </c>
      <c r="Z23" s="133">
        <f t="shared" si="9"/>
        <v>89.41176471</v>
      </c>
      <c r="AA23" s="127">
        <v>50.0</v>
      </c>
      <c r="AB23" s="134" t="str">
        <f t="shared" si="10"/>
        <v>12.5</v>
      </c>
    </row>
    <row r="24">
      <c r="A24" s="77"/>
      <c r="B24" s="55"/>
      <c r="C24" s="135" t="s">
        <v>258</v>
      </c>
      <c r="D24" s="136" t="s">
        <v>188</v>
      </c>
      <c r="E24" s="137"/>
      <c r="F24" s="138">
        <v>4.0</v>
      </c>
      <c r="G24" s="138">
        <v>65.0</v>
      </c>
      <c r="H24" s="138">
        <v>62.0</v>
      </c>
      <c r="I24" s="138">
        <v>60.0</v>
      </c>
      <c r="J24" s="138">
        <v>15.0</v>
      </c>
      <c r="K24" s="139">
        <f>G24+I24+J24</f>
        <v>140</v>
      </c>
      <c r="L24" s="140">
        <f>(G24+J24)/K24</f>
        <v>0.5714285714</v>
      </c>
      <c r="M24" s="138">
        <v>2.0</v>
      </c>
      <c r="N24" s="138">
        <v>2.0</v>
      </c>
      <c r="O24" s="138">
        <v>2.0</v>
      </c>
      <c r="P24" s="138">
        <v>82.0</v>
      </c>
      <c r="Q24" s="138">
        <v>8.0</v>
      </c>
      <c r="R24" s="138">
        <v>7.0</v>
      </c>
      <c r="S24" s="141">
        <f t="shared" si="6"/>
        <v>97</v>
      </c>
      <c r="T24" s="138">
        <v>0.0</v>
      </c>
      <c r="U24" s="142">
        <f>Q24+M24+G24</f>
        <v>75</v>
      </c>
      <c r="V24" s="143">
        <f t="shared" si="7"/>
        <v>76.5</v>
      </c>
      <c r="W24" s="142">
        <f t="shared" si="8"/>
        <v>61</v>
      </c>
      <c r="X24" s="138">
        <v>57.0</v>
      </c>
      <c r="Y24" s="138">
        <v>4.0</v>
      </c>
      <c r="Z24" s="144">
        <f t="shared" si="9"/>
        <v>93.44262295</v>
      </c>
      <c r="AA24" s="138">
        <v>60.0</v>
      </c>
      <c r="AB24" s="145" t="str">
        <f t="shared" si="10"/>
        <v>15.0</v>
      </c>
    </row>
    <row r="25">
      <c r="A25" s="77"/>
      <c r="B25" s="123">
        <v>3.0</v>
      </c>
      <c r="C25" s="124" t="s">
        <v>259</v>
      </c>
      <c r="D25" s="125" t="s">
        <v>83</v>
      </c>
      <c r="E25" s="126"/>
      <c r="F25" s="127">
        <v>5.0</v>
      </c>
      <c r="G25" s="127">
        <v>45.0</v>
      </c>
      <c r="H25" s="127">
        <v>45.0</v>
      </c>
      <c r="I25" s="127">
        <v>60.0</v>
      </c>
      <c r="J25" s="127">
        <v>22.0</v>
      </c>
      <c r="K25" s="128">
        <f>if(J25+I25+G25=0,"-",J25+I25+G25)</f>
        <v>127</v>
      </c>
      <c r="L25" s="129">
        <f>if(iferror((G25-J25)/K25,0)=0,"-",round((G25-J25)/K25,2))</f>
        <v>0.18</v>
      </c>
      <c r="M25" s="127">
        <v>4.0</v>
      </c>
      <c r="N25" s="127">
        <v>0.0</v>
      </c>
      <c r="O25" s="127">
        <v>0.0</v>
      </c>
      <c r="P25" s="127">
        <v>76.0</v>
      </c>
      <c r="Q25" s="127">
        <v>9.0</v>
      </c>
      <c r="R25" s="127">
        <v>8.0</v>
      </c>
      <c r="S25" s="130">
        <f t="shared" si="6"/>
        <v>93</v>
      </c>
      <c r="T25" s="127">
        <v>3.0</v>
      </c>
      <c r="U25" s="131">
        <f>G25+M25+Q25</f>
        <v>58</v>
      </c>
      <c r="V25" s="132">
        <f t="shared" si="7"/>
        <v>58</v>
      </c>
      <c r="W25" s="131">
        <f t="shared" si="8"/>
        <v>92</v>
      </c>
      <c r="X25" s="127">
        <v>76.0</v>
      </c>
      <c r="Y25" s="127">
        <v>16.0</v>
      </c>
      <c r="Z25" s="133">
        <f t="shared" si="9"/>
        <v>82.60869565</v>
      </c>
      <c r="AA25" s="127">
        <v>51.0</v>
      </c>
      <c r="AB25" s="134" t="str">
        <f t="shared" si="10"/>
        <v>10.2</v>
      </c>
    </row>
    <row r="26">
      <c r="A26" s="77"/>
      <c r="B26" s="55"/>
      <c r="C26" s="135" t="s">
        <v>259</v>
      </c>
      <c r="D26" s="136" t="s">
        <v>173</v>
      </c>
      <c r="E26" s="137"/>
      <c r="F26" s="138">
        <v>5.0</v>
      </c>
      <c r="G26" s="138">
        <v>58.0</v>
      </c>
      <c r="H26" s="138">
        <v>54.0</v>
      </c>
      <c r="I26" s="138">
        <v>59.0</v>
      </c>
      <c r="J26" s="138">
        <v>21.0</v>
      </c>
      <c r="K26" s="139">
        <f>G26+I26+J26</f>
        <v>138</v>
      </c>
      <c r="L26" s="140">
        <f>(G26+J26)/K26</f>
        <v>0.5724637681</v>
      </c>
      <c r="M26" s="138">
        <v>4.0</v>
      </c>
      <c r="N26" s="138">
        <v>0.0</v>
      </c>
      <c r="O26" s="138">
        <v>0.0</v>
      </c>
      <c r="P26" s="138">
        <v>77.0</v>
      </c>
      <c r="Q26" s="138">
        <v>13.0</v>
      </c>
      <c r="R26" s="138">
        <v>15.0</v>
      </c>
      <c r="S26" s="141">
        <f t="shared" si="6"/>
        <v>105</v>
      </c>
      <c r="T26" s="138">
        <v>4.0</v>
      </c>
      <c r="U26" s="142">
        <f>Q26+M26+G26</f>
        <v>75</v>
      </c>
      <c r="V26" s="143">
        <f t="shared" si="7"/>
        <v>75</v>
      </c>
      <c r="W26" s="142">
        <f t="shared" si="8"/>
        <v>89</v>
      </c>
      <c r="X26" s="138">
        <v>76.0</v>
      </c>
      <c r="Y26" s="138">
        <v>13.0</v>
      </c>
      <c r="Z26" s="144">
        <f t="shared" si="9"/>
        <v>85.39325843</v>
      </c>
      <c r="AA26" s="138">
        <v>45.0</v>
      </c>
      <c r="AB26" s="145" t="str">
        <f t="shared" si="10"/>
        <v>9.0</v>
      </c>
    </row>
    <row r="27">
      <c r="A27" s="77"/>
      <c r="B27" s="123">
        <v>4.0</v>
      </c>
      <c r="C27" s="124" t="s">
        <v>260</v>
      </c>
      <c r="D27" s="125" t="s">
        <v>127</v>
      </c>
      <c r="E27" s="126"/>
      <c r="F27" s="127">
        <v>3.0</v>
      </c>
      <c r="G27" s="127">
        <v>41.0</v>
      </c>
      <c r="H27" s="127">
        <v>40.0</v>
      </c>
      <c r="I27" s="127">
        <v>43.0</v>
      </c>
      <c r="J27" s="127">
        <v>6.0</v>
      </c>
      <c r="K27" s="128">
        <f>if(J27+I27+G27=0,"-",J27+I27+G27)</f>
        <v>90</v>
      </c>
      <c r="L27" s="129">
        <f>if(iferror((G27-J27)/K27,0)=0,"-",round((G27-J27)/K27,2))</f>
        <v>0.39</v>
      </c>
      <c r="M27" s="127">
        <v>5.0</v>
      </c>
      <c r="N27" s="127">
        <v>0.0</v>
      </c>
      <c r="O27" s="127">
        <v>3.0</v>
      </c>
      <c r="P27" s="127">
        <v>56.0</v>
      </c>
      <c r="Q27" s="127">
        <v>7.0</v>
      </c>
      <c r="R27" s="127">
        <v>10.0</v>
      </c>
      <c r="S27" s="130">
        <f t="shared" si="6"/>
        <v>73</v>
      </c>
      <c r="T27" s="127">
        <v>1.0</v>
      </c>
      <c r="U27" s="131">
        <f>G27+M27+Q27</f>
        <v>53</v>
      </c>
      <c r="V27" s="132">
        <f t="shared" si="7"/>
        <v>55.25</v>
      </c>
      <c r="W27" s="131">
        <f t="shared" si="8"/>
        <v>50</v>
      </c>
      <c r="X27" s="127">
        <v>45.0</v>
      </c>
      <c r="Y27" s="127">
        <v>5.0</v>
      </c>
      <c r="Z27" s="133">
        <f t="shared" si="9"/>
        <v>90</v>
      </c>
      <c r="AA27" s="127">
        <v>41.0</v>
      </c>
      <c r="AB27" s="134" t="str">
        <f t="shared" si="10"/>
        <v>13.7</v>
      </c>
    </row>
    <row r="28">
      <c r="A28" s="77"/>
      <c r="B28" s="55"/>
      <c r="C28" s="135" t="s">
        <v>260</v>
      </c>
      <c r="D28" s="136" t="s">
        <v>201</v>
      </c>
      <c r="E28" s="137"/>
      <c r="F28" s="138">
        <v>3.0</v>
      </c>
      <c r="G28" s="138">
        <v>35.0</v>
      </c>
      <c r="H28" s="138">
        <v>31.0</v>
      </c>
      <c r="I28" s="138">
        <v>43.0</v>
      </c>
      <c r="J28" s="138">
        <v>16.0</v>
      </c>
      <c r="K28" s="139">
        <f>G28+I28+J28</f>
        <v>94</v>
      </c>
      <c r="L28" s="140">
        <f>(G28+J28)/K28</f>
        <v>0.5425531915</v>
      </c>
      <c r="M28" s="138">
        <v>3.0</v>
      </c>
      <c r="N28" s="138">
        <v>0.0</v>
      </c>
      <c r="O28" s="138">
        <v>2.0</v>
      </c>
      <c r="P28" s="138">
        <v>45.0</v>
      </c>
      <c r="Q28" s="138">
        <v>4.0</v>
      </c>
      <c r="R28" s="138">
        <v>9.0</v>
      </c>
      <c r="S28" s="141">
        <f t="shared" si="6"/>
        <v>58</v>
      </c>
      <c r="T28" s="138">
        <v>2.0</v>
      </c>
      <c r="U28" s="142">
        <f>Q28+M28+G28</f>
        <v>42</v>
      </c>
      <c r="V28" s="143">
        <f t="shared" si="7"/>
        <v>43.5</v>
      </c>
      <c r="W28" s="142">
        <f t="shared" si="8"/>
        <v>65</v>
      </c>
      <c r="X28" s="138">
        <v>56.0</v>
      </c>
      <c r="Y28" s="138">
        <v>9.0</v>
      </c>
      <c r="Z28" s="144">
        <f t="shared" si="9"/>
        <v>86.15384615</v>
      </c>
      <c r="AA28" s="138">
        <v>38.0</v>
      </c>
      <c r="AB28" s="145" t="str">
        <f t="shared" si="10"/>
        <v>12.7</v>
      </c>
    </row>
    <row r="29">
      <c r="A29" s="77"/>
      <c r="B29" s="123">
        <v>5.0</v>
      </c>
      <c r="C29" s="124" t="s">
        <v>261</v>
      </c>
      <c r="D29" s="125" t="s">
        <v>188</v>
      </c>
      <c r="E29" s="126"/>
      <c r="F29" s="127">
        <v>3.0</v>
      </c>
      <c r="G29" s="127">
        <v>38.0</v>
      </c>
      <c r="H29" s="127">
        <v>34.0</v>
      </c>
      <c r="I29" s="127">
        <v>21.0</v>
      </c>
      <c r="J29" s="127">
        <v>8.0</v>
      </c>
      <c r="K29" s="128">
        <f>if(J29+I29+G29=0,"-",J29+I29+G29)</f>
        <v>67</v>
      </c>
      <c r="L29" s="129">
        <f>if(iferror((G29-J29)/K29,0)=0,"-",round((G29-J29)/K29,2))</f>
        <v>0.45</v>
      </c>
      <c r="M29" s="127">
        <v>5.0</v>
      </c>
      <c r="N29" s="127">
        <v>1.0</v>
      </c>
      <c r="O29" s="127">
        <v>5.0</v>
      </c>
      <c r="P29" s="127">
        <v>55.0</v>
      </c>
      <c r="Q29" s="127">
        <v>12.0</v>
      </c>
      <c r="R29" s="127">
        <v>7.0</v>
      </c>
      <c r="S29" s="130">
        <f t="shared" si="6"/>
        <v>74</v>
      </c>
      <c r="T29" s="127">
        <v>4.0</v>
      </c>
      <c r="U29" s="131">
        <f>G29+M29+Q29</f>
        <v>55</v>
      </c>
      <c r="V29" s="132">
        <f t="shared" si="7"/>
        <v>58.75</v>
      </c>
      <c r="W29" s="131">
        <f t="shared" si="8"/>
        <v>41</v>
      </c>
      <c r="X29" s="127">
        <v>35.0</v>
      </c>
      <c r="Y29" s="127">
        <v>6.0</v>
      </c>
      <c r="Z29" s="133">
        <f t="shared" si="9"/>
        <v>85.36585366</v>
      </c>
      <c r="AA29" s="127">
        <v>29.0</v>
      </c>
      <c r="AB29" s="134" t="str">
        <f t="shared" si="10"/>
        <v>9.7</v>
      </c>
    </row>
    <row r="30">
      <c r="A30" s="77"/>
      <c r="B30" s="55"/>
      <c r="C30" s="135" t="s">
        <v>261</v>
      </c>
      <c r="D30" s="136" t="s">
        <v>162</v>
      </c>
      <c r="E30" s="137"/>
      <c r="F30" s="138">
        <v>3.0</v>
      </c>
      <c r="G30" s="138">
        <v>23.0</v>
      </c>
      <c r="H30" s="138">
        <v>21.0</v>
      </c>
      <c r="I30" s="138">
        <v>39.0</v>
      </c>
      <c r="J30" s="138">
        <v>15.0</v>
      </c>
      <c r="K30" s="139">
        <f>G30+I30+J30</f>
        <v>77</v>
      </c>
      <c r="L30" s="140">
        <f>(G30+J30)/K30</f>
        <v>0.4935064935</v>
      </c>
      <c r="M30" s="138">
        <v>2.0</v>
      </c>
      <c r="N30" s="138">
        <v>1.0</v>
      </c>
      <c r="O30" s="138">
        <v>2.0</v>
      </c>
      <c r="P30" s="138">
        <v>35.0</v>
      </c>
      <c r="Q30" s="138">
        <v>2.0</v>
      </c>
      <c r="R30" s="138">
        <v>8.0</v>
      </c>
      <c r="S30" s="141">
        <f t="shared" si="6"/>
        <v>45</v>
      </c>
      <c r="T30" s="138">
        <v>2.0</v>
      </c>
      <c r="U30" s="142">
        <f>Q30+M30+G30</f>
        <v>27</v>
      </c>
      <c r="V30" s="143">
        <f t="shared" si="7"/>
        <v>28.5</v>
      </c>
      <c r="W30" s="142">
        <f t="shared" si="8"/>
        <v>69</v>
      </c>
      <c r="X30" s="138">
        <v>55.0</v>
      </c>
      <c r="Y30" s="138">
        <v>14.0</v>
      </c>
      <c r="Z30" s="144">
        <f t="shared" si="9"/>
        <v>79.71014493</v>
      </c>
      <c r="AA30" s="138">
        <v>18.0</v>
      </c>
      <c r="AB30" s="145" t="str">
        <f t="shared" si="10"/>
        <v>6.0</v>
      </c>
    </row>
    <row r="31">
      <c r="A31" s="77"/>
      <c r="B31" s="123">
        <v>6.0</v>
      </c>
      <c r="C31" s="124" t="s">
        <v>262</v>
      </c>
      <c r="D31" s="125" t="s">
        <v>100</v>
      </c>
      <c r="E31" s="126"/>
      <c r="F31" s="127">
        <v>3.0</v>
      </c>
      <c r="G31" s="127">
        <v>38.0</v>
      </c>
      <c r="H31" s="127">
        <v>35.0</v>
      </c>
      <c r="I31" s="127">
        <v>38.0</v>
      </c>
      <c r="J31" s="127">
        <v>14.0</v>
      </c>
      <c r="K31" s="128">
        <f>if(J31+I31+G31=0,"-",J31+I31+G31)</f>
        <v>90</v>
      </c>
      <c r="L31" s="129">
        <f>if(iferror((G31-J31)/K31,0)=0,"-",round((G31-J31)/K31,2))</f>
        <v>0.27</v>
      </c>
      <c r="M31" s="127">
        <v>6.0</v>
      </c>
      <c r="N31" s="127">
        <v>0.0</v>
      </c>
      <c r="O31" s="127">
        <v>5.0</v>
      </c>
      <c r="P31" s="127">
        <v>58.0</v>
      </c>
      <c r="Q31" s="127">
        <v>12.0</v>
      </c>
      <c r="R31" s="127">
        <v>5.0</v>
      </c>
      <c r="S31" s="130">
        <f t="shared" si="6"/>
        <v>75</v>
      </c>
      <c r="T31" s="127">
        <v>2.0</v>
      </c>
      <c r="U31" s="131">
        <f>G31+M31+Q31</f>
        <v>56</v>
      </c>
      <c r="V31" s="132">
        <f t="shared" si="7"/>
        <v>59.75</v>
      </c>
      <c r="W31" s="131">
        <f t="shared" si="8"/>
        <v>52</v>
      </c>
      <c r="X31" s="127">
        <v>45.0</v>
      </c>
      <c r="Y31" s="127">
        <v>7.0</v>
      </c>
      <c r="Z31" s="133">
        <f t="shared" si="9"/>
        <v>86.53846154</v>
      </c>
      <c r="AA31" s="127">
        <v>35.0</v>
      </c>
      <c r="AB31" s="134" t="str">
        <f t="shared" si="10"/>
        <v>11.7</v>
      </c>
    </row>
    <row r="32">
      <c r="A32" s="77"/>
      <c r="B32" s="55"/>
      <c r="C32" s="135" t="s">
        <v>262</v>
      </c>
      <c r="D32" s="136" t="s">
        <v>83</v>
      </c>
      <c r="E32" s="137"/>
      <c r="F32" s="138">
        <v>3.0</v>
      </c>
      <c r="G32" s="138">
        <v>29.0</v>
      </c>
      <c r="H32" s="138">
        <v>27.0</v>
      </c>
      <c r="I32" s="138">
        <v>48.0</v>
      </c>
      <c r="J32" s="138">
        <v>17.0</v>
      </c>
      <c r="K32" s="139">
        <f>G32+I32+J32</f>
        <v>94</v>
      </c>
      <c r="L32" s="140">
        <f>(G32+J32)/K32</f>
        <v>0.4893617021</v>
      </c>
      <c r="M32" s="138">
        <v>5.0</v>
      </c>
      <c r="N32" s="138">
        <v>0.0</v>
      </c>
      <c r="O32" s="138">
        <v>4.0</v>
      </c>
      <c r="P32" s="138">
        <v>45.0</v>
      </c>
      <c r="Q32" s="138">
        <v>5.0</v>
      </c>
      <c r="R32" s="138">
        <v>7.0</v>
      </c>
      <c r="S32" s="141">
        <f t="shared" si="6"/>
        <v>57</v>
      </c>
      <c r="T32" s="138">
        <v>3.0</v>
      </c>
      <c r="U32" s="142">
        <f>Q32+M32+G32</f>
        <v>39</v>
      </c>
      <c r="V32" s="143">
        <f t="shared" si="7"/>
        <v>42</v>
      </c>
      <c r="W32" s="142">
        <f t="shared" si="8"/>
        <v>73</v>
      </c>
      <c r="X32" s="138">
        <v>58.0</v>
      </c>
      <c r="Y32" s="138">
        <v>15.0</v>
      </c>
      <c r="Z32" s="144">
        <f t="shared" si="9"/>
        <v>79.45205479</v>
      </c>
      <c r="AA32" s="138">
        <v>31.0</v>
      </c>
      <c r="AB32" s="145" t="str">
        <f t="shared" si="10"/>
        <v>10.3</v>
      </c>
    </row>
    <row r="33">
      <c r="A33" s="77"/>
      <c r="B33" s="123">
        <v>7.0</v>
      </c>
      <c r="C33" s="124" t="s">
        <v>263</v>
      </c>
      <c r="D33" s="125" t="s">
        <v>162</v>
      </c>
      <c r="E33" s="126"/>
      <c r="F33" s="127">
        <v>3.0</v>
      </c>
      <c r="G33" s="127">
        <v>20.0</v>
      </c>
      <c r="H33" s="127">
        <v>19.0</v>
      </c>
      <c r="I33" s="127">
        <v>47.0</v>
      </c>
      <c r="J33" s="127">
        <v>18.0</v>
      </c>
      <c r="K33" s="128">
        <f>if(J33+I33+G33=0,"-",J33+I33+G33)</f>
        <v>85</v>
      </c>
      <c r="L33" s="129">
        <f>if(iferror((G33-J33)/K33,0)=0,"-",round((G33-J33)/K33,2))</f>
        <v>0.02</v>
      </c>
      <c r="M33" s="127">
        <v>2.0</v>
      </c>
      <c r="N33" s="127">
        <v>0.0</v>
      </c>
      <c r="O33" s="127">
        <v>1.0</v>
      </c>
      <c r="P33" s="127">
        <v>29.0</v>
      </c>
      <c r="Q33" s="127">
        <v>4.0</v>
      </c>
      <c r="R33" s="127">
        <v>11.0</v>
      </c>
      <c r="S33" s="130">
        <f t="shared" si="6"/>
        <v>44</v>
      </c>
      <c r="T33" s="127">
        <v>1.0</v>
      </c>
      <c r="U33" s="131">
        <f>G33+M33+Q33</f>
        <v>26</v>
      </c>
      <c r="V33" s="132">
        <f t="shared" si="7"/>
        <v>26.75</v>
      </c>
      <c r="W33" s="131">
        <f t="shared" si="8"/>
        <v>69</v>
      </c>
      <c r="X33" s="127">
        <v>58.0</v>
      </c>
      <c r="Y33" s="127">
        <v>11.0</v>
      </c>
      <c r="Z33" s="133">
        <f t="shared" si="9"/>
        <v>84.05797101</v>
      </c>
      <c r="AA33" s="127">
        <v>29.0</v>
      </c>
      <c r="AB33" s="134" t="str">
        <f t="shared" si="10"/>
        <v>9.7</v>
      </c>
    </row>
    <row r="34">
      <c r="A34" s="77"/>
      <c r="B34" s="55"/>
      <c r="C34" s="135" t="s">
        <v>263</v>
      </c>
      <c r="D34" s="136" t="s">
        <v>201</v>
      </c>
      <c r="E34" s="137"/>
      <c r="F34" s="138">
        <v>3.0</v>
      </c>
      <c r="G34" s="138">
        <v>35.0</v>
      </c>
      <c r="H34" s="138">
        <v>33.0</v>
      </c>
      <c r="I34" s="138">
        <v>33.0</v>
      </c>
      <c r="J34" s="138">
        <v>12.0</v>
      </c>
      <c r="K34" s="139">
        <f>G34+I34+J34</f>
        <v>80</v>
      </c>
      <c r="L34" s="140">
        <f>(G34+J34)/K34</f>
        <v>0.5875</v>
      </c>
      <c r="M34" s="138">
        <v>1.0</v>
      </c>
      <c r="N34" s="138">
        <v>0.0</v>
      </c>
      <c r="O34" s="138">
        <v>1.0</v>
      </c>
      <c r="P34" s="138">
        <v>58.0</v>
      </c>
      <c r="Q34" s="138">
        <v>10.0</v>
      </c>
      <c r="R34" s="138">
        <v>5.0</v>
      </c>
      <c r="S34" s="141">
        <f t="shared" si="6"/>
        <v>73</v>
      </c>
      <c r="T34" s="138">
        <v>1.0</v>
      </c>
      <c r="U34" s="142">
        <f>Q34+M34+G34</f>
        <v>46</v>
      </c>
      <c r="V34" s="143">
        <f t="shared" si="7"/>
        <v>46.75</v>
      </c>
      <c r="W34" s="142">
        <f t="shared" si="8"/>
        <v>34</v>
      </c>
      <c r="X34" s="138">
        <v>29.0</v>
      </c>
      <c r="Y34" s="138">
        <v>5.0</v>
      </c>
      <c r="Z34" s="144">
        <f t="shared" si="9"/>
        <v>85.29411765</v>
      </c>
      <c r="AA34" s="138">
        <v>42.0</v>
      </c>
      <c r="AB34" s="145" t="str">
        <f t="shared" si="10"/>
        <v>14.0</v>
      </c>
    </row>
    <row r="35">
      <c r="A35" s="77"/>
      <c r="B35" s="123">
        <v>8.0</v>
      </c>
      <c r="C35" s="124" t="s">
        <v>264</v>
      </c>
      <c r="D35" s="125" t="s">
        <v>127</v>
      </c>
      <c r="E35" s="126"/>
      <c r="F35" s="127">
        <v>3.0</v>
      </c>
      <c r="G35" s="127">
        <v>37.0</v>
      </c>
      <c r="H35" s="127">
        <v>33.0</v>
      </c>
      <c r="I35" s="127">
        <v>29.0</v>
      </c>
      <c r="J35" s="127">
        <v>9.0</v>
      </c>
      <c r="K35" s="128">
        <f>if(J35+I35+G35=0,"-",J35+I35+G35)</f>
        <v>75</v>
      </c>
      <c r="L35" s="129">
        <f>if(iferror((G35-J35)/K35,0)=0,"-",round((G35-J35)/K35,2))</f>
        <v>0.37</v>
      </c>
      <c r="M35" s="127">
        <v>5.0</v>
      </c>
      <c r="N35" s="127">
        <v>0.0</v>
      </c>
      <c r="O35" s="127">
        <v>3.0</v>
      </c>
      <c r="P35" s="127">
        <v>55.0</v>
      </c>
      <c r="Q35" s="127">
        <v>8.0</v>
      </c>
      <c r="R35" s="127">
        <v>11.0</v>
      </c>
      <c r="S35" s="130">
        <f t="shared" si="6"/>
        <v>74</v>
      </c>
      <c r="T35" s="127">
        <v>2.0</v>
      </c>
      <c r="U35" s="131">
        <f>G35+M35+Q35</f>
        <v>50</v>
      </c>
      <c r="V35" s="132">
        <f t="shared" si="7"/>
        <v>52.25</v>
      </c>
      <c r="W35" s="131">
        <f t="shared" si="8"/>
        <v>42</v>
      </c>
      <c r="X35" s="127">
        <v>38.0</v>
      </c>
      <c r="Y35" s="127">
        <v>4.0</v>
      </c>
      <c r="Z35" s="133">
        <f t="shared" si="9"/>
        <v>90.47619048</v>
      </c>
      <c r="AA35" s="127">
        <v>37.0</v>
      </c>
      <c r="AB35" s="134" t="str">
        <f t="shared" si="10"/>
        <v>12.3</v>
      </c>
    </row>
    <row r="36">
      <c r="A36" s="77"/>
      <c r="B36" s="55"/>
      <c r="C36" s="135" t="s">
        <v>264</v>
      </c>
      <c r="D36" s="136" t="s">
        <v>162</v>
      </c>
      <c r="E36" s="137"/>
      <c r="F36" s="138">
        <v>3.0</v>
      </c>
      <c r="G36" s="138">
        <v>23.0</v>
      </c>
      <c r="H36" s="138">
        <v>20.0</v>
      </c>
      <c r="I36" s="138">
        <v>40.0</v>
      </c>
      <c r="J36" s="138">
        <v>16.0</v>
      </c>
      <c r="K36" s="139">
        <f>G36+I36+J36</f>
        <v>79</v>
      </c>
      <c r="L36" s="140">
        <f>(G36+J36)/K36</f>
        <v>0.4936708861</v>
      </c>
      <c r="M36" s="138">
        <v>3.0</v>
      </c>
      <c r="N36" s="138">
        <v>1.0</v>
      </c>
      <c r="O36" s="138">
        <v>2.0</v>
      </c>
      <c r="P36" s="138">
        <v>38.0</v>
      </c>
      <c r="Q36" s="138">
        <v>2.0</v>
      </c>
      <c r="R36" s="138">
        <v>8.0</v>
      </c>
      <c r="S36" s="141">
        <f t="shared" si="6"/>
        <v>48</v>
      </c>
      <c r="T36" s="138">
        <v>6.0</v>
      </c>
      <c r="U36" s="142">
        <f>Q36+M36+G36</f>
        <v>28</v>
      </c>
      <c r="V36" s="143">
        <f t="shared" si="7"/>
        <v>29.5</v>
      </c>
      <c r="W36" s="142">
        <f t="shared" si="8"/>
        <v>68</v>
      </c>
      <c r="X36" s="138">
        <v>54.0</v>
      </c>
      <c r="Y36" s="138">
        <v>14.0</v>
      </c>
      <c r="Z36" s="144">
        <f t="shared" si="9"/>
        <v>79.41176471</v>
      </c>
      <c r="AA36" s="138">
        <v>28.0</v>
      </c>
      <c r="AB36" s="145" t="str">
        <f t="shared" si="10"/>
        <v>9.3</v>
      </c>
    </row>
    <row r="37">
      <c r="A37" s="77"/>
      <c r="B37" s="123">
        <v>9.0</v>
      </c>
      <c r="C37" s="124" t="s">
        <v>265</v>
      </c>
      <c r="D37" s="125" t="s">
        <v>188</v>
      </c>
      <c r="E37" s="126"/>
      <c r="F37" s="127">
        <v>3.0</v>
      </c>
      <c r="G37" s="127">
        <v>56.0</v>
      </c>
      <c r="H37" s="127">
        <v>54.0</v>
      </c>
      <c r="I37" s="127">
        <v>38.0</v>
      </c>
      <c r="J37" s="127">
        <v>13.0</v>
      </c>
      <c r="K37" s="128">
        <f>if(J37+I37+G37=0,"-",J37+I37+G37)</f>
        <v>107</v>
      </c>
      <c r="L37" s="129">
        <f>if(iferror((G37-J37)/K37,0)=0,"-",round((G37-J37)/K37,2))</f>
        <v>0.4</v>
      </c>
      <c r="M37" s="127">
        <v>2.0</v>
      </c>
      <c r="N37" s="127">
        <v>0.0</v>
      </c>
      <c r="O37" s="127">
        <v>2.0</v>
      </c>
      <c r="P37" s="127">
        <v>60.0</v>
      </c>
      <c r="Q37" s="127">
        <v>7.0</v>
      </c>
      <c r="R37" s="127">
        <v>9.0</v>
      </c>
      <c r="S37" s="130">
        <f t="shared" si="6"/>
        <v>76</v>
      </c>
      <c r="T37" s="127">
        <v>0.0</v>
      </c>
      <c r="U37" s="131">
        <f>G37+M37+Q37</f>
        <v>65</v>
      </c>
      <c r="V37" s="132">
        <f t="shared" si="7"/>
        <v>66.5</v>
      </c>
      <c r="W37" s="131">
        <f t="shared" si="8"/>
        <v>64</v>
      </c>
      <c r="X37" s="127">
        <v>60.0</v>
      </c>
      <c r="Y37" s="127">
        <v>4.0</v>
      </c>
      <c r="Z37" s="133">
        <f t="shared" si="9"/>
        <v>93.75</v>
      </c>
      <c r="AA37" s="127">
        <v>40.0</v>
      </c>
      <c r="AB37" s="134" t="str">
        <f t="shared" si="10"/>
        <v>13.3</v>
      </c>
    </row>
    <row r="38">
      <c r="A38" s="77"/>
      <c r="B38" s="55"/>
      <c r="C38" s="135" t="s">
        <v>265</v>
      </c>
      <c r="D38" s="136" t="s">
        <v>201</v>
      </c>
      <c r="E38" s="137"/>
      <c r="F38" s="138">
        <v>3.0</v>
      </c>
      <c r="G38" s="138">
        <v>39.0</v>
      </c>
      <c r="H38" s="138">
        <v>37.0</v>
      </c>
      <c r="I38" s="138">
        <v>45.0</v>
      </c>
      <c r="J38" s="138">
        <v>9.0</v>
      </c>
      <c r="K38" s="139">
        <f>G38+I38+J38</f>
        <v>93</v>
      </c>
      <c r="L38" s="140">
        <f>(G38+J38)/K38</f>
        <v>0.5161290323</v>
      </c>
      <c r="M38" s="138">
        <v>4.0</v>
      </c>
      <c r="N38" s="138">
        <v>1.0</v>
      </c>
      <c r="O38" s="138">
        <v>4.0</v>
      </c>
      <c r="P38" s="138">
        <v>60.0</v>
      </c>
      <c r="Q38" s="138">
        <v>4.0</v>
      </c>
      <c r="R38" s="138">
        <v>1.0</v>
      </c>
      <c r="S38" s="141">
        <f t="shared" si="6"/>
        <v>65</v>
      </c>
      <c r="T38" s="138">
        <v>3.0</v>
      </c>
      <c r="U38" s="142">
        <f>Q38+M38+G38</f>
        <v>47</v>
      </c>
      <c r="V38" s="143">
        <f t="shared" si="7"/>
        <v>50</v>
      </c>
      <c r="W38" s="142">
        <f t="shared" si="8"/>
        <v>70</v>
      </c>
      <c r="X38" s="138">
        <v>60.0</v>
      </c>
      <c r="Y38" s="138">
        <v>10.0</v>
      </c>
      <c r="Z38" s="144">
        <f t="shared" si="9"/>
        <v>85.71428571</v>
      </c>
      <c r="AA38" s="138">
        <v>35.0</v>
      </c>
      <c r="AB38" s="145" t="str">
        <f t="shared" si="10"/>
        <v>11.7</v>
      </c>
    </row>
    <row r="39">
      <c r="A39" s="77"/>
      <c r="B39" s="123">
        <v>10.0</v>
      </c>
      <c r="C39" s="124" t="s">
        <v>266</v>
      </c>
      <c r="D39" s="125" t="s">
        <v>100</v>
      </c>
      <c r="E39" s="126"/>
      <c r="F39" s="127">
        <v>3.0</v>
      </c>
      <c r="G39" s="127">
        <v>49.0</v>
      </c>
      <c r="H39" s="127">
        <v>45.0</v>
      </c>
      <c r="I39" s="127">
        <v>54.0</v>
      </c>
      <c r="J39" s="127">
        <v>11.0</v>
      </c>
      <c r="K39" s="128">
        <f>if(J39+I39+G39=0,"-",J39+I39+G39)</f>
        <v>114</v>
      </c>
      <c r="L39" s="129">
        <f>if(iferror((G39-J39)/K39,0)=0,"-",round((G39-J39)/K39,2))</f>
        <v>0.33</v>
      </c>
      <c r="M39" s="127">
        <v>6.0</v>
      </c>
      <c r="N39" s="127">
        <v>2.0</v>
      </c>
      <c r="O39" s="127">
        <v>4.0</v>
      </c>
      <c r="P39" s="127">
        <v>59.0</v>
      </c>
      <c r="Q39" s="127">
        <v>5.0</v>
      </c>
      <c r="R39" s="127">
        <v>9.0</v>
      </c>
      <c r="S39" s="130">
        <f t="shared" si="6"/>
        <v>73</v>
      </c>
      <c r="T39" s="127">
        <v>0.0</v>
      </c>
      <c r="U39" s="131">
        <f>G39+M39+Q39</f>
        <v>60</v>
      </c>
      <c r="V39" s="132">
        <f t="shared" si="7"/>
        <v>63</v>
      </c>
      <c r="W39" s="131">
        <f t="shared" si="8"/>
        <v>50</v>
      </c>
      <c r="X39" s="127">
        <v>48.0</v>
      </c>
      <c r="Y39" s="127">
        <v>2.0</v>
      </c>
      <c r="Z39" s="133">
        <f t="shared" si="9"/>
        <v>96</v>
      </c>
      <c r="AA39" s="127">
        <v>62.0</v>
      </c>
      <c r="AB39" s="134" t="str">
        <f t="shared" si="10"/>
        <v>20.7</v>
      </c>
    </row>
    <row r="40">
      <c r="A40" s="77"/>
      <c r="B40" s="55"/>
      <c r="C40" s="135" t="s">
        <v>266</v>
      </c>
      <c r="D40" s="136" t="s">
        <v>127</v>
      </c>
      <c r="E40" s="137"/>
      <c r="F40" s="138">
        <v>3.0</v>
      </c>
      <c r="G40" s="138">
        <v>33.0</v>
      </c>
      <c r="H40" s="138">
        <v>29.0</v>
      </c>
      <c r="I40" s="138">
        <v>66.0</v>
      </c>
      <c r="J40" s="138">
        <v>14.0</v>
      </c>
      <c r="K40" s="139">
        <f>G40+I40+J40</f>
        <v>113</v>
      </c>
      <c r="L40" s="140">
        <f>(G40+J40)/K40</f>
        <v>0.4159292035</v>
      </c>
      <c r="M40" s="138">
        <v>1.0</v>
      </c>
      <c r="N40" s="138">
        <v>2.0</v>
      </c>
      <c r="O40" s="138">
        <v>0.0</v>
      </c>
      <c r="P40" s="138">
        <v>48.0</v>
      </c>
      <c r="Q40" s="138">
        <v>2.0</v>
      </c>
      <c r="R40" s="138">
        <v>6.0</v>
      </c>
      <c r="S40" s="141">
        <f t="shared" si="6"/>
        <v>56</v>
      </c>
      <c r="T40" s="138">
        <v>0.0</v>
      </c>
      <c r="U40" s="142">
        <f>Q40+M40+G40</f>
        <v>36</v>
      </c>
      <c r="V40" s="143">
        <f t="shared" si="7"/>
        <v>36</v>
      </c>
      <c r="W40" s="142">
        <f t="shared" si="8"/>
        <v>64</v>
      </c>
      <c r="X40" s="138">
        <v>59.0</v>
      </c>
      <c r="Y40" s="138">
        <v>5.0</v>
      </c>
      <c r="Z40" s="144">
        <f t="shared" si="9"/>
        <v>92.1875</v>
      </c>
      <c r="AA40" s="138">
        <v>52.0</v>
      </c>
      <c r="AB40" s="145" t="str">
        <f t="shared" si="10"/>
        <v>17.3</v>
      </c>
    </row>
    <row r="41">
      <c r="A41" s="77"/>
      <c r="B41" s="123">
        <v>11.0</v>
      </c>
      <c r="C41" s="124" t="s">
        <v>267</v>
      </c>
      <c r="D41" s="125" t="s">
        <v>83</v>
      </c>
      <c r="E41" s="126"/>
      <c r="F41" s="127">
        <v>5.0</v>
      </c>
      <c r="G41" s="127">
        <v>52.0</v>
      </c>
      <c r="H41" s="127">
        <v>50.0</v>
      </c>
      <c r="I41" s="127">
        <v>87.0</v>
      </c>
      <c r="J41" s="127">
        <v>19.0</v>
      </c>
      <c r="K41" s="128">
        <f>if(J41+I41+G41=0,"-",J41+I41+G41)</f>
        <v>158</v>
      </c>
      <c r="L41" s="129">
        <f>if(iferror((G41-J41)/K41,0)=0,"-",round((G41-J41)/K41,2))</f>
        <v>0.21</v>
      </c>
      <c r="M41" s="127">
        <v>2.0</v>
      </c>
      <c r="N41" s="127">
        <v>0.0</v>
      </c>
      <c r="O41" s="127">
        <v>1.0</v>
      </c>
      <c r="P41" s="127">
        <v>91.0</v>
      </c>
      <c r="Q41" s="127">
        <v>4.0</v>
      </c>
      <c r="R41" s="127">
        <v>2.0</v>
      </c>
      <c r="S41" s="130">
        <f t="shared" si="6"/>
        <v>97</v>
      </c>
      <c r="T41" s="127">
        <v>7.0</v>
      </c>
      <c r="U41" s="131">
        <f>G41+M41+Q41</f>
        <v>58</v>
      </c>
      <c r="V41" s="132">
        <f t="shared" si="7"/>
        <v>58.75</v>
      </c>
      <c r="W41" s="131">
        <f t="shared" si="8"/>
        <v>104</v>
      </c>
      <c r="X41" s="127">
        <v>85.0</v>
      </c>
      <c r="Y41" s="127">
        <v>19.0</v>
      </c>
      <c r="Z41" s="133">
        <f t="shared" si="9"/>
        <v>81.73076923</v>
      </c>
      <c r="AA41" s="127">
        <v>64.0</v>
      </c>
      <c r="AB41" s="134" t="str">
        <f t="shared" si="10"/>
        <v>12.8</v>
      </c>
    </row>
    <row r="42">
      <c r="A42" s="77"/>
      <c r="B42" s="55"/>
      <c r="C42" s="135" t="s">
        <v>267</v>
      </c>
      <c r="D42" s="136" t="s">
        <v>188</v>
      </c>
      <c r="E42" s="137"/>
      <c r="F42" s="138">
        <v>5.0</v>
      </c>
      <c r="G42" s="138">
        <v>65.0</v>
      </c>
      <c r="H42" s="138">
        <v>62.0</v>
      </c>
      <c r="I42" s="138">
        <v>85.0</v>
      </c>
      <c r="J42" s="138">
        <v>32.0</v>
      </c>
      <c r="K42" s="139">
        <f>G42+I42+J42</f>
        <v>182</v>
      </c>
      <c r="L42" s="140">
        <f>(G42+J42)/K42</f>
        <v>0.532967033</v>
      </c>
      <c r="M42" s="138">
        <v>5.0</v>
      </c>
      <c r="N42" s="138">
        <v>0.0</v>
      </c>
      <c r="O42" s="138">
        <v>1.0</v>
      </c>
      <c r="P42" s="138">
        <v>85.0</v>
      </c>
      <c r="Q42" s="138">
        <v>12.0</v>
      </c>
      <c r="R42" s="138">
        <v>8.0</v>
      </c>
      <c r="S42" s="141">
        <f t="shared" si="6"/>
        <v>105</v>
      </c>
      <c r="T42" s="138">
        <v>1.0</v>
      </c>
      <c r="U42" s="142">
        <f>Q42+M42+G42</f>
        <v>82</v>
      </c>
      <c r="V42" s="143">
        <f t="shared" si="7"/>
        <v>82.75</v>
      </c>
      <c r="W42" s="142">
        <f t="shared" si="8"/>
        <v>96</v>
      </c>
      <c r="X42" s="138">
        <v>91.0</v>
      </c>
      <c r="Y42" s="138">
        <v>5.0</v>
      </c>
      <c r="Z42" s="144">
        <f t="shared" si="9"/>
        <v>94.79166667</v>
      </c>
      <c r="AA42" s="138">
        <v>70.0</v>
      </c>
      <c r="AB42" s="145" t="str">
        <f t="shared" si="10"/>
        <v>14.0</v>
      </c>
    </row>
    <row r="43">
      <c r="A43" s="77"/>
      <c r="B43" s="123">
        <v>12.0</v>
      </c>
      <c r="C43" s="124" t="s">
        <v>268</v>
      </c>
      <c r="D43" s="125" t="s">
        <v>100</v>
      </c>
      <c r="E43" s="126"/>
      <c r="F43" s="127">
        <v>3.0</v>
      </c>
      <c r="G43" s="127">
        <v>47.0</v>
      </c>
      <c r="H43" s="127">
        <v>44.0</v>
      </c>
      <c r="I43" s="127">
        <v>56.0</v>
      </c>
      <c r="J43" s="127">
        <v>9.0</v>
      </c>
      <c r="K43" s="128">
        <f>if(J43+I43+G43=0,"-",J43+I43+G43)</f>
        <v>112</v>
      </c>
      <c r="L43" s="129">
        <f>if(iferror((G43-J43)/K43,0)=0,"-",round((G43-J43)/K43,2))</f>
        <v>0.34</v>
      </c>
      <c r="M43" s="127">
        <v>6.0</v>
      </c>
      <c r="N43" s="127">
        <v>1.0</v>
      </c>
      <c r="O43" s="127">
        <v>6.0</v>
      </c>
      <c r="P43" s="127">
        <v>61.0</v>
      </c>
      <c r="Q43" s="127">
        <v>6.0</v>
      </c>
      <c r="R43" s="127">
        <v>7.0</v>
      </c>
      <c r="S43" s="130">
        <f t="shared" si="6"/>
        <v>74</v>
      </c>
      <c r="T43" s="127">
        <v>1.0</v>
      </c>
      <c r="U43" s="131">
        <f>G43+M43+Q43</f>
        <v>59</v>
      </c>
      <c r="V43" s="132">
        <f t="shared" si="7"/>
        <v>63.5</v>
      </c>
      <c r="W43" s="131">
        <f t="shared" si="8"/>
        <v>57</v>
      </c>
      <c r="X43" s="127">
        <v>55.0</v>
      </c>
      <c r="Y43" s="127">
        <v>2.0</v>
      </c>
      <c r="Z43" s="133">
        <f t="shared" si="9"/>
        <v>96.49122807</v>
      </c>
      <c r="AA43" s="127">
        <v>55.0</v>
      </c>
      <c r="AB43" s="134" t="str">
        <f t="shared" si="10"/>
        <v>18.3</v>
      </c>
    </row>
    <row r="44">
      <c r="A44" s="77"/>
      <c r="B44" s="55"/>
      <c r="C44" s="135" t="s">
        <v>268</v>
      </c>
      <c r="D44" s="136" t="s">
        <v>188</v>
      </c>
      <c r="E44" s="137"/>
      <c r="F44" s="138">
        <v>3.0</v>
      </c>
      <c r="G44" s="138">
        <v>42.0</v>
      </c>
      <c r="H44" s="138">
        <v>40.0</v>
      </c>
      <c r="I44" s="138">
        <v>59.0</v>
      </c>
      <c r="J44" s="138">
        <v>17.0</v>
      </c>
      <c r="K44" s="139">
        <f>G44+I44+J44</f>
        <v>118</v>
      </c>
      <c r="L44" s="140">
        <f>(G44+J44)/K44</f>
        <v>0.5</v>
      </c>
      <c r="M44" s="138">
        <v>4.0</v>
      </c>
      <c r="N44" s="138">
        <v>1.0</v>
      </c>
      <c r="O44" s="138">
        <v>4.0</v>
      </c>
      <c r="P44" s="138">
        <v>55.0</v>
      </c>
      <c r="Q44" s="138">
        <v>2.0</v>
      </c>
      <c r="R44" s="138">
        <v>5.0</v>
      </c>
      <c r="S44" s="141">
        <f t="shared" si="6"/>
        <v>62</v>
      </c>
      <c r="T44" s="138">
        <v>0.0</v>
      </c>
      <c r="U44" s="142">
        <f>Q44+M44+G44</f>
        <v>48</v>
      </c>
      <c r="V44" s="143">
        <f t="shared" si="7"/>
        <v>51</v>
      </c>
      <c r="W44" s="142">
        <f t="shared" si="8"/>
        <v>67</v>
      </c>
      <c r="X44" s="138">
        <v>61.0</v>
      </c>
      <c r="Y44" s="138">
        <v>6.0</v>
      </c>
      <c r="Z44" s="144">
        <f t="shared" si="9"/>
        <v>91.04477612</v>
      </c>
      <c r="AA44" s="138">
        <v>47.0</v>
      </c>
      <c r="AB44" s="145" t="str">
        <f t="shared" si="10"/>
        <v>15.7</v>
      </c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</row>
    <row r="46">
      <c r="B46" s="77"/>
    </row>
    <row r="47">
      <c r="B47" s="78" t="s">
        <v>250</v>
      </c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</row>
    <row r="48">
      <c r="B48" s="79" t="s">
        <v>3</v>
      </c>
      <c r="C48" s="80" t="s">
        <v>4</v>
      </c>
      <c r="D48" s="51"/>
      <c r="E48" s="81" t="s">
        <v>238</v>
      </c>
      <c r="F48" s="10" t="s">
        <v>13</v>
      </c>
      <c r="G48" s="10" t="s">
        <v>14</v>
      </c>
      <c r="H48" s="10" t="s">
        <v>15</v>
      </c>
      <c r="I48" s="10" t="s">
        <v>16</v>
      </c>
      <c r="J48" s="10" t="s">
        <v>17</v>
      </c>
      <c r="K48" s="11" t="s">
        <v>18</v>
      </c>
      <c r="L48" s="12" t="s">
        <v>19</v>
      </c>
      <c r="M48" s="10" t="s">
        <v>20</v>
      </c>
      <c r="N48" s="10" t="s">
        <v>21</v>
      </c>
      <c r="O48" s="10" t="s">
        <v>22</v>
      </c>
      <c r="P48" s="10" t="s">
        <v>23</v>
      </c>
      <c r="Q48" s="10" t="s">
        <v>24</v>
      </c>
      <c r="R48" s="10" t="s">
        <v>25</v>
      </c>
      <c r="S48" s="11" t="s">
        <v>26</v>
      </c>
      <c r="T48" s="10" t="s">
        <v>27</v>
      </c>
      <c r="U48" s="11" t="s">
        <v>28</v>
      </c>
      <c r="V48" s="11" t="s">
        <v>269</v>
      </c>
      <c r="W48" s="11" t="s">
        <v>30</v>
      </c>
      <c r="X48" s="10" t="s">
        <v>31</v>
      </c>
      <c r="Y48" s="10" t="s">
        <v>32</v>
      </c>
      <c r="Z48" s="11" t="s">
        <v>33</v>
      </c>
      <c r="AA48" s="10" t="s">
        <v>34</v>
      </c>
      <c r="AB48" s="13" t="s">
        <v>35</v>
      </c>
    </row>
    <row r="49">
      <c r="B49" s="147">
        <v>1.0</v>
      </c>
      <c r="C49" s="148" t="str">
        <f t="shared" ref="C49:C55" si="11">C6</f>
        <v>천안청수</v>
      </c>
      <c r="D49" s="149"/>
      <c r="E49" s="150">
        <f t="shared" ref="E49:E55" si="12">E6</f>
        <v>4</v>
      </c>
      <c r="F49" s="150">
        <f t="shared" ref="F49:F55" si="13">H6+I6</f>
        <v>12</v>
      </c>
      <c r="G49" s="150">
        <v>172.0</v>
      </c>
      <c r="H49" s="150">
        <v>160.0</v>
      </c>
      <c r="I49" s="150">
        <v>184.0</v>
      </c>
      <c r="J49" s="150">
        <v>49.0</v>
      </c>
      <c r="K49" s="151">
        <f>if(J49+I49+G49=0,"-",J49+I49+G49)</f>
        <v>405</v>
      </c>
      <c r="L49" s="107">
        <f>if(iferror((G49-J49)/K49,0)=0,"-",round((G49-J49)/K49,2))</f>
        <v>0.3</v>
      </c>
      <c r="M49" s="150">
        <v>25.0</v>
      </c>
      <c r="N49" s="150">
        <v>3.0</v>
      </c>
      <c r="O49" s="150">
        <v>21.0</v>
      </c>
      <c r="P49" s="150">
        <v>242.0</v>
      </c>
      <c r="Q49" s="150">
        <v>31.0</v>
      </c>
      <c r="R49" s="150">
        <v>24.0</v>
      </c>
      <c r="S49" s="151">
        <f t="shared" ref="S49:S55" si="14">IF(R49+Q49+P49=0,"-",R49+Q49+P49)</f>
        <v>297</v>
      </c>
      <c r="T49" s="150">
        <v>4.0</v>
      </c>
      <c r="U49" s="150">
        <f>G49+M49+Q49</f>
        <v>228</v>
      </c>
      <c r="V49" s="152">
        <f t="shared" ref="V49:V55" si="15">U49+O49*0.75</f>
        <v>243.75</v>
      </c>
      <c r="W49" s="150">
        <f t="shared" ref="W49:W55" si="16">X49+Y49</f>
        <v>201</v>
      </c>
      <c r="X49" s="150">
        <v>189.0</v>
      </c>
      <c r="Y49" s="150">
        <v>12.0</v>
      </c>
      <c r="Z49" s="153">
        <f t="shared" ref="Z49:Z55" si="17">iferror((X49/W49)*100,"-")</f>
        <v>94.02985075</v>
      </c>
      <c r="AA49" s="150">
        <v>192.0</v>
      </c>
      <c r="AB49" s="107" t="str">
        <f t="shared" ref="AB49:AB55" si="18">IFERROR(IF(MOD(AA49/F49, 1)=0, TEXT(AA49/F49, "0.0"), TEXT(AA49/F49, "0.0")), "-")</f>
        <v>16.0</v>
      </c>
    </row>
    <row r="50">
      <c r="B50" s="154">
        <v>2.0</v>
      </c>
      <c r="C50" s="155" t="str">
        <f t="shared" si="11"/>
        <v>한봄고</v>
      </c>
      <c r="D50" s="156"/>
      <c r="E50" s="88">
        <f t="shared" si="12"/>
        <v>2</v>
      </c>
      <c r="F50" s="88">
        <f t="shared" si="13"/>
        <v>8</v>
      </c>
      <c r="G50" s="88">
        <v>89.0</v>
      </c>
      <c r="H50" s="88">
        <v>85.0</v>
      </c>
      <c r="I50" s="88">
        <v>103.0</v>
      </c>
      <c r="J50" s="88">
        <v>36.0</v>
      </c>
      <c r="K50" s="88">
        <f>G50+I50+J50</f>
        <v>228</v>
      </c>
      <c r="L50" s="168">
        <f>(G50+J50)/K50</f>
        <v>0.548245614</v>
      </c>
      <c r="M50" s="88">
        <v>13.0</v>
      </c>
      <c r="N50" s="88">
        <v>0.0</v>
      </c>
      <c r="O50" s="88">
        <v>7.0</v>
      </c>
      <c r="P50" s="88">
        <v>118.0</v>
      </c>
      <c r="Q50" s="88">
        <v>13.0</v>
      </c>
      <c r="R50" s="88">
        <v>25.0</v>
      </c>
      <c r="S50" s="157">
        <f t="shared" si="14"/>
        <v>156</v>
      </c>
      <c r="T50" s="88">
        <v>8.0</v>
      </c>
      <c r="U50" s="88">
        <f>Q50+M50+G50</f>
        <v>115</v>
      </c>
      <c r="V50" s="89">
        <f t="shared" si="15"/>
        <v>120.25</v>
      </c>
      <c r="W50" s="88">
        <f t="shared" si="16"/>
        <v>164</v>
      </c>
      <c r="X50" s="88">
        <v>140.0</v>
      </c>
      <c r="Y50" s="88">
        <v>24.0</v>
      </c>
      <c r="Z50" s="158">
        <f t="shared" si="17"/>
        <v>85.36585366</v>
      </c>
      <c r="AA50" s="88">
        <v>71.0</v>
      </c>
      <c r="AB50" s="91" t="str">
        <f t="shared" si="18"/>
        <v>8.9</v>
      </c>
    </row>
    <row r="51">
      <c r="B51" s="147">
        <v>3.0</v>
      </c>
      <c r="C51" s="148" t="str">
        <f t="shared" si="11"/>
        <v>강릉여고</v>
      </c>
      <c r="D51" s="149"/>
      <c r="E51" s="150">
        <f t="shared" si="12"/>
        <v>4</v>
      </c>
      <c r="F51" s="150">
        <f t="shared" si="13"/>
        <v>13</v>
      </c>
      <c r="G51" s="150">
        <v>162.0</v>
      </c>
      <c r="H51" s="150">
        <v>151.0</v>
      </c>
      <c r="I51" s="150">
        <v>211.0</v>
      </c>
      <c r="J51" s="150">
        <v>42.0</v>
      </c>
      <c r="K51" s="151">
        <f>if(J51+I51+G51=0,"-",J51+I51+G51)</f>
        <v>415</v>
      </c>
      <c r="L51" s="107">
        <f>if(iferror((G51-J51)/K51,0)=0,"-",round((G51-J51)/K51,2))</f>
        <v>0.29</v>
      </c>
      <c r="M51" s="150">
        <v>14.0</v>
      </c>
      <c r="N51" s="150">
        <v>3.0</v>
      </c>
      <c r="O51" s="150">
        <v>9.0</v>
      </c>
      <c r="P51" s="150">
        <v>222.0</v>
      </c>
      <c r="Q51" s="150">
        <v>21.0</v>
      </c>
      <c r="R51" s="150">
        <v>38.0</v>
      </c>
      <c r="S51" s="151">
        <f t="shared" si="14"/>
        <v>281</v>
      </c>
      <c r="T51" s="150">
        <v>4.0</v>
      </c>
      <c r="U51" s="150">
        <f>G51+M51+Q51</f>
        <v>197</v>
      </c>
      <c r="V51" s="152">
        <f t="shared" si="15"/>
        <v>203.75</v>
      </c>
      <c r="W51" s="150">
        <f t="shared" si="16"/>
        <v>241</v>
      </c>
      <c r="X51" s="150">
        <v>218.0</v>
      </c>
      <c r="Y51" s="150">
        <v>23.0</v>
      </c>
      <c r="Z51" s="153">
        <f t="shared" si="17"/>
        <v>90.45643154</v>
      </c>
      <c r="AA51" s="150">
        <v>180.0</v>
      </c>
      <c r="AB51" s="107" t="str">
        <f t="shared" si="18"/>
        <v>13.8</v>
      </c>
    </row>
    <row r="52">
      <c r="B52" s="154">
        <v>4.0</v>
      </c>
      <c r="C52" s="155" t="str">
        <f t="shared" si="11"/>
        <v>경남여고</v>
      </c>
      <c r="D52" s="156"/>
      <c r="E52" s="88">
        <f t="shared" si="12"/>
        <v>5</v>
      </c>
      <c r="F52" s="88">
        <f t="shared" si="13"/>
        <v>18</v>
      </c>
      <c r="G52" s="88">
        <v>266.0</v>
      </c>
      <c r="H52" s="88">
        <v>252.0</v>
      </c>
      <c r="I52" s="88">
        <v>263.0</v>
      </c>
      <c r="J52" s="88">
        <v>85.0</v>
      </c>
      <c r="K52" s="88">
        <f>G52+I52+J52</f>
        <v>614</v>
      </c>
      <c r="L52" s="168">
        <f>(G52+J52)/K52</f>
        <v>0.5716612378</v>
      </c>
      <c r="M52" s="88">
        <v>18.0</v>
      </c>
      <c r="N52" s="88">
        <v>4.0</v>
      </c>
      <c r="O52" s="88">
        <v>14.0</v>
      </c>
      <c r="P52" s="88">
        <v>337.0</v>
      </c>
      <c r="Q52" s="88">
        <v>41.0</v>
      </c>
      <c r="R52" s="88">
        <v>36.0</v>
      </c>
      <c r="S52" s="157">
        <f t="shared" si="14"/>
        <v>414</v>
      </c>
      <c r="T52" s="88">
        <v>5.0</v>
      </c>
      <c r="U52" s="88">
        <f>Q52+M52+G52</f>
        <v>325</v>
      </c>
      <c r="V52" s="89">
        <f t="shared" si="15"/>
        <v>335.5</v>
      </c>
      <c r="W52" s="88">
        <f t="shared" si="16"/>
        <v>329</v>
      </c>
      <c r="X52" s="88">
        <v>304.0</v>
      </c>
      <c r="Y52" s="88">
        <v>25.0</v>
      </c>
      <c r="Z52" s="158">
        <f t="shared" si="17"/>
        <v>92.40121581</v>
      </c>
      <c r="AA52" s="88">
        <v>246.0</v>
      </c>
      <c r="AB52" s="91" t="str">
        <f t="shared" si="18"/>
        <v>13.7</v>
      </c>
    </row>
    <row r="53">
      <c r="B53" s="147">
        <v>5.0</v>
      </c>
      <c r="C53" s="148" t="str">
        <f t="shared" si="11"/>
        <v>광주체고</v>
      </c>
      <c r="D53" s="149"/>
      <c r="E53" s="150">
        <f t="shared" si="12"/>
        <v>3</v>
      </c>
      <c r="F53" s="150">
        <f t="shared" si="13"/>
        <v>13</v>
      </c>
      <c r="G53" s="150">
        <v>126.0</v>
      </c>
      <c r="H53" s="150">
        <v>122.0</v>
      </c>
      <c r="I53" s="150">
        <v>195.0</v>
      </c>
      <c r="J53" s="150">
        <v>58.0</v>
      </c>
      <c r="K53" s="151">
        <f>if(J53+I53+G53=0,"-",J53+I53+G53)</f>
        <v>379</v>
      </c>
      <c r="L53" s="107">
        <f>if(iferror((G53-J53)/K53,0)=0,"-",round((G53-J53)/K53,2))</f>
        <v>0.18</v>
      </c>
      <c r="M53" s="150">
        <v>11.0</v>
      </c>
      <c r="N53" s="150">
        <v>0.0</v>
      </c>
      <c r="O53" s="150">
        <v>5.0</v>
      </c>
      <c r="P53" s="150">
        <v>212.0</v>
      </c>
      <c r="Q53" s="150">
        <v>18.0</v>
      </c>
      <c r="R53" s="150">
        <v>17.0</v>
      </c>
      <c r="S53" s="151">
        <f t="shared" si="14"/>
        <v>247</v>
      </c>
      <c r="T53" s="150">
        <v>13.0</v>
      </c>
      <c r="U53" s="150">
        <f>G53+M53+Q53</f>
        <v>155</v>
      </c>
      <c r="V53" s="152">
        <f t="shared" si="15"/>
        <v>158.75</v>
      </c>
      <c r="W53" s="150">
        <f t="shared" si="16"/>
        <v>269</v>
      </c>
      <c r="X53" s="150">
        <v>219.0</v>
      </c>
      <c r="Y53" s="150">
        <v>50.0</v>
      </c>
      <c r="Z53" s="153">
        <f t="shared" si="17"/>
        <v>81.41263941</v>
      </c>
      <c r="AA53" s="150">
        <v>146.0</v>
      </c>
      <c r="AB53" s="107" t="str">
        <f t="shared" si="18"/>
        <v>11.2</v>
      </c>
    </row>
    <row r="54">
      <c r="B54" s="154">
        <v>6.0</v>
      </c>
      <c r="C54" s="155" t="str">
        <f t="shared" si="11"/>
        <v>경일고</v>
      </c>
      <c r="D54" s="156"/>
      <c r="E54" s="88">
        <f t="shared" si="12"/>
        <v>3</v>
      </c>
      <c r="F54" s="88">
        <f t="shared" si="13"/>
        <v>9</v>
      </c>
      <c r="G54" s="88">
        <v>109.0</v>
      </c>
      <c r="H54" s="88">
        <v>101.0</v>
      </c>
      <c r="I54" s="88">
        <v>121.0</v>
      </c>
      <c r="J54" s="88">
        <v>37.0</v>
      </c>
      <c r="K54" s="88">
        <f t="shared" ref="K54:K55" si="19">G54+I54+J54</f>
        <v>267</v>
      </c>
      <c r="L54" s="168">
        <f t="shared" ref="L54:L55" si="20">(G54+J54)/K54</f>
        <v>0.5468164794</v>
      </c>
      <c r="M54" s="88">
        <v>8.0</v>
      </c>
      <c r="N54" s="88">
        <v>1.0</v>
      </c>
      <c r="O54" s="88">
        <v>7.0</v>
      </c>
      <c r="P54" s="88">
        <v>163.0</v>
      </c>
      <c r="Q54" s="88">
        <v>18.0</v>
      </c>
      <c r="R54" s="88">
        <v>15.0</v>
      </c>
      <c r="S54" s="157">
        <f t="shared" si="14"/>
        <v>196</v>
      </c>
      <c r="T54" s="88">
        <v>6.0</v>
      </c>
      <c r="U54" s="88">
        <f t="shared" ref="U54:U55" si="21">Q54+M54+G54</f>
        <v>135</v>
      </c>
      <c r="V54" s="89">
        <f t="shared" si="15"/>
        <v>140.25</v>
      </c>
      <c r="W54" s="88">
        <f t="shared" si="16"/>
        <v>169</v>
      </c>
      <c r="X54" s="88">
        <v>145.0</v>
      </c>
      <c r="Y54" s="88">
        <v>24.0</v>
      </c>
      <c r="Z54" s="158">
        <f t="shared" si="17"/>
        <v>85.79881657</v>
      </c>
      <c r="AA54" s="88">
        <v>115.0</v>
      </c>
      <c r="AB54" s="91" t="str">
        <f t="shared" si="18"/>
        <v>12.8</v>
      </c>
    </row>
    <row r="55">
      <c r="B55" s="147">
        <v>7.0</v>
      </c>
      <c r="C55" s="148" t="str">
        <f t="shared" si="11"/>
        <v>제천여고</v>
      </c>
      <c r="D55" s="149"/>
      <c r="E55" s="150">
        <f t="shared" si="12"/>
        <v>3</v>
      </c>
      <c r="F55" s="150">
        <f t="shared" si="13"/>
        <v>9</v>
      </c>
      <c r="G55" s="150">
        <v>66.0</v>
      </c>
      <c r="H55" s="150">
        <v>60.0</v>
      </c>
      <c r="I55" s="150">
        <v>126.0</v>
      </c>
      <c r="J55" s="150">
        <v>49.0</v>
      </c>
      <c r="K55" s="150">
        <f t="shared" si="19"/>
        <v>241</v>
      </c>
      <c r="L55" s="169">
        <f t="shared" si="20"/>
        <v>0.4771784232</v>
      </c>
      <c r="M55" s="150">
        <v>7.0</v>
      </c>
      <c r="N55" s="150">
        <v>2.0</v>
      </c>
      <c r="O55" s="150">
        <v>5.0</v>
      </c>
      <c r="P55" s="150">
        <v>102.0</v>
      </c>
      <c r="Q55" s="150">
        <v>8.0</v>
      </c>
      <c r="R55" s="150">
        <v>27.0</v>
      </c>
      <c r="S55" s="151">
        <f t="shared" si="14"/>
        <v>137</v>
      </c>
      <c r="T55" s="150">
        <v>9.0</v>
      </c>
      <c r="U55" s="150">
        <f t="shared" si="21"/>
        <v>81</v>
      </c>
      <c r="V55" s="152">
        <f t="shared" si="15"/>
        <v>84.75</v>
      </c>
      <c r="W55" s="150">
        <f t="shared" si="16"/>
        <v>206</v>
      </c>
      <c r="X55" s="150">
        <v>167.0</v>
      </c>
      <c r="Y55" s="150">
        <v>39.0</v>
      </c>
      <c r="Z55" s="153">
        <f t="shared" si="17"/>
        <v>81.06796117</v>
      </c>
      <c r="AA55" s="150">
        <v>75.0</v>
      </c>
      <c r="AB55" s="107" t="str">
        <f t="shared" si="18"/>
        <v>8.3</v>
      </c>
    </row>
    <row r="56">
      <c r="B56" s="96">
        <v>8.0</v>
      </c>
      <c r="C56" s="97"/>
      <c r="D56" s="7"/>
      <c r="E56" s="105"/>
      <c r="F56" s="105"/>
      <c r="G56" s="105"/>
      <c r="H56" s="105"/>
      <c r="I56" s="105"/>
      <c r="J56" s="105"/>
      <c r="K56" s="98"/>
      <c r="L56" s="99"/>
      <c r="M56" s="105"/>
      <c r="N56" s="105"/>
      <c r="O56" s="105"/>
      <c r="P56" s="105"/>
      <c r="Q56" s="105"/>
      <c r="R56" s="105"/>
      <c r="S56" s="100"/>
      <c r="T56" s="105"/>
      <c r="U56" s="101"/>
      <c r="V56" s="102"/>
      <c r="W56" s="101"/>
      <c r="X56" s="105"/>
      <c r="Y56" s="105"/>
      <c r="Z56" s="106"/>
      <c r="AA56" s="105"/>
      <c r="AB56" s="103"/>
    </row>
    <row r="57">
      <c r="B57" s="96">
        <v>9.0</v>
      </c>
      <c r="C57" s="97"/>
      <c r="D57" s="7"/>
      <c r="E57" s="105"/>
      <c r="F57" s="105"/>
      <c r="G57" s="105"/>
      <c r="H57" s="105"/>
      <c r="I57" s="105"/>
      <c r="J57" s="105"/>
      <c r="K57" s="98"/>
      <c r="L57" s="99"/>
      <c r="M57" s="105"/>
      <c r="N57" s="105"/>
      <c r="O57" s="105"/>
      <c r="P57" s="105"/>
      <c r="Q57" s="105"/>
      <c r="R57" s="105"/>
      <c r="S57" s="100"/>
      <c r="T57" s="105"/>
      <c r="U57" s="101"/>
      <c r="V57" s="102"/>
      <c r="W57" s="101"/>
      <c r="X57" s="105"/>
      <c r="Y57" s="105"/>
      <c r="Z57" s="106"/>
      <c r="AA57" s="105"/>
      <c r="AB57" s="103"/>
    </row>
    <row r="58">
      <c r="B58" s="96">
        <v>10.0</v>
      </c>
      <c r="C58" s="97"/>
      <c r="D58" s="7"/>
      <c r="E58" s="105"/>
      <c r="F58" s="105"/>
      <c r="G58" s="105"/>
      <c r="H58" s="105"/>
      <c r="I58" s="105"/>
      <c r="J58" s="105"/>
      <c r="K58" s="98"/>
      <c r="L58" s="99"/>
      <c r="M58" s="105"/>
      <c r="N58" s="105"/>
      <c r="O58" s="105"/>
      <c r="P58" s="105"/>
      <c r="Q58" s="105"/>
      <c r="R58" s="105"/>
      <c r="S58" s="100"/>
      <c r="T58" s="105"/>
      <c r="U58" s="101"/>
      <c r="V58" s="102"/>
      <c r="W58" s="101"/>
      <c r="X58" s="105"/>
      <c r="Y58" s="105"/>
      <c r="Z58" s="106"/>
      <c r="AA58" s="105"/>
      <c r="AB58" s="103"/>
    </row>
  </sheetData>
  <mergeCells count="59">
    <mergeCell ref="C56:D56"/>
    <mergeCell ref="C57:D57"/>
    <mergeCell ref="C58:D58"/>
    <mergeCell ref="C49:D49"/>
    <mergeCell ref="C50:D50"/>
    <mergeCell ref="C51:D51"/>
    <mergeCell ref="C52:D52"/>
    <mergeCell ref="C53:D53"/>
    <mergeCell ref="C54:D54"/>
    <mergeCell ref="C55:D55"/>
    <mergeCell ref="A1:AB1"/>
    <mergeCell ref="B3:C3"/>
    <mergeCell ref="R3:S3"/>
    <mergeCell ref="B4:B5"/>
    <mergeCell ref="C4:D5"/>
    <mergeCell ref="E4:E5"/>
    <mergeCell ref="F4:G4"/>
    <mergeCell ref="P5:S5"/>
    <mergeCell ref="H4:I4"/>
    <mergeCell ref="J4:K4"/>
    <mergeCell ref="C6:D6"/>
    <mergeCell ref="C7:D7"/>
    <mergeCell ref="C8:D8"/>
    <mergeCell ref="C9:D9"/>
    <mergeCell ref="C10:D10"/>
    <mergeCell ref="P11:S11"/>
    <mergeCell ref="P12:S12"/>
    <mergeCell ref="P13:S13"/>
    <mergeCell ref="P14:S14"/>
    <mergeCell ref="P15:S15"/>
    <mergeCell ref="P16:S16"/>
    <mergeCell ref="L4:M4"/>
    <mergeCell ref="N4:O4"/>
    <mergeCell ref="P6:S6"/>
    <mergeCell ref="P7:S7"/>
    <mergeCell ref="P8:S8"/>
    <mergeCell ref="P9:S9"/>
    <mergeCell ref="P10:S10"/>
    <mergeCell ref="C11:D11"/>
    <mergeCell ref="C12:D12"/>
    <mergeCell ref="C13:D13"/>
    <mergeCell ref="C14:D14"/>
    <mergeCell ref="C15:D15"/>
    <mergeCell ref="C16:D16"/>
    <mergeCell ref="B19:C19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7:C47"/>
    <mergeCell ref="C48:D48"/>
  </mergeCells>
  <conditionalFormatting sqref="L21 L23 L25 L27 L29 L31 L33 L35 L37 L39 L41 L43 L49 L51 L53">
    <cfRule type="cellIs" dxfId="3" priority="1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3.88"/>
    <col customWidth="1" min="3" max="3" width="10.88"/>
    <col customWidth="1" min="4" max="4" width="11.13"/>
    <col customWidth="1" min="5" max="55" width="6.25"/>
  </cols>
  <sheetData>
    <row r="1">
      <c r="A1" s="1" t="s">
        <v>241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3">
      <c r="B3" s="47" t="s">
        <v>220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108">
        <v>46082.0</v>
      </c>
    </row>
    <row r="4">
      <c r="B4" s="109" t="s">
        <v>3</v>
      </c>
      <c r="C4" s="110" t="s">
        <v>4</v>
      </c>
      <c r="D4" s="51"/>
      <c r="E4" s="111" t="s">
        <v>221</v>
      </c>
      <c r="F4" s="112" t="s">
        <v>222</v>
      </c>
      <c r="H4" s="112" t="s">
        <v>223</v>
      </c>
      <c r="J4" s="112" t="s">
        <v>224</v>
      </c>
      <c r="L4" s="112" t="s">
        <v>225</v>
      </c>
      <c r="N4" s="113" t="s">
        <v>226</v>
      </c>
      <c r="P4" s="114" t="s">
        <v>233</v>
      </c>
      <c r="Q4" s="115"/>
      <c r="R4" s="115"/>
      <c r="S4" s="51"/>
    </row>
    <row r="5">
      <c r="B5" s="55"/>
      <c r="C5" s="56"/>
      <c r="D5" s="57"/>
      <c r="E5" s="55"/>
      <c r="F5" s="116" t="s">
        <v>227</v>
      </c>
      <c r="G5" s="116" t="s">
        <v>228</v>
      </c>
      <c r="H5" s="117" t="s">
        <v>227</v>
      </c>
      <c r="I5" s="117" t="s">
        <v>228</v>
      </c>
      <c r="J5" s="117" t="s">
        <v>229</v>
      </c>
      <c r="K5" s="117" t="s">
        <v>230</v>
      </c>
      <c r="L5" s="117" t="s">
        <v>231</v>
      </c>
      <c r="M5" s="117" t="s">
        <v>232</v>
      </c>
      <c r="N5" s="117" t="s">
        <v>231</v>
      </c>
      <c r="O5" s="117" t="s">
        <v>232</v>
      </c>
      <c r="P5" s="56"/>
      <c r="Q5" s="118"/>
      <c r="R5" s="118"/>
      <c r="S5" s="57"/>
    </row>
    <row r="6">
      <c r="B6" s="62">
        <v>1.0</v>
      </c>
      <c r="C6" s="68" t="s">
        <v>45</v>
      </c>
      <c r="D6" s="7"/>
      <c r="E6" s="64">
        <v>4.0</v>
      </c>
      <c r="F6" s="64">
        <v>3.0</v>
      </c>
      <c r="G6" s="64">
        <v>1.0</v>
      </c>
      <c r="H6" s="64">
        <v>10.0</v>
      </c>
      <c r="I6" s="64">
        <v>4.0</v>
      </c>
      <c r="J6" s="64">
        <v>344.0</v>
      </c>
      <c r="K6" s="64">
        <v>307.0</v>
      </c>
      <c r="L6" s="65">
        <f t="shared" ref="L6:L14" si="1">J6/E6</f>
        <v>86</v>
      </c>
      <c r="M6" s="65">
        <f t="shared" ref="M6:M14" si="2">K6/E6</f>
        <v>76.75</v>
      </c>
      <c r="N6" s="119">
        <f t="shared" ref="N6:N14" si="3">J6/(H6+I6)</f>
        <v>24.57142857</v>
      </c>
      <c r="O6" s="119">
        <f t="shared" ref="O6:O14" si="4">K6/(I6+H6)</f>
        <v>21.92857143</v>
      </c>
      <c r="P6" s="67" t="s">
        <v>242</v>
      </c>
      <c r="Q6" s="67"/>
      <c r="R6" s="67"/>
      <c r="S6" s="120"/>
    </row>
    <row r="7">
      <c r="B7" s="62">
        <v>2.0</v>
      </c>
      <c r="C7" s="68" t="s">
        <v>67</v>
      </c>
      <c r="D7" s="7"/>
      <c r="E7" s="64">
        <v>4.0</v>
      </c>
      <c r="F7" s="64">
        <v>3.0</v>
      </c>
      <c r="G7" s="64">
        <v>1.0</v>
      </c>
      <c r="H7" s="64">
        <v>10.0</v>
      </c>
      <c r="I7" s="64">
        <v>5.0</v>
      </c>
      <c r="J7" s="64">
        <v>336.0</v>
      </c>
      <c r="K7" s="64">
        <v>283.0</v>
      </c>
      <c r="L7" s="65">
        <f t="shared" si="1"/>
        <v>84</v>
      </c>
      <c r="M7" s="65">
        <f t="shared" si="2"/>
        <v>70.75</v>
      </c>
      <c r="N7" s="119">
        <f t="shared" si="3"/>
        <v>22.4</v>
      </c>
      <c r="O7" s="119">
        <f t="shared" si="4"/>
        <v>18.86666667</v>
      </c>
      <c r="P7" s="67" t="s">
        <v>243</v>
      </c>
      <c r="Q7" s="67"/>
      <c r="R7" s="67"/>
      <c r="S7" s="120"/>
    </row>
    <row r="8">
      <c r="B8" s="62">
        <v>3.0</v>
      </c>
      <c r="C8" s="68" t="s">
        <v>83</v>
      </c>
      <c r="D8" s="7"/>
      <c r="E8" s="64">
        <v>4.0</v>
      </c>
      <c r="F8" s="64">
        <v>2.0</v>
      </c>
      <c r="G8" s="64">
        <v>2.0</v>
      </c>
      <c r="H8" s="64">
        <v>6.0</v>
      </c>
      <c r="I8" s="64">
        <v>8.0</v>
      </c>
      <c r="J8" s="64">
        <v>306.0</v>
      </c>
      <c r="K8" s="64">
        <v>291.0</v>
      </c>
      <c r="L8" s="65">
        <f t="shared" si="1"/>
        <v>76.5</v>
      </c>
      <c r="M8" s="65">
        <f t="shared" si="2"/>
        <v>72.75</v>
      </c>
      <c r="N8" s="119">
        <f t="shared" si="3"/>
        <v>21.85714286</v>
      </c>
      <c r="O8" s="119">
        <f t="shared" si="4"/>
        <v>20.78571429</v>
      </c>
      <c r="P8" s="67" t="s">
        <v>244</v>
      </c>
      <c r="Q8" s="67"/>
      <c r="R8" s="67"/>
      <c r="S8" s="120"/>
    </row>
    <row r="9">
      <c r="B9" s="62">
        <v>4.0</v>
      </c>
      <c r="C9" s="68" t="s">
        <v>100</v>
      </c>
      <c r="D9" s="7"/>
      <c r="E9" s="64">
        <v>4.0</v>
      </c>
      <c r="F9" s="64">
        <v>3.0</v>
      </c>
      <c r="G9" s="64">
        <v>1.0</v>
      </c>
      <c r="H9" s="64">
        <v>11.0</v>
      </c>
      <c r="I9" s="64">
        <v>5.0</v>
      </c>
      <c r="J9" s="64">
        <v>354.0</v>
      </c>
      <c r="K9" s="64">
        <v>313.0</v>
      </c>
      <c r="L9" s="65">
        <f t="shared" si="1"/>
        <v>88.5</v>
      </c>
      <c r="M9" s="65">
        <f t="shared" si="2"/>
        <v>78.25</v>
      </c>
      <c r="N9" s="119">
        <f t="shared" si="3"/>
        <v>22.125</v>
      </c>
      <c r="O9" s="119">
        <f t="shared" si="4"/>
        <v>19.5625</v>
      </c>
      <c r="P9" s="67" t="s">
        <v>244</v>
      </c>
      <c r="Q9" s="67"/>
      <c r="R9" s="67"/>
      <c r="S9" s="120"/>
    </row>
    <row r="10">
      <c r="B10" s="62">
        <v>5.0</v>
      </c>
      <c r="C10" s="68" t="s">
        <v>114</v>
      </c>
      <c r="D10" s="7"/>
      <c r="E10" s="64">
        <v>3.0</v>
      </c>
      <c r="F10" s="64">
        <v>1.0</v>
      </c>
      <c r="G10" s="64">
        <v>2.0</v>
      </c>
      <c r="H10" s="64">
        <v>5.0</v>
      </c>
      <c r="I10" s="64">
        <v>7.0</v>
      </c>
      <c r="J10" s="64">
        <v>264.0</v>
      </c>
      <c r="K10" s="64">
        <v>293.0</v>
      </c>
      <c r="L10" s="65">
        <f t="shared" si="1"/>
        <v>88</v>
      </c>
      <c r="M10" s="65">
        <f t="shared" si="2"/>
        <v>97.66666667</v>
      </c>
      <c r="N10" s="119">
        <f t="shared" si="3"/>
        <v>22</v>
      </c>
      <c r="O10" s="119">
        <f t="shared" si="4"/>
        <v>24.41666667</v>
      </c>
      <c r="P10" s="69"/>
      <c r="Q10" s="69"/>
      <c r="R10" s="69"/>
      <c r="S10" s="73"/>
    </row>
    <row r="11">
      <c r="B11" s="62">
        <v>6.0</v>
      </c>
      <c r="C11" s="68" t="s">
        <v>127</v>
      </c>
      <c r="D11" s="7"/>
      <c r="E11" s="64">
        <v>3.0</v>
      </c>
      <c r="F11" s="64">
        <v>1.0</v>
      </c>
      <c r="G11" s="64">
        <v>2.0</v>
      </c>
      <c r="H11" s="64">
        <v>6.0</v>
      </c>
      <c r="I11" s="64">
        <v>7.0</v>
      </c>
      <c r="J11" s="64">
        <v>267.0</v>
      </c>
      <c r="K11" s="64">
        <v>280.0</v>
      </c>
      <c r="L11" s="65">
        <f t="shared" si="1"/>
        <v>89</v>
      </c>
      <c r="M11" s="65">
        <f t="shared" si="2"/>
        <v>93.33333333</v>
      </c>
      <c r="N11" s="119">
        <f t="shared" si="3"/>
        <v>20.53846154</v>
      </c>
      <c r="O11" s="119">
        <f t="shared" si="4"/>
        <v>21.53846154</v>
      </c>
      <c r="P11" s="69"/>
      <c r="Q11" s="69"/>
      <c r="R11" s="69"/>
      <c r="S11" s="73"/>
    </row>
    <row r="12">
      <c r="B12" s="62">
        <v>7.0</v>
      </c>
      <c r="C12" s="68" t="s">
        <v>138</v>
      </c>
      <c r="D12" s="7"/>
      <c r="E12" s="64">
        <v>2.0</v>
      </c>
      <c r="F12" s="64">
        <v>1.0</v>
      </c>
      <c r="G12" s="64">
        <v>1.0</v>
      </c>
      <c r="H12" s="64">
        <v>3.0</v>
      </c>
      <c r="I12" s="64">
        <v>4.0</v>
      </c>
      <c r="J12" s="64">
        <v>153.0</v>
      </c>
      <c r="K12" s="64">
        <v>160.0</v>
      </c>
      <c r="L12" s="65">
        <f t="shared" si="1"/>
        <v>76.5</v>
      </c>
      <c r="M12" s="65">
        <f t="shared" si="2"/>
        <v>80</v>
      </c>
      <c r="N12" s="119">
        <f t="shared" si="3"/>
        <v>21.85714286</v>
      </c>
      <c r="O12" s="119">
        <f t="shared" si="4"/>
        <v>22.85714286</v>
      </c>
      <c r="P12" s="69"/>
      <c r="Q12" s="69"/>
      <c r="R12" s="69"/>
      <c r="S12" s="73"/>
    </row>
    <row r="13">
      <c r="B13" s="62">
        <v>8.0</v>
      </c>
      <c r="C13" s="68" t="s">
        <v>151</v>
      </c>
      <c r="D13" s="7"/>
      <c r="E13" s="64">
        <v>2.0</v>
      </c>
      <c r="F13" s="64">
        <v>0.0</v>
      </c>
      <c r="G13" s="64">
        <v>2.0</v>
      </c>
      <c r="H13" s="64">
        <v>1.0</v>
      </c>
      <c r="I13" s="64">
        <v>6.0</v>
      </c>
      <c r="J13" s="64">
        <v>145.0</v>
      </c>
      <c r="K13" s="64">
        <v>171.0</v>
      </c>
      <c r="L13" s="65">
        <f t="shared" si="1"/>
        <v>72.5</v>
      </c>
      <c r="M13" s="65">
        <f t="shared" si="2"/>
        <v>85.5</v>
      </c>
      <c r="N13" s="119">
        <f t="shared" si="3"/>
        <v>20.71428571</v>
      </c>
      <c r="O13" s="119">
        <f t="shared" si="4"/>
        <v>24.42857143</v>
      </c>
      <c r="P13" s="69"/>
      <c r="Q13" s="69"/>
      <c r="R13" s="69"/>
      <c r="S13" s="73"/>
    </row>
    <row r="14">
      <c r="B14" s="62">
        <v>9.0</v>
      </c>
      <c r="C14" s="68" t="s">
        <v>162</v>
      </c>
      <c r="D14" s="7"/>
      <c r="E14" s="64">
        <v>2.0</v>
      </c>
      <c r="F14" s="64">
        <v>0.0</v>
      </c>
      <c r="G14" s="64">
        <v>2.0</v>
      </c>
      <c r="H14" s="64">
        <v>0.0</v>
      </c>
      <c r="I14" s="64">
        <v>6.0</v>
      </c>
      <c r="J14" s="64">
        <v>79.0</v>
      </c>
      <c r="K14" s="64">
        <v>150.0</v>
      </c>
      <c r="L14" s="65">
        <f t="shared" si="1"/>
        <v>39.5</v>
      </c>
      <c r="M14" s="65">
        <f t="shared" si="2"/>
        <v>75</v>
      </c>
      <c r="N14" s="119">
        <f t="shared" si="3"/>
        <v>13.16666667</v>
      </c>
      <c r="O14" s="119">
        <f t="shared" si="4"/>
        <v>25</v>
      </c>
      <c r="P14" s="69"/>
      <c r="Q14" s="69"/>
      <c r="R14" s="69"/>
      <c r="S14" s="73"/>
    </row>
    <row r="15">
      <c r="B15" s="62">
        <v>10.0</v>
      </c>
      <c r="C15" s="68"/>
      <c r="D15" s="7"/>
      <c r="E15" s="64"/>
      <c r="F15" s="70"/>
      <c r="G15" s="70"/>
      <c r="H15" s="70"/>
      <c r="I15" s="70"/>
      <c r="J15" s="71"/>
      <c r="K15" s="71"/>
      <c r="L15" s="72"/>
      <c r="M15" s="70"/>
      <c r="N15" s="121"/>
      <c r="O15" s="121"/>
      <c r="P15" s="69"/>
      <c r="Q15" s="69"/>
      <c r="R15" s="69"/>
      <c r="S15" s="73"/>
    </row>
    <row r="16">
      <c r="B16" s="74"/>
      <c r="C16" s="75" t="s">
        <v>236</v>
      </c>
      <c r="D16" s="7"/>
      <c r="E16" s="72">
        <f t="shared" ref="E16:O16" si="5">SUM(E6:E15)</f>
        <v>28</v>
      </c>
      <c r="F16" s="72">
        <f t="shared" si="5"/>
        <v>14</v>
      </c>
      <c r="G16" s="72">
        <f t="shared" si="5"/>
        <v>14</v>
      </c>
      <c r="H16" s="72">
        <f t="shared" si="5"/>
        <v>52</v>
      </c>
      <c r="I16" s="72">
        <f t="shared" si="5"/>
        <v>52</v>
      </c>
      <c r="J16" s="76">
        <f t="shared" si="5"/>
        <v>2248</v>
      </c>
      <c r="K16" s="76">
        <f t="shared" si="5"/>
        <v>2248</v>
      </c>
      <c r="L16" s="65">
        <f t="shared" si="5"/>
        <v>700.5</v>
      </c>
      <c r="M16" s="65">
        <f t="shared" si="5"/>
        <v>730</v>
      </c>
      <c r="N16" s="65">
        <f t="shared" si="5"/>
        <v>189.2301282</v>
      </c>
      <c r="O16" s="65">
        <f t="shared" si="5"/>
        <v>199.3842949</v>
      </c>
      <c r="P16" s="69"/>
      <c r="Q16" s="69"/>
      <c r="R16" s="69"/>
      <c r="S16" s="73"/>
    </row>
    <row r="19">
      <c r="A19" s="77"/>
      <c r="B19" s="78" t="s">
        <v>245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</row>
    <row r="20">
      <c r="A20" s="77"/>
      <c r="B20" s="79" t="s">
        <v>3</v>
      </c>
      <c r="C20" s="79" t="s">
        <v>246</v>
      </c>
      <c r="D20" s="79" t="s">
        <v>4</v>
      </c>
      <c r="E20" s="122" t="s">
        <v>238</v>
      </c>
      <c r="F20" s="10" t="s">
        <v>13</v>
      </c>
      <c r="G20" s="10" t="s">
        <v>14</v>
      </c>
      <c r="H20" s="10" t="s">
        <v>15</v>
      </c>
      <c r="I20" s="10" t="s">
        <v>16</v>
      </c>
      <c r="J20" s="10" t="s">
        <v>17</v>
      </c>
      <c r="K20" s="11" t="s">
        <v>18</v>
      </c>
      <c r="L20" s="12" t="s">
        <v>19</v>
      </c>
      <c r="M20" s="10" t="s">
        <v>20</v>
      </c>
      <c r="N20" s="10" t="s">
        <v>21</v>
      </c>
      <c r="O20" s="10" t="s">
        <v>22</v>
      </c>
      <c r="P20" s="10" t="s">
        <v>23</v>
      </c>
      <c r="Q20" s="10" t="s">
        <v>24</v>
      </c>
      <c r="R20" s="10" t="s">
        <v>25</v>
      </c>
      <c r="S20" s="11" t="s">
        <v>26</v>
      </c>
      <c r="T20" s="10" t="s">
        <v>27</v>
      </c>
      <c r="U20" s="11" t="s">
        <v>28</v>
      </c>
      <c r="V20" s="11" t="s">
        <v>270</v>
      </c>
      <c r="W20" s="11" t="s">
        <v>30</v>
      </c>
      <c r="X20" s="10" t="s">
        <v>31</v>
      </c>
      <c r="Y20" s="10" t="s">
        <v>32</v>
      </c>
      <c r="Z20" s="11" t="s">
        <v>33</v>
      </c>
      <c r="AA20" s="10" t="s">
        <v>34</v>
      </c>
      <c r="AB20" s="13" t="s">
        <v>35</v>
      </c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0"/>
    </row>
    <row r="21">
      <c r="A21" s="77"/>
      <c r="B21" s="123">
        <v>1.0</v>
      </c>
      <c r="C21" s="124" t="s">
        <v>248</v>
      </c>
      <c r="D21" s="125" t="s">
        <v>162</v>
      </c>
      <c r="E21" s="126"/>
      <c r="F21" s="127">
        <v>3.0</v>
      </c>
      <c r="G21" s="127">
        <v>18.0</v>
      </c>
      <c r="H21" s="127">
        <v>15.0</v>
      </c>
      <c r="I21" s="127">
        <v>22.0</v>
      </c>
      <c r="J21" s="127">
        <v>24.0</v>
      </c>
      <c r="K21" s="128">
        <f>if(J21+I21+G21=0,"-",J21+I21+G21)</f>
        <v>64</v>
      </c>
      <c r="L21" s="129">
        <f>if(iferror((G21-J21)/K21,0)=0,"-",round((G21-J21)/K21,2))</f>
        <v>-0.09</v>
      </c>
      <c r="M21" s="127">
        <v>3.0</v>
      </c>
      <c r="N21" s="127">
        <v>1.0</v>
      </c>
      <c r="O21" s="127">
        <v>3.0</v>
      </c>
      <c r="P21" s="127">
        <v>25.0</v>
      </c>
      <c r="Q21" s="127">
        <v>2.0</v>
      </c>
      <c r="R21" s="127">
        <v>5.0</v>
      </c>
      <c r="S21" s="130">
        <f t="shared" ref="S21:S48" si="6">IF(R21+Q21+P21=0,"-",R21+Q21+P21)</f>
        <v>32</v>
      </c>
      <c r="T21" s="127">
        <v>0.0</v>
      </c>
      <c r="U21" s="131">
        <f>G21+M21+Q21</f>
        <v>23</v>
      </c>
      <c r="V21" s="132">
        <f t="shared" ref="V21:V48" si="7">U21+O21*0.75</f>
        <v>25.25</v>
      </c>
      <c r="W21" s="131">
        <f t="shared" ref="W21:W48" si="8">X21+Y21</f>
        <v>68</v>
      </c>
      <c r="X21" s="127">
        <v>59.0</v>
      </c>
      <c r="Y21" s="127">
        <v>9.0</v>
      </c>
      <c r="Z21" s="133">
        <f t="shared" ref="Z21:Z48" si="9">iferror((X21/W21)*100,"-")</f>
        <v>86.76470588</v>
      </c>
      <c r="AA21" s="127">
        <v>16.0</v>
      </c>
      <c r="AB21" s="134" t="str">
        <f t="shared" ref="AB21:AB48" si="10">IFERROR(IF(MOD(AA21/F21, 1)=0, TEXT(AA21/F21, "0.0"), TEXT(AA21/F21, "0.0")), "-")</f>
        <v>5.3</v>
      </c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</row>
    <row r="22">
      <c r="A22" s="77"/>
      <c r="B22" s="55"/>
      <c r="C22" s="135" t="s">
        <v>248</v>
      </c>
      <c r="D22" s="136" t="s">
        <v>67</v>
      </c>
      <c r="E22" s="137"/>
      <c r="F22" s="138">
        <v>3.0</v>
      </c>
      <c r="G22" s="138">
        <v>38.0</v>
      </c>
      <c r="H22" s="138">
        <v>32.0</v>
      </c>
      <c r="I22" s="138">
        <v>18.0</v>
      </c>
      <c r="J22" s="138">
        <v>5.0</v>
      </c>
      <c r="K22" s="139">
        <f>G22+I22+J22</f>
        <v>61</v>
      </c>
      <c r="L22" s="140">
        <f>(G22+J22)/K22</f>
        <v>0.7049180328</v>
      </c>
      <c r="M22" s="138">
        <v>11.0</v>
      </c>
      <c r="N22" s="138">
        <v>1.0</v>
      </c>
      <c r="O22" s="138">
        <v>9.0</v>
      </c>
      <c r="P22" s="138">
        <v>59.0</v>
      </c>
      <c r="Q22" s="138">
        <v>9.0</v>
      </c>
      <c r="R22" s="138">
        <v>6.0</v>
      </c>
      <c r="S22" s="141">
        <f t="shared" si="6"/>
        <v>74</v>
      </c>
      <c r="T22" s="138">
        <v>0.0</v>
      </c>
      <c r="U22" s="142">
        <f>Q22+M22+G22</f>
        <v>58</v>
      </c>
      <c r="V22" s="143">
        <f t="shared" si="7"/>
        <v>64.75</v>
      </c>
      <c r="W22" s="142">
        <f t="shared" si="8"/>
        <v>27</v>
      </c>
      <c r="X22" s="138">
        <v>25.0</v>
      </c>
      <c r="Y22" s="138">
        <v>2.0</v>
      </c>
      <c r="Z22" s="144">
        <f t="shared" si="9"/>
        <v>92.59259259</v>
      </c>
      <c r="AA22" s="138">
        <v>16.0</v>
      </c>
      <c r="AB22" s="145" t="str">
        <f t="shared" si="10"/>
        <v>5.3</v>
      </c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</row>
    <row r="23">
      <c r="A23" s="77"/>
      <c r="B23" s="123">
        <v>2.0</v>
      </c>
      <c r="C23" s="124" t="s">
        <v>249</v>
      </c>
      <c r="D23" s="125" t="s">
        <v>114</v>
      </c>
      <c r="E23" s="126"/>
      <c r="F23" s="127">
        <v>4.0</v>
      </c>
      <c r="G23" s="127">
        <v>45.0</v>
      </c>
      <c r="H23" s="127">
        <v>42.0</v>
      </c>
      <c r="I23" s="127">
        <v>75.0</v>
      </c>
      <c r="J23" s="127">
        <v>23.0</v>
      </c>
      <c r="K23" s="128">
        <f>if(J23+I23+G23=0,"-",J23+I23+G23)</f>
        <v>143</v>
      </c>
      <c r="L23" s="129">
        <f>if(iferror((G23-J23)/K23,0)=0,"-",round((G23-J23)/K23,2))</f>
        <v>0.15</v>
      </c>
      <c r="M23" s="127">
        <v>7.0</v>
      </c>
      <c r="N23" s="127">
        <v>3.0</v>
      </c>
      <c r="O23" s="127">
        <v>7.0</v>
      </c>
      <c r="P23" s="127">
        <v>71.0</v>
      </c>
      <c r="Q23" s="127">
        <v>2.0</v>
      </c>
      <c r="R23" s="127">
        <v>12.0</v>
      </c>
      <c r="S23" s="130">
        <f t="shared" si="6"/>
        <v>85</v>
      </c>
      <c r="T23" s="127">
        <v>7.0</v>
      </c>
      <c r="U23" s="131">
        <f>G23+M23+Q23</f>
        <v>54</v>
      </c>
      <c r="V23" s="132">
        <f t="shared" si="7"/>
        <v>59.25</v>
      </c>
      <c r="W23" s="131">
        <f t="shared" si="8"/>
        <v>93</v>
      </c>
      <c r="X23" s="127">
        <v>77.0</v>
      </c>
      <c r="Y23" s="127">
        <v>16.0</v>
      </c>
      <c r="Z23" s="133">
        <f t="shared" si="9"/>
        <v>82.79569892</v>
      </c>
      <c r="AA23" s="127">
        <v>60.0</v>
      </c>
      <c r="AB23" s="134" t="str">
        <f t="shared" si="10"/>
        <v>15.0</v>
      </c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</row>
    <row r="24">
      <c r="A24" s="77"/>
      <c r="B24" s="55"/>
      <c r="C24" s="135" t="s">
        <v>249</v>
      </c>
      <c r="D24" s="136" t="s">
        <v>138</v>
      </c>
      <c r="E24" s="137"/>
      <c r="F24" s="138">
        <v>4.0</v>
      </c>
      <c r="G24" s="138">
        <v>47.0</v>
      </c>
      <c r="H24" s="138">
        <v>40.0</v>
      </c>
      <c r="I24" s="138">
        <v>70.0</v>
      </c>
      <c r="J24" s="138">
        <v>19.0</v>
      </c>
      <c r="K24" s="139">
        <f>G24+I24+J24</f>
        <v>136</v>
      </c>
      <c r="L24" s="140">
        <f>(G24+J24)/K24</f>
        <v>0.4852941176</v>
      </c>
      <c r="M24" s="138">
        <v>7.0</v>
      </c>
      <c r="N24" s="138">
        <v>0.0</v>
      </c>
      <c r="O24" s="138">
        <v>6.0</v>
      </c>
      <c r="P24" s="138">
        <v>77.0</v>
      </c>
      <c r="Q24" s="138">
        <v>9.0</v>
      </c>
      <c r="R24" s="138">
        <v>12.0</v>
      </c>
      <c r="S24" s="141">
        <f t="shared" si="6"/>
        <v>98</v>
      </c>
      <c r="T24" s="138">
        <v>7.0</v>
      </c>
      <c r="U24" s="142">
        <f>Q24+M24+G24</f>
        <v>63</v>
      </c>
      <c r="V24" s="143">
        <f t="shared" si="7"/>
        <v>67.5</v>
      </c>
      <c r="W24" s="142">
        <f t="shared" si="8"/>
        <v>80</v>
      </c>
      <c r="X24" s="138">
        <v>71.0</v>
      </c>
      <c r="Y24" s="138">
        <v>9.0</v>
      </c>
      <c r="Z24" s="144">
        <f t="shared" si="9"/>
        <v>88.75</v>
      </c>
      <c r="AA24" s="138">
        <v>59.0</v>
      </c>
      <c r="AB24" s="145" t="str">
        <f t="shared" si="10"/>
        <v>14.8</v>
      </c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</row>
    <row r="25">
      <c r="A25" s="77"/>
      <c r="B25" s="123">
        <v>3.0</v>
      </c>
      <c r="C25" s="124">
        <v>260303.0</v>
      </c>
      <c r="D25" s="125" t="s">
        <v>151</v>
      </c>
      <c r="E25" s="126"/>
      <c r="F25" s="127">
        <v>4.0</v>
      </c>
      <c r="G25" s="127">
        <v>51.0</v>
      </c>
      <c r="H25" s="127">
        <v>47.0</v>
      </c>
      <c r="I25" s="127">
        <v>108.0</v>
      </c>
      <c r="J25" s="127">
        <v>21.0</v>
      </c>
      <c r="K25" s="128">
        <f>if(J25+I25+G25=0,"-",J25+I25+G25)</f>
        <v>180</v>
      </c>
      <c r="L25" s="129">
        <f>if(iferror((G25-J25)/K25,0)=0,"-",round((G25-J25)/K25,2))</f>
        <v>0.17</v>
      </c>
      <c r="M25" s="127">
        <v>6.0</v>
      </c>
      <c r="N25" s="127">
        <v>1.0</v>
      </c>
      <c r="O25" s="127">
        <v>5.0</v>
      </c>
      <c r="P25" s="127">
        <v>73.0</v>
      </c>
      <c r="Q25" s="127">
        <v>4.0</v>
      </c>
      <c r="R25" s="127">
        <v>9.0</v>
      </c>
      <c r="S25" s="130">
        <f t="shared" si="6"/>
        <v>86</v>
      </c>
      <c r="T25" s="127">
        <v>1.0</v>
      </c>
      <c r="U25" s="131">
        <f>G25+M25+Q25</f>
        <v>61</v>
      </c>
      <c r="V25" s="132">
        <f t="shared" si="7"/>
        <v>64.75</v>
      </c>
      <c r="W25" s="131">
        <f t="shared" si="8"/>
        <v>87</v>
      </c>
      <c r="X25" s="127">
        <v>79.0</v>
      </c>
      <c r="Y25" s="127">
        <v>8.0</v>
      </c>
      <c r="Z25" s="133">
        <f t="shared" si="9"/>
        <v>90.8045977</v>
      </c>
      <c r="AA25" s="127">
        <v>94.0</v>
      </c>
      <c r="AB25" s="134" t="str">
        <f t="shared" si="10"/>
        <v>23.5</v>
      </c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</row>
    <row r="26">
      <c r="A26" s="77"/>
      <c r="B26" s="55"/>
      <c r="C26" s="135">
        <v>260303.0</v>
      </c>
      <c r="D26" s="136" t="s">
        <v>127</v>
      </c>
      <c r="E26" s="137"/>
      <c r="F26" s="138">
        <v>4.0</v>
      </c>
      <c r="G26" s="138">
        <v>58.0</v>
      </c>
      <c r="H26" s="138">
        <v>55.0</v>
      </c>
      <c r="I26" s="138">
        <v>106.0</v>
      </c>
      <c r="J26" s="138">
        <v>20.0</v>
      </c>
      <c r="K26" s="139">
        <f>G26+I26+J26</f>
        <v>184</v>
      </c>
      <c r="L26" s="140">
        <f>(G26+J26)/K26</f>
        <v>0.4239130435</v>
      </c>
      <c r="M26" s="138">
        <v>3.0</v>
      </c>
      <c r="N26" s="138">
        <v>1.0</v>
      </c>
      <c r="O26" s="138">
        <v>3.0</v>
      </c>
      <c r="P26" s="138">
        <v>79.0</v>
      </c>
      <c r="Q26" s="138">
        <v>7.0</v>
      </c>
      <c r="R26" s="138">
        <v>8.0</v>
      </c>
      <c r="S26" s="141">
        <f t="shared" si="6"/>
        <v>94</v>
      </c>
      <c r="T26" s="138">
        <v>1.0</v>
      </c>
      <c r="U26" s="142">
        <f>Q26+M26+G26</f>
        <v>68</v>
      </c>
      <c r="V26" s="143">
        <f t="shared" si="7"/>
        <v>70.25</v>
      </c>
      <c r="W26" s="142">
        <f t="shared" si="8"/>
        <v>78</v>
      </c>
      <c r="X26" s="138">
        <v>73.0</v>
      </c>
      <c r="Y26" s="138">
        <v>5.0</v>
      </c>
      <c r="Z26" s="144">
        <f t="shared" si="9"/>
        <v>93.58974359</v>
      </c>
      <c r="AA26" s="138">
        <v>96.0</v>
      </c>
      <c r="AB26" s="145" t="str">
        <f t="shared" si="10"/>
        <v>24.0</v>
      </c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</row>
    <row r="27">
      <c r="A27" s="77"/>
      <c r="B27" s="123">
        <v>4.0</v>
      </c>
      <c r="C27" s="124">
        <v>260304.0</v>
      </c>
      <c r="D27" s="125" t="s">
        <v>45</v>
      </c>
      <c r="E27" s="126"/>
      <c r="F27" s="127">
        <v>4.0</v>
      </c>
      <c r="G27" s="127">
        <v>49.0</v>
      </c>
      <c r="H27" s="127">
        <v>46.0</v>
      </c>
      <c r="I27" s="127">
        <v>67.0</v>
      </c>
      <c r="J27" s="127">
        <v>21.0</v>
      </c>
      <c r="K27" s="128">
        <f>if(J27+I27+G27=0,"-",J27+I27+G27)</f>
        <v>137</v>
      </c>
      <c r="L27" s="129">
        <f>if(iferror((G27-J27)/K27,0)=0,"-",round((G27-J27)/K27,2))</f>
        <v>0.2</v>
      </c>
      <c r="M27" s="127">
        <v>2.0</v>
      </c>
      <c r="N27" s="127">
        <v>1.0</v>
      </c>
      <c r="O27" s="127">
        <v>0.0</v>
      </c>
      <c r="P27" s="127">
        <v>82.0</v>
      </c>
      <c r="Q27" s="127">
        <v>4.0</v>
      </c>
      <c r="R27" s="127">
        <v>14.0</v>
      </c>
      <c r="S27" s="130">
        <f t="shared" si="6"/>
        <v>100</v>
      </c>
      <c r="T27" s="127">
        <v>2.0</v>
      </c>
      <c r="U27" s="131">
        <f>G27+M27+Q27</f>
        <v>55</v>
      </c>
      <c r="V27" s="132">
        <f t="shared" si="7"/>
        <v>55</v>
      </c>
      <c r="W27" s="131">
        <f t="shared" si="8"/>
        <v>96</v>
      </c>
      <c r="X27" s="127">
        <v>85.0</v>
      </c>
      <c r="Y27" s="127">
        <v>11.0</v>
      </c>
      <c r="Z27" s="133">
        <f t="shared" si="9"/>
        <v>88.54166667</v>
      </c>
      <c r="AA27" s="127">
        <v>46.0</v>
      </c>
      <c r="AB27" s="134" t="str">
        <f t="shared" si="10"/>
        <v>11.5</v>
      </c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</row>
    <row r="28">
      <c r="A28" s="77"/>
      <c r="B28" s="55"/>
      <c r="C28" s="135">
        <v>260304.0</v>
      </c>
      <c r="D28" s="136" t="s">
        <v>114</v>
      </c>
      <c r="E28" s="137"/>
      <c r="F28" s="138">
        <v>4.0</v>
      </c>
      <c r="G28" s="138">
        <v>62.0</v>
      </c>
      <c r="H28" s="138">
        <v>57.0</v>
      </c>
      <c r="I28" s="138">
        <v>60.0</v>
      </c>
      <c r="J28" s="138">
        <v>31.0</v>
      </c>
      <c r="K28" s="139">
        <f>G28+I28+J28</f>
        <v>153</v>
      </c>
      <c r="L28" s="140">
        <f>(G28+J28)/K28</f>
        <v>0.6078431373</v>
      </c>
      <c r="M28" s="138">
        <v>1.0</v>
      </c>
      <c r="N28" s="138">
        <v>1.0</v>
      </c>
      <c r="O28" s="138">
        <v>0.0</v>
      </c>
      <c r="P28" s="138">
        <v>85.0</v>
      </c>
      <c r="Q28" s="138">
        <v>9.0</v>
      </c>
      <c r="R28" s="138">
        <v>12.0</v>
      </c>
      <c r="S28" s="141">
        <f t="shared" si="6"/>
        <v>106</v>
      </c>
      <c r="T28" s="138">
        <v>3.0</v>
      </c>
      <c r="U28" s="142">
        <f>Q28+M28+G28</f>
        <v>72</v>
      </c>
      <c r="V28" s="143">
        <f t="shared" si="7"/>
        <v>72</v>
      </c>
      <c r="W28" s="142">
        <f t="shared" si="8"/>
        <v>89</v>
      </c>
      <c r="X28" s="138">
        <v>82.0</v>
      </c>
      <c r="Y28" s="138">
        <v>7.0</v>
      </c>
      <c r="Z28" s="144">
        <f t="shared" si="9"/>
        <v>92.13483146</v>
      </c>
      <c r="AA28" s="138">
        <v>60.0</v>
      </c>
      <c r="AB28" s="145" t="str">
        <f t="shared" si="10"/>
        <v>15.0</v>
      </c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</row>
    <row r="29">
      <c r="A29" s="77"/>
      <c r="B29" s="123">
        <v>5.0</v>
      </c>
      <c r="C29" s="124">
        <v>260305.0</v>
      </c>
      <c r="D29" s="125" t="s">
        <v>100</v>
      </c>
      <c r="E29" s="126"/>
      <c r="F29" s="127">
        <v>4.0</v>
      </c>
      <c r="G29" s="127">
        <v>52.0</v>
      </c>
      <c r="H29" s="127">
        <v>48.0</v>
      </c>
      <c r="I29" s="127">
        <v>53.0</v>
      </c>
      <c r="J29" s="127">
        <v>20.0</v>
      </c>
      <c r="K29" s="128">
        <f>if(J29+I29+G29=0,"-",J29+I29+G29)</f>
        <v>125</v>
      </c>
      <c r="L29" s="129">
        <f>if(iferror((G29-J29)/K29,0)=0,"-",round((G29-J29)/K29,2))</f>
        <v>0.26</v>
      </c>
      <c r="M29" s="127">
        <v>13.0</v>
      </c>
      <c r="N29" s="127">
        <v>1.0</v>
      </c>
      <c r="O29" s="127">
        <v>12.0</v>
      </c>
      <c r="P29" s="127">
        <v>70.0</v>
      </c>
      <c r="Q29" s="127">
        <v>12.0</v>
      </c>
      <c r="R29" s="127">
        <v>5.0</v>
      </c>
      <c r="S29" s="130">
        <f t="shared" si="6"/>
        <v>87</v>
      </c>
      <c r="T29" s="127">
        <v>1.0</v>
      </c>
      <c r="U29" s="131">
        <f>G29+M29+Q29</f>
        <v>77</v>
      </c>
      <c r="V29" s="132">
        <f t="shared" si="7"/>
        <v>86</v>
      </c>
      <c r="W29" s="131">
        <f t="shared" si="8"/>
        <v>74</v>
      </c>
      <c r="X29" s="127">
        <v>67.0</v>
      </c>
      <c r="Y29" s="127">
        <v>7.0</v>
      </c>
      <c r="Z29" s="133">
        <f t="shared" si="9"/>
        <v>90.54054054</v>
      </c>
      <c r="AA29" s="127">
        <v>47.0</v>
      </c>
      <c r="AB29" s="134" t="str">
        <f t="shared" si="10"/>
        <v>11.8</v>
      </c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</row>
    <row r="30">
      <c r="A30" s="77"/>
      <c r="B30" s="55"/>
      <c r="C30" s="135">
        <v>260305.0</v>
      </c>
      <c r="D30" s="136" t="s">
        <v>127</v>
      </c>
      <c r="E30" s="137"/>
      <c r="F30" s="138">
        <v>4.0</v>
      </c>
      <c r="G30" s="138">
        <v>47.0</v>
      </c>
      <c r="H30" s="138">
        <v>43.0</v>
      </c>
      <c r="I30" s="138">
        <v>49.0</v>
      </c>
      <c r="J30" s="138">
        <v>16.0</v>
      </c>
      <c r="K30" s="139">
        <f>G30+I30+J30</f>
        <v>112</v>
      </c>
      <c r="L30" s="140">
        <f>(G30+J30)/K30</f>
        <v>0.5625</v>
      </c>
      <c r="M30" s="138">
        <v>3.0</v>
      </c>
      <c r="N30" s="138">
        <v>0.0</v>
      </c>
      <c r="O30" s="138">
        <v>2.0</v>
      </c>
      <c r="P30" s="138">
        <v>67.0</v>
      </c>
      <c r="Q30" s="138">
        <v>6.0</v>
      </c>
      <c r="R30" s="138">
        <v>7.0</v>
      </c>
      <c r="S30" s="141">
        <f t="shared" si="6"/>
        <v>80</v>
      </c>
      <c r="T30" s="138">
        <v>1.0</v>
      </c>
      <c r="U30" s="142">
        <f>Q30+M30+G30</f>
        <v>56</v>
      </c>
      <c r="V30" s="143">
        <f t="shared" si="7"/>
        <v>57.5</v>
      </c>
      <c r="W30" s="142">
        <f t="shared" si="8"/>
        <v>82</v>
      </c>
      <c r="X30" s="138">
        <v>70.0</v>
      </c>
      <c r="Y30" s="138">
        <v>12.0</v>
      </c>
      <c r="Z30" s="144">
        <f t="shared" si="9"/>
        <v>85.36585366</v>
      </c>
      <c r="AA30" s="138">
        <v>43.0</v>
      </c>
      <c r="AB30" s="145" t="str">
        <f t="shared" si="10"/>
        <v>10.8</v>
      </c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</row>
    <row r="31">
      <c r="A31" s="77"/>
      <c r="B31" s="123">
        <v>6.0</v>
      </c>
      <c r="C31" s="124">
        <v>260306.0</v>
      </c>
      <c r="D31" s="125" t="s">
        <v>83</v>
      </c>
      <c r="E31" s="126"/>
      <c r="F31" s="127">
        <v>3.0</v>
      </c>
      <c r="G31" s="127">
        <v>30.0</v>
      </c>
      <c r="H31" s="127">
        <v>28.0</v>
      </c>
      <c r="I31" s="127">
        <v>43.0</v>
      </c>
      <c r="J31" s="127">
        <v>16.0</v>
      </c>
      <c r="K31" s="128">
        <f>if(J31+I31+G31=0,"-",J31+I31+G31)</f>
        <v>89</v>
      </c>
      <c r="L31" s="129">
        <f>if(iferror((G31-J31)/K31,0)=0,"-",round((G31-J31)/K31,2))</f>
        <v>0.16</v>
      </c>
      <c r="M31" s="127">
        <v>5.0</v>
      </c>
      <c r="N31" s="127">
        <v>2.0</v>
      </c>
      <c r="O31" s="127">
        <v>4.0</v>
      </c>
      <c r="P31" s="127">
        <v>45.0</v>
      </c>
      <c r="Q31" s="127">
        <v>6.0</v>
      </c>
      <c r="R31" s="127">
        <v>12.0</v>
      </c>
      <c r="S31" s="130">
        <f t="shared" si="6"/>
        <v>63</v>
      </c>
      <c r="T31" s="127">
        <v>2.0</v>
      </c>
      <c r="U31" s="131">
        <f>G31+M31+Q31</f>
        <v>41</v>
      </c>
      <c r="V31" s="132">
        <f t="shared" si="7"/>
        <v>44</v>
      </c>
      <c r="W31" s="131">
        <f t="shared" si="8"/>
        <v>69</v>
      </c>
      <c r="X31" s="127">
        <v>60.0</v>
      </c>
      <c r="Y31" s="127">
        <v>9.0</v>
      </c>
      <c r="Z31" s="133">
        <f t="shared" si="9"/>
        <v>86.95652174</v>
      </c>
      <c r="AA31" s="127">
        <v>27.0</v>
      </c>
      <c r="AB31" s="134" t="str">
        <f t="shared" si="10"/>
        <v>9.0</v>
      </c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</row>
    <row r="32">
      <c r="A32" s="77"/>
      <c r="B32" s="55"/>
      <c r="C32" s="135">
        <v>260306.0</v>
      </c>
      <c r="D32" s="136" t="s">
        <v>67</v>
      </c>
      <c r="E32" s="137"/>
      <c r="F32" s="138">
        <v>3.0</v>
      </c>
      <c r="G32" s="138">
        <v>40.0</v>
      </c>
      <c r="H32" s="138">
        <v>36.0</v>
      </c>
      <c r="I32" s="138">
        <v>30.0</v>
      </c>
      <c r="J32" s="138">
        <v>17.0</v>
      </c>
      <c r="K32" s="139">
        <f>G32+I32+J32</f>
        <v>87</v>
      </c>
      <c r="L32" s="140">
        <f>(G32+J32)/K32</f>
        <v>0.6551724138</v>
      </c>
      <c r="M32" s="138">
        <v>8.0</v>
      </c>
      <c r="N32" s="138">
        <v>0.0</v>
      </c>
      <c r="O32" s="138">
        <v>8.0</v>
      </c>
      <c r="P32" s="138">
        <v>60.0</v>
      </c>
      <c r="Q32" s="138">
        <v>7.0</v>
      </c>
      <c r="R32" s="138">
        <v>8.0</v>
      </c>
      <c r="S32" s="141">
        <f t="shared" si="6"/>
        <v>75</v>
      </c>
      <c r="T32" s="138">
        <v>0.0</v>
      </c>
      <c r="U32" s="142">
        <f>Q32+M32+G32</f>
        <v>55</v>
      </c>
      <c r="V32" s="143">
        <f t="shared" si="7"/>
        <v>61</v>
      </c>
      <c r="W32" s="142">
        <f t="shared" si="8"/>
        <v>51</v>
      </c>
      <c r="X32" s="138">
        <v>45.0</v>
      </c>
      <c r="Y32" s="138">
        <v>6.0</v>
      </c>
      <c r="Z32" s="144">
        <f t="shared" si="9"/>
        <v>88.23529412</v>
      </c>
      <c r="AA32" s="138">
        <v>34.0</v>
      </c>
      <c r="AB32" s="145" t="str">
        <f t="shared" si="10"/>
        <v>11.3</v>
      </c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</row>
    <row r="33">
      <c r="A33" s="77"/>
      <c r="B33" s="123">
        <v>7.0</v>
      </c>
      <c r="C33" s="124">
        <v>260307.0</v>
      </c>
      <c r="D33" s="125" t="s">
        <v>100</v>
      </c>
      <c r="E33" s="126"/>
      <c r="F33" s="127">
        <v>3.0</v>
      </c>
      <c r="G33" s="127">
        <v>38.0</v>
      </c>
      <c r="H33" s="127">
        <v>34.0</v>
      </c>
      <c r="I33" s="127">
        <v>49.0</v>
      </c>
      <c r="J33" s="127">
        <v>17.0</v>
      </c>
      <c r="K33" s="128">
        <f>if(J33+I33+G33=0,"-",J33+I33+G33)</f>
        <v>104</v>
      </c>
      <c r="L33" s="129">
        <f>if(iferror((G33-J33)/K33,0)=0,"-",round((G33-J33)/K33,2))</f>
        <v>0.2</v>
      </c>
      <c r="M33" s="127">
        <v>9.0</v>
      </c>
      <c r="N33" s="127">
        <v>2.0</v>
      </c>
      <c r="O33" s="127">
        <v>8.0</v>
      </c>
      <c r="P33" s="127">
        <v>58.0</v>
      </c>
      <c r="Q33" s="127">
        <v>10.0</v>
      </c>
      <c r="R33" s="127">
        <v>6.0</v>
      </c>
      <c r="S33" s="130">
        <f t="shared" si="6"/>
        <v>74</v>
      </c>
      <c r="T33" s="127">
        <v>0.0</v>
      </c>
      <c r="U33" s="131">
        <f>G33+M33+Q33</f>
        <v>57</v>
      </c>
      <c r="V33" s="132">
        <f t="shared" si="7"/>
        <v>63</v>
      </c>
      <c r="W33" s="131">
        <f t="shared" si="8"/>
        <v>54</v>
      </c>
      <c r="X33" s="127">
        <v>48.0</v>
      </c>
      <c r="Y33" s="127">
        <v>6.0</v>
      </c>
      <c r="Z33" s="133">
        <f t="shared" si="9"/>
        <v>88.88888889</v>
      </c>
      <c r="AA33" s="127">
        <v>40.0</v>
      </c>
      <c r="AB33" s="134" t="str">
        <f t="shared" si="10"/>
        <v>13.3</v>
      </c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</row>
    <row r="34">
      <c r="A34" s="77"/>
      <c r="B34" s="55"/>
      <c r="C34" s="135">
        <v>260307.0</v>
      </c>
      <c r="D34" s="136" t="s">
        <v>151</v>
      </c>
      <c r="E34" s="137"/>
      <c r="F34" s="138">
        <v>3.0</v>
      </c>
      <c r="G34" s="138">
        <v>33.0</v>
      </c>
      <c r="H34" s="138">
        <v>33.0</v>
      </c>
      <c r="I34" s="138">
        <v>49.0</v>
      </c>
      <c r="J34" s="138">
        <v>18.0</v>
      </c>
      <c r="K34" s="139">
        <f>G34+I34+J34</f>
        <v>100</v>
      </c>
      <c r="L34" s="140">
        <f>(G34+J34)/K34</f>
        <v>0.51</v>
      </c>
      <c r="M34" s="138">
        <v>9.0</v>
      </c>
      <c r="N34" s="138">
        <v>0.0</v>
      </c>
      <c r="O34" s="138">
        <v>7.0</v>
      </c>
      <c r="P34" s="138">
        <v>48.0</v>
      </c>
      <c r="Q34" s="138">
        <v>6.0</v>
      </c>
      <c r="R34" s="138">
        <v>9.0</v>
      </c>
      <c r="S34" s="141">
        <f t="shared" si="6"/>
        <v>63</v>
      </c>
      <c r="T34" s="138">
        <v>0.0</v>
      </c>
      <c r="U34" s="142">
        <f>Q34+M34+G34</f>
        <v>48</v>
      </c>
      <c r="V34" s="143">
        <f t="shared" si="7"/>
        <v>53.25</v>
      </c>
      <c r="W34" s="142">
        <f t="shared" si="8"/>
        <v>68</v>
      </c>
      <c r="X34" s="138">
        <v>58.0</v>
      </c>
      <c r="Y34" s="138">
        <v>10.0</v>
      </c>
      <c r="Z34" s="144">
        <f t="shared" si="9"/>
        <v>85.29411765</v>
      </c>
      <c r="AA34" s="138">
        <v>46.0</v>
      </c>
      <c r="AB34" s="145" t="str">
        <f t="shared" si="10"/>
        <v>15.3</v>
      </c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</row>
    <row r="35">
      <c r="A35" s="77"/>
      <c r="B35" s="123">
        <v>8.0</v>
      </c>
      <c r="C35" s="124">
        <v>260308.0</v>
      </c>
      <c r="D35" s="125" t="s">
        <v>83</v>
      </c>
      <c r="E35" s="126"/>
      <c r="F35" s="127">
        <v>3.0</v>
      </c>
      <c r="G35" s="127">
        <v>31.0</v>
      </c>
      <c r="H35" s="127">
        <v>31.0</v>
      </c>
      <c r="I35" s="127">
        <v>29.0</v>
      </c>
      <c r="J35" s="127">
        <v>15.0</v>
      </c>
      <c r="K35" s="128">
        <f>if(J35+I35+G35=0,"-",J35+I35+G35)</f>
        <v>75</v>
      </c>
      <c r="L35" s="129">
        <f>if(iferror((G35-J35)/K35,0)=0,"-",round((G35-J35)/K35,2))</f>
        <v>0.21</v>
      </c>
      <c r="M35" s="127">
        <v>5.0</v>
      </c>
      <c r="N35" s="127">
        <v>0.0</v>
      </c>
      <c r="O35" s="127">
        <v>4.0</v>
      </c>
      <c r="P35" s="127">
        <v>55.0</v>
      </c>
      <c r="Q35" s="127">
        <v>10.0</v>
      </c>
      <c r="R35" s="127">
        <v>8.0</v>
      </c>
      <c r="S35" s="130">
        <f t="shared" si="6"/>
        <v>73</v>
      </c>
      <c r="T35" s="127">
        <v>3.0</v>
      </c>
      <c r="U35" s="131">
        <f>G35+M35+Q35</f>
        <v>46</v>
      </c>
      <c r="V35" s="132">
        <f t="shared" si="7"/>
        <v>49</v>
      </c>
      <c r="W35" s="131">
        <f t="shared" si="8"/>
        <v>44</v>
      </c>
      <c r="X35" s="127">
        <v>36.0</v>
      </c>
      <c r="Y35" s="127">
        <v>8.0</v>
      </c>
      <c r="Z35" s="133">
        <f t="shared" si="9"/>
        <v>81.81818182</v>
      </c>
      <c r="AA35" s="127">
        <v>36.0</v>
      </c>
      <c r="AB35" s="134" t="str">
        <f t="shared" si="10"/>
        <v>12.0</v>
      </c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</row>
    <row r="36">
      <c r="A36" s="77"/>
      <c r="B36" s="55"/>
      <c r="C36" s="135">
        <v>260308.0</v>
      </c>
      <c r="D36" s="136" t="s">
        <v>162</v>
      </c>
      <c r="E36" s="137"/>
      <c r="F36" s="138">
        <v>3.0</v>
      </c>
      <c r="G36" s="138">
        <v>16.0</v>
      </c>
      <c r="H36" s="138">
        <v>16.0</v>
      </c>
      <c r="I36" s="138">
        <v>39.0</v>
      </c>
      <c r="J36" s="138">
        <v>23.0</v>
      </c>
      <c r="K36" s="139">
        <f>G36+I36+J36</f>
        <v>78</v>
      </c>
      <c r="L36" s="140">
        <f>(G36+J36)/K36</f>
        <v>0.5</v>
      </c>
      <c r="M36" s="138">
        <v>4.0</v>
      </c>
      <c r="N36" s="138">
        <v>0.0</v>
      </c>
      <c r="O36" s="138">
        <v>2.0</v>
      </c>
      <c r="P36" s="138">
        <v>36.0</v>
      </c>
      <c r="Q36" s="138">
        <v>5.0</v>
      </c>
      <c r="R36" s="138">
        <v>8.0</v>
      </c>
      <c r="S36" s="141">
        <f t="shared" si="6"/>
        <v>49</v>
      </c>
      <c r="T36" s="138">
        <v>3.0</v>
      </c>
      <c r="U36" s="142">
        <f>Q36+M36+G36</f>
        <v>25</v>
      </c>
      <c r="V36" s="143">
        <f t="shared" si="7"/>
        <v>26.5</v>
      </c>
      <c r="W36" s="142">
        <f t="shared" si="8"/>
        <v>68</v>
      </c>
      <c r="X36" s="138">
        <v>55.0</v>
      </c>
      <c r="Y36" s="138">
        <v>13.0</v>
      </c>
      <c r="Z36" s="144">
        <f t="shared" si="9"/>
        <v>80.88235294</v>
      </c>
      <c r="AA36" s="138">
        <v>23.0</v>
      </c>
      <c r="AB36" s="145" t="str">
        <f t="shared" si="10"/>
        <v>7.7</v>
      </c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</row>
    <row r="37">
      <c r="A37" s="77"/>
      <c r="B37" s="123">
        <v>9.0</v>
      </c>
      <c r="C37" s="124">
        <v>260309.0</v>
      </c>
      <c r="D37" s="125" t="s">
        <v>45</v>
      </c>
      <c r="E37" s="126"/>
      <c r="F37" s="127">
        <v>3.0</v>
      </c>
      <c r="G37" s="127">
        <v>40.0</v>
      </c>
      <c r="H37" s="127">
        <v>38.0</v>
      </c>
      <c r="I37" s="127">
        <v>32.0</v>
      </c>
      <c r="J37" s="127">
        <v>14.0</v>
      </c>
      <c r="K37" s="128">
        <f>if(J37+I37+G37=0,"-",J37+I37+G37)</f>
        <v>86</v>
      </c>
      <c r="L37" s="129">
        <f>if(iferror((G37-J37)/K37,0)=0,"-",round((G37-J37)/K37,2))</f>
        <v>0.3</v>
      </c>
      <c r="M37" s="127">
        <v>12.0</v>
      </c>
      <c r="N37" s="127">
        <v>1.0</v>
      </c>
      <c r="O37" s="127">
        <v>0.0</v>
      </c>
      <c r="P37" s="127">
        <v>61.0</v>
      </c>
      <c r="Q37" s="127">
        <v>6.0</v>
      </c>
      <c r="R37" s="127">
        <v>6.0</v>
      </c>
      <c r="S37" s="130">
        <f t="shared" si="6"/>
        <v>73</v>
      </c>
      <c r="T37" s="127">
        <v>0.0</v>
      </c>
      <c r="U37" s="131">
        <f>G37+M37+Q37</f>
        <v>58</v>
      </c>
      <c r="V37" s="132">
        <f t="shared" si="7"/>
        <v>58</v>
      </c>
      <c r="W37" s="131">
        <f t="shared" si="8"/>
        <v>52</v>
      </c>
      <c r="X37" s="127">
        <v>49.0</v>
      </c>
      <c r="Y37" s="127">
        <v>3.0</v>
      </c>
      <c r="Z37" s="133">
        <f t="shared" si="9"/>
        <v>94.23076923</v>
      </c>
      <c r="AA37" s="127">
        <v>31.0</v>
      </c>
      <c r="AB37" s="134" t="str">
        <f t="shared" si="10"/>
        <v>10.3</v>
      </c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</row>
    <row r="38">
      <c r="A38" s="77"/>
      <c r="B38" s="55"/>
      <c r="C38" s="135">
        <v>260309.0</v>
      </c>
      <c r="D38" s="136" t="s">
        <v>138</v>
      </c>
      <c r="E38" s="137"/>
      <c r="F38" s="138">
        <v>3.0</v>
      </c>
      <c r="G38" s="138">
        <v>32.0</v>
      </c>
      <c r="H38" s="138">
        <v>30.0</v>
      </c>
      <c r="I38" s="138">
        <v>36.0</v>
      </c>
      <c r="J38" s="138">
        <v>22.0</v>
      </c>
      <c r="K38" s="139">
        <f>G38+I38+J38</f>
        <v>90</v>
      </c>
      <c r="L38" s="140">
        <f>(G38+J38)/K38</f>
        <v>0.6</v>
      </c>
      <c r="M38" s="138">
        <v>5.0</v>
      </c>
      <c r="N38" s="138">
        <v>0.0</v>
      </c>
      <c r="O38" s="138">
        <v>0.0</v>
      </c>
      <c r="P38" s="138">
        <v>49.0</v>
      </c>
      <c r="Q38" s="138">
        <v>3.0</v>
      </c>
      <c r="R38" s="138">
        <v>6.0</v>
      </c>
      <c r="S38" s="141">
        <f t="shared" si="6"/>
        <v>58</v>
      </c>
      <c r="T38" s="138">
        <v>1.0</v>
      </c>
      <c r="U38" s="142">
        <f>Q38+M38+G38</f>
        <v>40</v>
      </c>
      <c r="V38" s="143">
        <f t="shared" si="7"/>
        <v>40</v>
      </c>
      <c r="W38" s="142">
        <f t="shared" si="8"/>
        <v>68</v>
      </c>
      <c r="X38" s="138">
        <v>61.0</v>
      </c>
      <c r="Y38" s="138">
        <v>7.0</v>
      </c>
      <c r="Z38" s="144">
        <f t="shared" si="9"/>
        <v>89.70588235</v>
      </c>
      <c r="AA38" s="138">
        <v>25.0</v>
      </c>
      <c r="AB38" s="145" t="str">
        <f t="shared" si="10"/>
        <v>8.3</v>
      </c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</row>
    <row r="39">
      <c r="A39" s="77"/>
      <c r="B39" s="123">
        <v>10.0</v>
      </c>
      <c r="C39" s="124">
        <v>260310.0</v>
      </c>
      <c r="D39" s="125" t="s">
        <v>100</v>
      </c>
      <c r="E39" s="126"/>
      <c r="F39" s="127">
        <v>4.0</v>
      </c>
      <c r="G39" s="127">
        <v>47.0</v>
      </c>
      <c r="H39" s="127">
        <v>42.0</v>
      </c>
      <c r="I39" s="127">
        <v>37.0</v>
      </c>
      <c r="J39" s="127">
        <v>14.0</v>
      </c>
      <c r="K39" s="128">
        <f>if(J39+I39+G39=0,"-",J39+I39+G39)</f>
        <v>98</v>
      </c>
      <c r="L39" s="129">
        <f>if(iferror((G39-J39)/K39,0)=0,"-",round((G39-J39)/K39,2))</f>
        <v>0.34</v>
      </c>
      <c r="M39" s="127">
        <v>10.0</v>
      </c>
      <c r="N39" s="127">
        <v>0.0</v>
      </c>
      <c r="O39" s="127">
        <v>9.0</v>
      </c>
      <c r="P39" s="127">
        <v>85.0</v>
      </c>
      <c r="Q39" s="127">
        <v>1.0</v>
      </c>
      <c r="R39" s="127">
        <v>8.0</v>
      </c>
      <c r="S39" s="130">
        <f t="shared" si="6"/>
        <v>94</v>
      </c>
      <c r="T39" s="127">
        <v>3.0</v>
      </c>
      <c r="U39" s="131">
        <f>G39+M39+Q39</f>
        <v>58</v>
      </c>
      <c r="V39" s="132">
        <f t="shared" si="7"/>
        <v>64.75</v>
      </c>
      <c r="W39" s="131">
        <f t="shared" si="8"/>
        <v>64</v>
      </c>
      <c r="X39" s="127">
        <v>59.0</v>
      </c>
      <c r="Y39" s="127">
        <v>5.0</v>
      </c>
      <c r="Z39" s="133">
        <f t="shared" si="9"/>
        <v>92.1875</v>
      </c>
      <c r="AA39" s="127">
        <v>44.0</v>
      </c>
      <c r="AB39" s="134" t="str">
        <f t="shared" si="10"/>
        <v>11.0</v>
      </c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</row>
    <row r="40">
      <c r="A40" s="77"/>
      <c r="B40" s="55"/>
      <c r="C40" s="135">
        <v>260310.0</v>
      </c>
      <c r="D40" s="136" t="s">
        <v>114</v>
      </c>
      <c r="E40" s="137"/>
      <c r="F40" s="138">
        <v>4.0</v>
      </c>
      <c r="G40" s="138">
        <v>44.0</v>
      </c>
      <c r="H40" s="138">
        <v>41.0</v>
      </c>
      <c r="I40" s="138">
        <v>53.0</v>
      </c>
      <c r="J40" s="138">
        <v>30.0</v>
      </c>
      <c r="K40" s="139">
        <f>G40+I40+J40</f>
        <v>127</v>
      </c>
      <c r="L40" s="140">
        <f>(G40+J40)/K40</f>
        <v>0.5826771654</v>
      </c>
      <c r="M40" s="138">
        <v>5.0</v>
      </c>
      <c r="N40" s="138">
        <v>2.0</v>
      </c>
      <c r="O40" s="138">
        <v>3.0</v>
      </c>
      <c r="P40" s="138">
        <v>59.0</v>
      </c>
      <c r="Q40" s="138">
        <v>2.0</v>
      </c>
      <c r="R40" s="138">
        <v>12.0</v>
      </c>
      <c r="S40" s="141">
        <f t="shared" si="6"/>
        <v>73</v>
      </c>
      <c r="T40" s="138">
        <v>6.0</v>
      </c>
      <c r="U40" s="142">
        <f>Q40+M40+G40</f>
        <v>51</v>
      </c>
      <c r="V40" s="143">
        <f t="shared" si="7"/>
        <v>53.25</v>
      </c>
      <c r="W40" s="142">
        <f t="shared" si="8"/>
        <v>92</v>
      </c>
      <c r="X40" s="138">
        <v>85.0</v>
      </c>
      <c r="Y40" s="138">
        <v>7.0</v>
      </c>
      <c r="Z40" s="144">
        <f t="shared" si="9"/>
        <v>92.39130435</v>
      </c>
      <c r="AA40" s="138">
        <v>31.0</v>
      </c>
      <c r="AB40" s="145" t="str">
        <f t="shared" si="10"/>
        <v>7.8</v>
      </c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</row>
    <row r="41">
      <c r="A41" s="77"/>
      <c r="B41" s="123">
        <v>11.0</v>
      </c>
      <c r="C41" s="124">
        <v>260311.0</v>
      </c>
      <c r="D41" s="125" t="s">
        <v>127</v>
      </c>
      <c r="E41" s="126"/>
      <c r="F41" s="127">
        <v>5.0</v>
      </c>
      <c r="G41" s="127">
        <v>46.0</v>
      </c>
      <c r="H41" s="127">
        <v>42.0</v>
      </c>
      <c r="I41" s="127">
        <v>53.0</v>
      </c>
      <c r="J41" s="127">
        <v>23.0</v>
      </c>
      <c r="K41" s="128">
        <f>if(J41+I41+G41=0,"-",J41+I41+G41)</f>
        <v>122</v>
      </c>
      <c r="L41" s="129">
        <f>if(iferror((G41-J41)/K41,0)=0,"-",round((G41-J41)/K41,2))</f>
        <v>0.19</v>
      </c>
      <c r="M41" s="127">
        <v>5.0</v>
      </c>
      <c r="N41" s="127">
        <v>0.0</v>
      </c>
      <c r="O41" s="127">
        <v>2.0</v>
      </c>
      <c r="P41" s="127">
        <v>71.0</v>
      </c>
      <c r="Q41" s="127">
        <v>8.0</v>
      </c>
      <c r="R41" s="127">
        <v>12.0</v>
      </c>
      <c r="S41" s="130">
        <f t="shared" si="6"/>
        <v>91</v>
      </c>
      <c r="T41" s="127">
        <v>4.0</v>
      </c>
      <c r="U41" s="131">
        <f>G41+M41+Q41</f>
        <v>59</v>
      </c>
      <c r="V41" s="132">
        <f t="shared" si="7"/>
        <v>60.5</v>
      </c>
      <c r="W41" s="131">
        <f t="shared" si="8"/>
        <v>98</v>
      </c>
      <c r="X41" s="127">
        <v>82.0</v>
      </c>
      <c r="Y41" s="127">
        <v>16.0</v>
      </c>
      <c r="Z41" s="133">
        <f t="shared" si="9"/>
        <v>83.67346939</v>
      </c>
      <c r="AA41" s="127">
        <v>47.0</v>
      </c>
      <c r="AB41" s="134" t="str">
        <f t="shared" si="10"/>
        <v>9.4</v>
      </c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</row>
    <row r="42">
      <c r="A42" s="77"/>
      <c r="B42" s="55"/>
      <c r="C42" s="135">
        <v>260311.0</v>
      </c>
      <c r="D42" s="136" t="s">
        <v>83</v>
      </c>
      <c r="E42" s="137"/>
      <c r="F42" s="138">
        <v>5.0</v>
      </c>
      <c r="G42" s="138">
        <v>57.0</v>
      </c>
      <c r="H42" s="138">
        <v>52.0</v>
      </c>
      <c r="I42" s="138">
        <v>46.0</v>
      </c>
      <c r="J42" s="138">
        <v>21.0</v>
      </c>
      <c r="K42" s="139">
        <f>G42+I42+J42</f>
        <v>124</v>
      </c>
      <c r="L42" s="140">
        <f>(G42+J42)/K42</f>
        <v>0.6290322581</v>
      </c>
      <c r="M42" s="138">
        <v>7.0</v>
      </c>
      <c r="N42" s="138">
        <v>0.0</v>
      </c>
      <c r="O42" s="138">
        <v>7.0</v>
      </c>
      <c r="P42" s="138">
        <v>82.0</v>
      </c>
      <c r="Q42" s="138">
        <v>12.0</v>
      </c>
      <c r="R42" s="138">
        <v>14.0</v>
      </c>
      <c r="S42" s="141">
        <f t="shared" si="6"/>
        <v>108</v>
      </c>
      <c r="T42" s="138">
        <v>2.0</v>
      </c>
      <c r="U42" s="142">
        <f>Q42+M42+G42</f>
        <v>76</v>
      </c>
      <c r="V42" s="143">
        <f t="shared" si="7"/>
        <v>81.25</v>
      </c>
      <c r="W42" s="142">
        <f t="shared" si="8"/>
        <v>81</v>
      </c>
      <c r="X42" s="138">
        <v>71.0</v>
      </c>
      <c r="Y42" s="138">
        <v>10.0</v>
      </c>
      <c r="Z42" s="144">
        <f t="shared" si="9"/>
        <v>87.65432099</v>
      </c>
      <c r="AA42" s="138">
        <v>55.0</v>
      </c>
      <c r="AB42" s="145" t="str">
        <f t="shared" si="10"/>
        <v>11.0</v>
      </c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</row>
    <row r="43">
      <c r="A43" s="77"/>
      <c r="B43" s="123">
        <v>12.0</v>
      </c>
      <c r="C43" s="124">
        <v>260312.0</v>
      </c>
      <c r="D43" s="125" t="s">
        <v>100</v>
      </c>
      <c r="E43" s="126"/>
      <c r="F43" s="127">
        <v>5.0</v>
      </c>
      <c r="G43" s="127">
        <v>56.0</v>
      </c>
      <c r="H43" s="127">
        <v>51.0</v>
      </c>
      <c r="I43" s="127">
        <v>87.0</v>
      </c>
      <c r="J43" s="127">
        <v>24.0</v>
      </c>
      <c r="K43" s="128">
        <f>if(J43+I43+G43=0,"-",J43+I43+G43)</f>
        <v>167</v>
      </c>
      <c r="L43" s="129">
        <f>if(iferror((G43-J43)/K43,0)=0,"-",round((G43-J43)/K43,2))</f>
        <v>0.19</v>
      </c>
      <c r="M43" s="127">
        <v>13.0</v>
      </c>
      <c r="N43" s="127">
        <v>0.0</v>
      </c>
      <c r="O43" s="127">
        <v>10.0</v>
      </c>
      <c r="P43" s="127">
        <v>85.0</v>
      </c>
      <c r="Q43" s="127">
        <v>5.0</v>
      </c>
      <c r="R43" s="127">
        <v>6.0</v>
      </c>
      <c r="S43" s="130">
        <f t="shared" si="6"/>
        <v>96</v>
      </c>
      <c r="T43" s="127">
        <v>1.0</v>
      </c>
      <c r="U43" s="131">
        <f>G43+M43+Q43</f>
        <v>74</v>
      </c>
      <c r="V43" s="132">
        <f t="shared" si="7"/>
        <v>81.5</v>
      </c>
      <c r="W43" s="131">
        <f t="shared" si="8"/>
        <v>98</v>
      </c>
      <c r="X43" s="127">
        <v>90.0</v>
      </c>
      <c r="Y43" s="127">
        <v>8.0</v>
      </c>
      <c r="Z43" s="133">
        <f t="shared" si="9"/>
        <v>91.83673469</v>
      </c>
      <c r="AA43" s="127">
        <v>53.0</v>
      </c>
      <c r="AB43" s="134" t="str">
        <f t="shared" si="10"/>
        <v>10.6</v>
      </c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</row>
    <row r="44">
      <c r="A44" s="77"/>
      <c r="B44" s="55"/>
      <c r="C44" s="135">
        <v>260312.0</v>
      </c>
      <c r="D44" s="136" t="s">
        <v>67</v>
      </c>
      <c r="E44" s="137"/>
      <c r="F44" s="138">
        <v>5.0</v>
      </c>
      <c r="G44" s="138">
        <v>65.0</v>
      </c>
      <c r="H44" s="138">
        <v>59.0</v>
      </c>
      <c r="I44" s="138">
        <v>72.0</v>
      </c>
      <c r="J44" s="138">
        <v>24.0</v>
      </c>
      <c r="K44" s="139">
        <f>G44+I44+J44</f>
        <v>161</v>
      </c>
      <c r="L44" s="140">
        <f>(G44+J44)/K44</f>
        <v>0.5527950311</v>
      </c>
      <c r="M44" s="138">
        <v>9.0</v>
      </c>
      <c r="N44" s="138">
        <v>1.0</v>
      </c>
      <c r="O44" s="138">
        <v>8.0</v>
      </c>
      <c r="P44" s="138">
        <v>90.0</v>
      </c>
      <c r="Q44" s="138">
        <v>7.0</v>
      </c>
      <c r="R44" s="138">
        <v>5.0</v>
      </c>
      <c r="S44" s="141">
        <f t="shared" si="6"/>
        <v>102</v>
      </c>
      <c r="T44" s="138">
        <v>5.0</v>
      </c>
      <c r="U44" s="142">
        <f>Q44+M44+G44</f>
        <v>81</v>
      </c>
      <c r="V44" s="143">
        <f t="shared" si="7"/>
        <v>87</v>
      </c>
      <c r="W44" s="142">
        <f t="shared" si="8"/>
        <v>95</v>
      </c>
      <c r="X44" s="138">
        <v>85.0</v>
      </c>
      <c r="Y44" s="138">
        <v>10.0</v>
      </c>
      <c r="Z44" s="144">
        <f t="shared" si="9"/>
        <v>89.47368421</v>
      </c>
      <c r="AA44" s="138">
        <v>65.0</v>
      </c>
      <c r="AB44" s="145" t="str">
        <f t="shared" si="10"/>
        <v>13.0</v>
      </c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</row>
    <row r="45">
      <c r="A45" s="77"/>
      <c r="B45" s="123">
        <v>13.0</v>
      </c>
      <c r="C45" s="124">
        <v>260313.0</v>
      </c>
      <c r="D45" s="125" t="s">
        <v>45</v>
      </c>
      <c r="E45" s="126"/>
      <c r="F45" s="127">
        <v>3.0</v>
      </c>
      <c r="G45" s="127">
        <v>35.0</v>
      </c>
      <c r="H45" s="127">
        <v>31.0</v>
      </c>
      <c r="I45" s="127">
        <v>35.0</v>
      </c>
      <c r="J45" s="127">
        <v>14.0</v>
      </c>
      <c r="K45" s="128">
        <f>if(J45+I45+G45=0,"-",J45+I45+G45)</f>
        <v>84</v>
      </c>
      <c r="L45" s="129">
        <f>if(iferror((G45-J45)/K45,0)=0,"-",round((G45-J45)/K45,2))</f>
        <v>0.25</v>
      </c>
      <c r="M45" s="127">
        <v>13.0</v>
      </c>
      <c r="N45" s="127">
        <v>1.0</v>
      </c>
      <c r="O45" s="127">
        <v>10.0</v>
      </c>
      <c r="P45" s="127">
        <v>49.0</v>
      </c>
      <c r="Q45" s="127">
        <v>10.0</v>
      </c>
      <c r="R45" s="127">
        <v>14.0</v>
      </c>
      <c r="S45" s="130">
        <f t="shared" si="6"/>
        <v>73</v>
      </c>
      <c r="T45" s="127">
        <v>2.0</v>
      </c>
      <c r="U45" s="131">
        <f>G45+M45+Q45</f>
        <v>58</v>
      </c>
      <c r="V45" s="132">
        <f t="shared" si="7"/>
        <v>65.5</v>
      </c>
      <c r="W45" s="131">
        <f t="shared" si="8"/>
        <v>61</v>
      </c>
      <c r="X45" s="127">
        <v>54.0</v>
      </c>
      <c r="Y45" s="127">
        <v>7.0</v>
      </c>
      <c r="Z45" s="133">
        <f t="shared" si="9"/>
        <v>88.52459016</v>
      </c>
      <c r="AA45" s="127">
        <v>23.0</v>
      </c>
      <c r="AB45" s="134" t="str">
        <f t="shared" si="10"/>
        <v>7.7</v>
      </c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</row>
    <row r="46">
      <c r="A46" s="77"/>
      <c r="B46" s="55"/>
      <c r="C46" s="135">
        <v>260313.0</v>
      </c>
      <c r="D46" s="136" t="s">
        <v>83</v>
      </c>
      <c r="E46" s="137"/>
      <c r="F46" s="138">
        <v>3.0</v>
      </c>
      <c r="G46" s="138">
        <v>27.0</v>
      </c>
      <c r="H46" s="138">
        <v>24.0</v>
      </c>
      <c r="I46" s="138">
        <v>29.0</v>
      </c>
      <c r="J46" s="138">
        <v>23.0</v>
      </c>
      <c r="K46" s="139">
        <f>G46+I46+J46</f>
        <v>79</v>
      </c>
      <c r="L46" s="140">
        <f>(G46+J46)/K46</f>
        <v>0.6329113924</v>
      </c>
      <c r="M46" s="138">
        <v>5.0</v>
      </c>
      <c r="N46" s="138">
        <v>1.0</v>
      </c>
      <c r="O46" s="138">
        <v>5.0</v>
      </c>
      <c r="P46" s="138">
        <v>54.0</v>
      </c>
      <c r="Q46" s="138">
        <v>5.0</v>
      </c>
      <c r="R46" s="138">
        <v>5.0</v>
      </c>
      <c r="S46" s="141">
        <f t="shared" si="6"/>
        <v>64</v>
      </c>
      <c r="T46" s="138">
        <v>2.0</v>
      </c>
      <c r="U46" s="142">
        <f>Q46+M46+G46</f>
        <v>37</v>
      </c>
      <c r="V46" s="143">
        <f t="shared" si="7"/>
        <v>40.75</v>
      </c>
      <c r="W46" s="142">
        <f t="shared" si="8"/>
        <v>61</v>
      </c>
      <c r="X46" s="138">
        <v>49.0</v>
      </c>
      <c r="Y46" s="138">
        <v>12.0</v>
      </c>
      <c r="Z46" s="144">
        <f t="shared" si="9"/>
        <v>80.32786885</v>
      </c>
      <c r="AA46" s="138">
        <v>31.0</v>
      </c>
      <c r="AB46" s="145" t="str">
        <f t="shared" si="10"/>
        <v>10.3</v>
      </c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</row>
    <row r="47">
      <c r="A47" s="77"/>
      <c r="B47" s="123">
        <v>14.0</v>
      </c>
      <c r="C47" s="124">
        <v>260314.0</v>
      </c>
      <c r="D47" s="125" t="s">
        <v>45</v>
      </c>
      <c r="E47" s="126"/>
      <c r="F47" s="127">
        <v>4.0</v>
      </c>
      <c r="G47" s="127">
        <v>54.0</v>
      </c>
      <c r="H47" s="127">
        <v>50.0</v>
      </c>
      <c r="I47" s="127">
        <v>56.0</v>
      </c>
      <c r="J47" s="127">
        <v>16.0</v>
      </c>
      <c r="K47" s="128">
        <f>if(J47+I47+G47=0,"-",J47+I47+G47)</f>
        <v>126</v>
      </c>
      <c r="L47" s="129">
        <f>if(iferror((G47-J47)/K47,0)=0,"-",round((G47-J47)/K47,2))</f>
        <v>0.3</v>
      </c>
      <c r="M47" s="127">
        <v>11.0</v>
      </c>
      <c r="N47" s="127">
        <v>0.0</v>
      </c>
      <c r="O47" s="127">
        <v>10.0</v>
      </c>
      <c r="P47" s="127">
        <v>79.0</v>
      </c>
      <c r="Q47" s="127">
        <v>6.0</v>
      </c>
      <c r="R47" s="127">
        <v>9.0</v>
      </c>
      <c r="S47" s="130">
        <f t="shared" si="6"/>
        <v>94</v>
      </c>
      <c r="T47" s="127">
        <v>2.0</v>
      </c>
      <c r="U47" s="131">
        <f>G47+M47+Q47</f>
        <v>71</v>
      </c>
      <c r="V47" s="132">
        <f t="shared" si="7"/>
        <v>78.5</v>
      </c>
      <c r="W47" s="131">
        <f t="shared" si="8"/>
        <v>80</v>
      </c>
      <c r="X47" s="127">
        <v>72.0</v>
      </c>
      <c r="Y47" s="127">
        <v>8.0</v>
      </c>
      <c r="Z47" s="133">
        <f t="shared" si="9"/>
        <v>90</v>
      </c>
      <c r="AA47" s="127">
        <v>47.0</v>
      </c>
      <c r="AB47" s="134" t="str">
        <f t="shared" si="10"/>
        <v>11.8</v>
      </c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</row>
    <row r="48">
      <c r="A48" s="77"/>
      <c r="B48" s="55"/>
      <c r="C48" s="135">
        <v>260314.0</v>
      </c>
      <c r="D48" s="136" t="s">
        <v>67</v>
      </c>
      <c r="E48" s="137"/>
      <c r="F48" s="138">
        <v>4.0</v>
      </c>
      <c r="G48" s="138">
        <v>49.0</v>
      </c>
      <c r="H48" s="138">
        <v>45.0</v>
      </c>
      <c r="I48" s="138">
        <v>59.0</v>
      </c>
      <c r="J48" s="138">
        <v>22.0</v>
      </c>
      <c r="K48" s="139">
        <f>G48+I48+J48</f>
        <v>130</v>
      </c>
      <c r="L48" s="140">
        <f>(G48+J48)/K48</f>
        <v>0.5461538462</v>
      </c>
      <c r="M48" s="138">
        <v>9.0</v>
      </c>
      <c r="N48" s="138">
        <v>1.0</v>
      </c>
      <c r="O48" s="138">
        <v>9.0</v>
      </c>
      <c r="P48" s="138">
        <v>72.0</v>
      </c>
      <c r="Q48" s="138">
        <v>6.0</v>
      </c>
      <c r="R48" s="138">
        <v>6.0</v>
      </c>
      <c r="S48" s="141">
        <f t="shared" si="6"/>
        <v>84</v>
      </c>
      <c r="T48" s="138">
        <v>7.0</v>
      </c>
      <c r="U48" s="142">
        <f>Q48+M48+G48</f>
        <v>64</v>
      </c>
      <c r="V48" s="143">
        <f t="shared" si="7"/>
        <v>70.75</v>
      </c>
      <c r="W48" s="142">
        <f t="shared" si="8"/>
        <v>92</v>
      </c>
      <c r="X48" s="138">
        <v>79.0</v>
      </c>
      <c r="Y48" s="138">
        <v>13.0</v>
      </c>
      <c r="Z48" s="144">
        <f t="shared" si="9"/>
        <v>85.86956522</v>
      </c>
      <c r="AA48" s="138">
        <v>47.0</v>
      </c>
      <c r="AB48" s="145" t="str">
        <f t="shared" si="10"/>
        <v>11.8</v>
      </c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</row>
    <row r="50">
      <c r="B50" s="77"/>
    </row>
    <row r="51">
      <c r="B51" s="78" t="s">
        <v>250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</row>
    <row r="52">
      <c r="B52" s="79" t="s">
        <v>3</v>
      </c>
      <c r="C52" s="80" t="s">
        <v>4</v>
      </c>
      <c r="D52" s="51"/>
      <c r="E52" s="81" t="s">
        <v>238</v>
      </c>
      <c r="F52" s="10" t="s">
        <v>13</v>
      </c>
      <c r="G52" s="10" t="s">
        <v>14</v>
      </c>
      <c r="H52" s="10" t="s">
        <v>15</v>
      </c>
      <c r="I52" s="10" t="s">
        <v>16</v>
      </c>
      <c r="J52" s="10" t="s">
        <v>17</v>
      </c>
      <c r="K52" s="11" t="s">
        <v>18</v>
      </c>
      <c r="L52" s="12" t="s">
        <v>19</v>
      </c>
      <c r="M52" s="10" t="s">
        <v>20</v>
      </c>
      <c r="N52" s="10" t="s">
        <v>21</v>
      </c>
      <c r="O52" s="10" t="s">
        <v>22</v>
      </c>
      <c r="P52" s="10" t="s">
        <v>23</v>
      </c>
      <c r="Q52" s="10" t="s">
        <v>24</v>
      </c>
      <c r="R52" s="10" t="s">
        <v>25</v>
      </c>
      <c r="S52" s="11" t="s">
        <v>26</v>
      </c>
      <c r="T52" s="10" t="s">
        <v>27</v>
      </c>
      <c r="U52" s="11" t="s">
        <v>28</v>
      </c>
      <c r="V52" s="11" t="s">
        <v>271</v>
      </c>
      <c r="W52" s="11" t="s">
        <v>30</v>
      </c>
      <c r="X52" s="10" t="s">
        <v>31</v>
      </c>
      <c r="Y52" s="10" t="s">
        <v>32</v>
      </c>
      <c r="Z52" s="11" t="s">
        <v>33</v>
      </c>
      <c r="AA52" s="10" t="s">
        <v>34</v>
      </c>
      <c r="AB52" s="13" t="s">
        <v>35</v>
      </c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</row>
    <row r="53">
      <c r="B53" s="147">
        <v>1.0</v>
      </c>
      <c r="C53" s="148" t="str">
        <f t="shared" ref="C53:C62" si="11">C6</f>
        <v>선명여고</v>
      </c>
      <c r="D53" s="149"/>
      <c r="E53" s="150">
        <f t="shared" ref="E53:E61" si="12">E6</f>
        <v>4</v>
      </c>
      <c r="F53" s="150">
        <f t="shared" ref="F53:F61" si="13">H6+I6</f>
        <v>14</v>
      </c>
      <c r="G53" s="150">
        <v>178.0</v>
      </c>
      <c r="H53" s="150">
        <v>165.0</v>
      </c>
      <c r="I53" s="150">
        <v>190.0</v>
      </c>
      <c r="J53" s="150">
        <v>65.0</v>
      </c>
      <c r="K53" s="151">
        <f>if(J53+I53+G53=0,"-",J53+I53+G53)</f>
        <v>433</v>
      </c>
      <c r="L53" s="107">
        <f t="shared" ref="L53:L62" si="14">if(iferror((G53-J53)/K53,0)=0,"-",round((G53-J53)/K53,2))</f>
        <v>0.26</v>
      </c>
      <c r="M53" s="150">
        <v>38.0</v>
      </c>
      <c r="N53" s="150">
        <v>3.0</v>
      </c>
      <c r="O53" s="150">
        <v>20.0</v>
      </c>
      <c r="P53" s="150">
        <v>271.0</v>
      </c>
      <c r="Q53" s="150">
        <v>26.0</v>
      </c>
      <c r="R53" s="150">
        <v>43.0</v>
      </c>
      <c r="S53" s="151">
        <f t="shared" ref="S53:S61" si="15">IF(R53+Q53+P53=0,"-",R53+Q53+P53)</f>
        <v>340</v>
      </c>
      <c r="T53" s="150">
        <v>6.0</v>
      </c>
      <c r="U53" s="150">
        <f>G53+M53+Q53</f>
        <v>242</v>
      </c>
      <c r="V53" s="152">
        <f t="shared" ref="V53:V61" si="16">U53+O53*0.75</f>
        <v>257</v>
      </c>
      <c r="W53" s="150">
        <f t="shared" ref="W53:W61" si="17">X53+Y53</f>
        <v>289</v>
      </c>
      <c r="X53" s="150">
        <v>260.0</v>
      </c>
      <c r="Y53" s="150">
        <v>29.0</v>
      </c>
      <c r="Z53" s="153">
        <f t="shared" ref="Z53:Z61" si="18">iferror((X53/W53)*100,"-")</f>
        <v>89.96539792</v>
      </c>
      <c r="AA53" s="150">
        <v>147.0</v>
      </c>
      <c r="AB53" s="107" t="str">
        <f t="shared" ref="AB53:AB61" si="19">IFERROR(IF(MOD(AA53/F53, 1)=0, TEXT(AA53/F53, "0.0"), TEXT(AA53/F53, "0.0")), "-")</f>
        <v>10.5</v>
      </c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  <c r="AV53" s="171"/>
      <c r="AW53" s="171"/>
      <c r="AX53" s="171"/>
      <c r="AY53" s="171"/>
      <c r="AZ53" s="171"/>
      <c r="BA53" s="171"/>
      <c r="BB53" s="171"/>
      <c r="BC53" s="171"/>
    </row>
    <row r="54">
      <c r="B54" s="154">
        <v>2.0</v>
      </c>
      <c r="C54" s="155" t="str">
        <f t="shared" si="11"/>
        <v>중앙여고</v>
      </c>
      <c r="D54" s="156"/>
      <c r="E54" s="88">
        <f t="shared" si="12"/>
        <v>4</v>
      </c>
      <c r="F54" s="88">
        <f t="shared" si="13"/>
        <v>15</v>
      </c>
      <c r="G54" s="88">
        <v>192.0</v>
      </c>
      <c r="H54" s="88">
        <v>172.0</v>
      </c>
      <c r="I54" s="88">
        <v>179.0</v>
      </c>
      <c r="J54" s="88">
        <v>68.0</v>
      </c>
      <c r="K54" s="88">
        <f>G54+I54+J54</f>
        <v>439</v>
      </c>
      <c r="L54" s="91">
        <f t="shared" si="14"/>
        <v>0.28</v>
      </c>
      <c r="M54" s="88">
        <v>37.0</v>
      </c>
      <c r="N54" s="88">
        <v>3.0</v>
      </c>
      <c r="O54" s="88">
        <v>34.0</v>
      </c>
      <c r="P54" s="88">
        <v>281.0</v>
      </c>
      <c r="Q54" s="88">
        <v>29.0</v>
      </c>
      <c r="R54" s="88">
        <v>25.0</v>
      </c>
      <c r="S54" s="157">
        <f t="shared" si="15"/>
        <v>335</v>
      </c>
      <c r="T54" s="88">
        <v>12.0</v>
      </c>
      <c r="U54" s="88">
        <f>Q54+M54+G54</f>
        <v>258</v>
      </c>
      <c r="V54" s="89">
        <f t="shared" si="16"/>
        <v>283.5</v>
      </c>
      <c r="W54" s="88">
        <f t="shared" si="17"/>
        <v>265</v>
      </c>
      <c r="X54" s="88">
        <v>234.0</v>
      </c>
      <c r="Y54" s="88">
        <v>31.0</v>
      </c>
      <c r="Z54" s="158">
        <f t="shared" si="18"/>
        <v>88.30188679</v>
      </c>
      <c r="AA54" s="88">
        <v>162.0</v>
      </c>
      <c r="AB54" s="91" t="str">
        <f t="shared" si="19"/>
        <v>10.8</v>
      </c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</row>
    <row r="55">
      <c r="B55" s="147">
        <v>3.0</v>
      </c>
      <c r="C55" s="148" t="str">
        <f t="shared" si="11"/>
        <v>광주체고</v>
      </c>
      <c r="D55" s="149"/>
      <c r="E55" s="150">
        <f t="shared" si="12"/>
        <v>4</v>
      </c>
      <c r="F55" s="150">
        <f t="shared" si="13"/>
        <v>14</v>
      </c>
      <c r="G55" s="150">
        <v>145.0</v>
      </c>
      <c r="H55" s="150">
        <v>135.0</v>
      </c>
      <c r="I55" s="150">
        <v>147.0</v>
      </c>
      <c r="J55" s="150">
        <v>75.0</v>
      </c>
      <c r="K55" s="151">
        <f>if(J55+I55+G55=0,"-",J55+I55+G55)</f>
        <v>367</v>
      </c>
      <c r="L55" s="107">
        <f t="shared" si="14"/>
        <v>0.19</v>
      </c>
      <c r="M55" s="150">
        <v>22.0</v>
      </c>
      <c r="N55" s="150">
        <v>3.0</v>
      </c>
      <c r="O55" s="150">
        <v>20.0</v>
      </c>
      <c r="P55" s="150">
        <v>236.0</v>
      </c>
      <c r="Q55" s="150">
        <v>33.0</v>
      </c>
      <c r="R55" s="150">
        <v>39.0</v>
      </c>
      <c r="S55" s="151">
        <f t="shared" si="15"/>
        <v>308</v>
      </c>
      <c r="T55" s="150">
        <v>9.0</v>
      </c>
      <c r="U55" s="150">
        <f>G55+M55+Q55</f>
        <v>200</v>
      </c>
      <c r="V55" s="152">
        <f t="shared" si="16"/>
        <v>215</v>
      </c>
      <c r="W55" s="150">
        <f t="shared" si="17"/>
        <v>255</v>
      </c>
      <c r="X55" s="150">
        <v>216.0</v>
      </c>
      <c r="Y55" s="150">
        <v>39.0</v>
      </c>
      <c r="Z55" s="153">
        <f t="shared" si="18"/>
        <v>84.70588235</v>
      </c>
      <c r="AA55" s="150">
        <v>149.0</v>
      </c>
      <c r="AB55" s="107" t="str">
        <f t="shared" si="19"/>
        <v>10.6</v>
      </c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</row>
    <row r="56">
      <c r="B56" s="154">
        <v>4.0</v>
      </c>
      <c r="C56" s="155" t="str">
        <f t="shared" si="11"/>
        <v>천안청수</v>
      </c>
      <c r="D56" s="156"/>
      <c r="E56" s="88">
        <f t="shared" si="12"/>
        <v>4</v>
      </c>
      <c r="F56" s="88">
        <f t="shared" si="13"/>
        <v>16</v>
      </c>
      <c r="G56" s="88">
        <v>193.0</v>
      </c>
      <c r="H56" s="88">
        <v>175.0</v>
      </c>
      <c r="I56" s="88">
        <v>226.0</v>
      </c>
      <c r="J56" s="88">
        <v>75.0</v>
      </c>
      <c r="K56" s="88">
        <f>G56+I56+J56</f>
        <v>494</v>
      </c>
      <c r="L56" s="91">
        <f t="shared" si="14"/>
        <v>0.24</v>
      </c>
      <c r="M56" s="88">
        <v>45.0</v>
      </c>
      <c r="N56" s="88">
        <v>3.0</v>
      </c>
      <c r="O56" s="88">
        <v>39.0</v>
      </c>
      <c r="P56" s="88">
        <v>298.0</v>
      </c>
      <c r="Q56" s="88">
        <v>28.0</v>
      </c>
      <c r="R56" s="88">
        <v>25.0</v>
      </c>
      <c r="S56" s="157">
        <f t="shared" si="15"/>
        <v>351</v>
      </c>
      <c r="T56" s="88">
        <v>5.0</v>
      </c>
      <c r="U56" s="88">
        <f>Q56+M56+G56</f>
        <v>266</v>
      </c>
      <c r="V56" s="89">
        <f t="shared" si="16"/>
        <v>295.25</v>
      </c>
      <c r="W56" s="88">
        <f t="shared" si="17"/>
        <v>290</v>
      </c>
      <c r="X56" s="88">
        <v>264.0</v>
      </c>
      <c r="Y56" s="88">
        <v>26.0</v>
      </c>
      <c r="Z56" s="158">
        <f t="shared" si="18"/>
        <v>91.03448276</v>
      </c>
      <c r="AA56" s="88">
        <v>184.0</v>
      </c>
      <c r="AB56" s="91" t="str">
        <f t="shared" si="19"/>
        <v>11.5</v>
      </c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</row>
    <row r="57">
      <c r="B57" s="147">
        <v>5.0</v>
      </c>
      <c r="C57" s="148" t="str">
        <f t="shared" si="11"/>
        <v>일신여상</v>
      </c>
      <c r="D57" s="149"/>
      <c r="E57" s="150">
        <f t="shared" si="12"/>
        <v>3</v>
      </c>
      <c r="F57" s="150">
        <f t="shared" si="13"/>
        <v>12</v>
      </c>
      <c r="G57" s="150">
        <v>151.0</v>
      </c>
      <c r="H57" s="150">
        <v>140.0</v>
      </c>
      <c r="I57" s="150">
        <v>188.0</v>
      </c>
      <c r="J57" s="150">
        <v>84.0</v>
      </c>
      <c r="K57" s="151">
        <f>if(J57+I57+G57=0,"-",J57+I57+G57)</f>
        <v>423</v>
      </c>
      <c r="L57" s="107">
        <f t="shared" si="14"/>
        <v>0.16</v>
      </c>
      <c r="M57" s="150">
        <v>13.0</v>
      </c>
      <c r="N57" s="150">
        <v>6.0</v>
      </c>
      <c r="O57" s="150">
        <v>10.0</v>
      </c>
      <c r="P57" s="150">
        <v>215.0</v>
      </c>
      <c r="Q57" s="150">
        <v>13.0</v>
      </c>
      <c r="R57" s="150">
        <v>36.0</v>
      </c>
      <c r="S57" s="151">
        <f t="shared" si="15"/>
        <v>264</v>
      </c>
      <c r="T57" s="150">
        <v>16.0</v>
      </c>
      <c r="U57" s="150">
        <f>G57+M57+Q57</f>
        <v>177</v>
      </c>
      <c r="V57" s="152">
        <f t="shared" si="16"/>
        <v>184.5</v>
      </c>
      <c r="W57" s="150">
        <f t="shared" si="17"/>
        <v>274</v>
      </c>
      <c r="X57" s="150">
        <v>244.0</v>
      </c>
      <c r="Y57" s="150">
        <v>30.0</v>
      </c>
      <c r="Z57" s="153">
        <f t="shared" si="18"/>
        <v>89.05109489</v>
      </c>
      <c r="AA57" s="150">
        <v>151.0</v>
      </c>
      <c r="AB57" s="107" t="str">
        <f t="shared" si="19"/>
        <v>12.6</v>
      </c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</row>
    <row r="58">
      <c r="B58" s="154">
        <v>6.0</v>
      </c>
      <c r="C58" s="155" t="str">
        <f t="shared" si="11"/>
        <v>강릉여고</v>
      </c>
      <c r="D58" s="156"/>
      <c r="E58" s="88">
        <f t="shared" si="12"/>
        <v>3</v>
      </c>
      <c r="F58" s="88">
        <f t="shared" si="13"/>
        <v>13</v>
      </c>
      <c r="G58" s="88">
        <v>151.0</v>
      </c>
      <c r="H58" s="88">
        <v>140.0</v>
      </c>
      <c r="I58" s="88">
        <v>208.0</v>
      </c>
      <c r="J58" s="88">
        <v>59.0</v>
      </c>
      <c r="K58" s="88">
        <f t="shared" ref="K58:K61" si="20">G58+I58+J58</f>
        <v>418</v>
      </c>
      <c r="L58" s="91">
        <f t="shared" si="14"/>
        <v>0.22</v>
      </c>
      <c r="M58" s="88">
        <v>11.0</v>
      </c>
      <c r="N58" s="88">
        <v>1.0</v>
      </c>
      <c r="O58" s="88">
        <v>7.0</v>
      </c>
      <c r="P58" s="88">
        <v>217.0</v>
      </c>
      <c r="Q58" s="88">
        <v>21.0</v>
      </c>
      <c r="R58" s="88">
        <v>27.0</v>
      </c>
      <c r="S58" s="157">
        <f t="shared" si="15"/>
        <v>265</v>
      </c>
      <c r="T58" s="88">
        <v>6.0</v>
      </c>
      <c r="U58" s="88">
        <f t="shared" ref="U58:U61" si="21">Q58+M58+G58</f>
        <v>183</v>
      </c>
      <c r="V58" s="89">
        <f t="shared" si="16"/>
        <v>188.25</v>
      </c>
      <c r="W58" s="88">
        <f t="shared" si="17"/>
        <v>258</v>
      </c>
      <c r="X58" s="88">
        <v>225.0</v>
      </c>
      <c r="Y58" s="88">
        <v>33.0</v>
      </c>
      <c r="Z58" s="158">
        <f t="shared" si="18"/>
        <v>87.20930233</v>
      </c>
      <c r="AA58" s="88">
        <v>186.0</v>
      </c>
      <c r="AB58" s="91" t="str">
        <f t="shared" si="19"/>
        <v>14.3</v>
      </c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</row>
    <row r="59">
      <c r="B59" s="147">
        <v>7.0</v>
      </c>
      <c r="C59" s="148" t="str">
        <f t="shared" si="11"/>
        <v>전주근영</v>
      </c>
      <c r="D59" s="149"/>
      <c r="E59" s="150">
        <f t="shared" si="12"/>
        <v>2</v>
      </c>
      <c r="F59" s="150">
        <f t="shared" si="13"/>
        <v>7</v>
      </c>
      <c r="G59" s="150">
        <v>79.0</v>
      </c>
      <c r="H59" s="150">
        <v>70.0</v>
      </c>
      <c r="I59" s="150">
        <v>106.0</v>
      </c>
      <c r="J59" s="150">
        <v>41.0</v>
      </c>
      <c r="K59" s="150">
        <f t="shared" si="20"/>
        <v>226</v>
      </c>
      <c r="L59" s="107">
        <f t="shared" si="14"/>
        <v>0.17</v>
      </c>
      <c r="M59" s="150">
        <v>12.0</v>
      </c>
      <c r="N59" s="150">
        <v>0.0</v>
      </c>
      <c r="O59" s="150">
        <v>6.0</v>
      </c>
      <c r="P59" s="150">
        <v>126.0</v>
      </c>
      <c r="Q59" s="150">
        <v>12.0</v>
      </c>
      <c r="R59" s="150">
        <v>18.0</v>
      </c>
      <c r="S59" s="151">
        <f t="shared" si="15"/>
        <v>156</v>
      </c>
      <c r="T59" s="150">
        <v>8.0</v>
      </c>
      <c r="U59" s="150">
        <f t="shared" si="21"/>
        <v>103</v>
      </c>
      <c r="V59" s="152">
        <f t="shared" si="16"/>
        <v>107.5</v>
      </c>
      <c r="W59" s="150">
        <f t="shared" si="17"/>
        <v>148</v>
      </c>
      <c r="X59" s="150">
        <v>132.0</v>
      </c>
      <c r="Y59" s="150">
        <v>16.0</v>
      </c>
      <c r="Z59" s="153">
        <f t="shared" si="18"/>
        <v>89.18918919</v>
      </c>
      <c r="AA59" s="150">
        <v>84.0</v>
      </c>
      <c r="AB59" s="107" t="str">
        <f t="shared" si="19"/>
        <v>12.0</v>
      </c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</row>
    <row r="60">
      <c r="B60" s="154">
        <v>8.0</v>
      </c>
      <c r="C60" s="155" t="str">
        <f t="shared" si="11"/>
        <v>세화여고</v>
      </c>
      <c r="D60" s="156"/>
      <c r="E60" s="88">
        <f t="shared" si="12"/>
        <v>2</v>
      </c>
      <c r="F60" s="88">
        <f t="shared" si="13"/>
        <v>7</v>
      </c>
      <c r="G60" s="88">
        <v>84.0</v>
      </c>
      <c r="H60" s="88">
        <v>80.0</v>
      </c>
      <c r="I60" s="88">
        <v>157.0</v>
      </c>
      <c r="J60" s="88">
        <v>39.0</v>
      </c>
      <c r="K60" s="88">
        <f t="shared" si="20"/>
        <v>280</v>
      </c>
      <c r="L60" s="91">
        <f t="shared" si="14"/>
        <v>0.16</v>
      </c>
      <c r="M60" s="88">
        <v>15.0</v>
      </c>
      <c r="N60" s="88">
        <v>1.0</v>
      </c>
      <c r="O60" s="88">
        <v>12.0</v>
      </c>
      <c r="P60" s="88">
        <v>121.0</v>
      </c>
      <c r="Q60" s="88">
        <v>10.0</v>
      </c>
      <c r="R60" s="88">
        <v>18.0</v>
      </c>
      <c r="S60" s="157">
        <f t="shared" si="15"/>
        <v>149</v>
      </c>
      <c r="T60" s="88">
        <v>1.0</v>
      </c>
      <c r="U60" s="88">
        <f t="shared" si="21"/>
        <v>109</v>
      </c>
      <c r="V60" s="89">
        <f t="shared" si="16"/>
        <v>118</v>
      </c>
      <c r="W60" s="88">
        <f t="shared" si="17"/>
        <v>155</v>
      </c>
      <c r="X60" s="88">
        <v>137.0</v>
      </c>
      <c r="Y60" s="88">
        <v>18.0</v>
      </c>
      <c r="Z60" s="158">
        <f t="shared" si="18"/>
        <v>88.38709677</v>
      </c>
      <c r="AA60" s="88">
        <v>140.0</v>
      </c>
      <c r="AB60" s="91" t="str">
        <f t="shared" si="19"/>
        <v>20.0</v>
      </c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</row>
    <row r="61">
      <c r="B61" s="147">
        <v>9.0</v>
      </c>
      <c r="C61" s="148" t="str">
        <f t="shared" si="11"/>
        <v>제천여고</v>
      </c>
      <c r="D61" s="149"/>
      <c r="E61" s="150">
        <f t="shared" si="12"/>
        <v>2</v>
      </c>
      <c r="F61" s="150">
        <f t="shared" si="13"/>
        <v>6</v>
      </c>
      <c r="G61" s="150">
        <v>34.0</v>
      </c>
      <c r="H61" s="150">
        <v>31.0</v>
      </c>
      <c r="I61" s="150">
        <v>61.0</v>
      </c>
      <c r="J61" s="150">
        <v>47.0</v>
      </c>
      <c r="K61" s="150">
        <f t="shared" si="20"/>
        <v>142</v>
      </c>
      <c r="L61" s="107">
        <f t="shared" si="14"/>
        <v>-0.09</v>
      </c>
      <c r="M61" s="150">
        <v>7.0</v>
      </c>
      <c r="N61" s="150">
        <v>1.0</v>
      </c>
      <c r="O61" s="150">
        <v>5.0</v>
      </c>
      <c r="P61" s="150">
        <v>61.0</v>
      </c>
      <c r="Q61" s="150">
        <v>7.0</v>
      </c>
      <c r="R61" s="150">
        <v>13.0</v>
      </c>
      <c r="S61" s="151">
        <f t="shared" si="15"/>
        <v>81</v>
      </c>
      <c r="T61" s="150">
        <v>3.0</v>
      </c>
      <c r="U61" s="150">
        <f t="shared" si="21"/>
        <v>48</v>
      </c>
      <c r="V61" s="152">
        <f t="shared" si="16"/>
        <v>51.75</v>
      </c>
      <c r="W61" s="150">
        <f t="shared" si="17"/>
        <v>136</v>
      </c>
      <c r="X61" s="150">
        <v>114.0</v>
      </c>
      <c r="Y61" s="150">
        <v>22.0</v>
      </c>
      <c r="Z61" s="153">
        <f t="shared" si="18"/>
        <v>83.82352941</v>
      </c>
      <c r="AA61" s="150">
        <v>39.0</v>
      </c>
      <c r="AB61" s="107" t="str">
        <f t="shared" si="19"/>
        <v>6.5</v>
      </c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</row>
    <row r="62">
      <c r="B62" s="96">
        <v>10.0</v>
      </c>
      <c r="C62" s="97" t="str">
        <f t="shared" si="11"/>
        <v/>
      </c>
      <c r="D62" s="7"/>
      <c r="E62" s="105"/>
      <c r="F62" s="105"/>
      <c r="G62" s="105"/>
      <c r="H62" s="105"/>
      <c r="I62" s="105"/>
      <c r="J62" s="105"/>
      <c r="K62" s="98"/>
      <c r="L62" s="172" t="str">
        <f t="shared" si="14"/>
        <v>-</v>
      </c>
      <c r="M62" s="105"/>
      <c r="N62" s="105"/>
      <c r="O62" s="105"/>
      <c r="P62" s="105"/>
      <c r="Q62" s="105"/>
      <c r="R62" s="105"/>
      <c r="S62" s="100"/>
      <c r="T62" s="105"/>
      <c r="U62" s="101"/>
      <c r="V62" s="102"/>
      <c r="W62" s="101"/>
      <c r="X62" s="105"/>
      <c r="Y62" s="105"/>
      <c r="Z62" s="106"/>
      <c r="AA62" s="105"/>
      <c r="AB62" s="103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</row>
    <row r="63">
      <c r="G63" s="173">
        <f t="shared" ref="G63:R63" si="22">SUM(G53:G62)</f>
        <v>1207</v>
      </c>
      <c r="H63" s="173">
        <f t="shared" si="22"/>
        <v>1108</v>
      </c>
      <c r="I63" s="173">
        <f t="shared" si="22"/>
        <v>1462</v>
      </c>
      <c r="J63" s="173">
        <f t="shared" si="22"/>
        <v>553</v>
      </c>
      <c r="K63" s="173">
        <f t="shared" si="22"/>
        <v>3222</v>
      </c>
      <c r="L63" s="174">
        <f t="shared" si="22"/>
        <v>1.59</v>
      </c>
      <c r="M63" s="173">
        <f t="shared" si="22"/>
        <v>200</v>
      </c>
      <c r="N63" s="173">
        <f t="shared" si="22"/>
        <v>21</v>
      </c>
      <c r="O63" s="173">
        <f t="shared" si="22"/>
        <v>153</v>
      </c>
      <c r="P63" s="173">
        <f t="shared" si="22"/>
        <v>1826</v>
      </c>
      <c r="Q63" s="173">
        <f t="shared" si="22"/>
        <v>179</v>
      </c>
      <c r="R63" s="173">
        <f t="shared" si="22"/>
        <v>244</v>
      </c>
    </row>
    <row r="67" ht="70.5" customHeight="1">
      <c r="A67" s="6" t="s">
        <v>3</v>
      </c>
      <c r="B67" s="7"/>
      <c r="C67" s="8" t="s">
        <v>4</v>
      </c>
      <c r="D67" s="8" t="s">
        <v>5</v>
      </c>
      <c r="E67" s="9" t="s">
        <v>12</v>
      </c>
      <c r="F67" s="10" t="s">
        <v>13</v>
      </c>
      <c r="G67" s="10" t="s">
        <v>14</v>
      </c>
      <c r="H67" s="10" t="s">
        <v>15</v>
      </c>
      <c r="I67" s="10" t="s">
        <v>16</v>
      </c>
      <c r="J67" s="10" t="s">
        <v>17</v>
      </c>
      <c r="K67" s="11" t="s">
        <v>18</v>
      </c>
      <c r="L67" s="12" t="s">
        <v>19</v>
      </c>
      <c r="M67" s="10" t="s">
        <v>20</v>
      </c>
      <c r="N67" s="10" t="s">
        <v>21</v>
      </c>
      <c r="O67" s="10" t="s">
        <v>22</v>
      </c>
      <c r="P67" s="10" t="s">
        <v>23</v>
      </c>
      <c r="Q67" s="10" t="s">
        <v>24</v>
      </c>
      <c r="R67" s="10" t="s">
        <v>25</v>
      </c>
      <c r="S67" s="11" t="s">
        <v>26</v>
      </c>
      <c r="T67" s="10" t="s">
        <v>27</v>
      </c>
      <c r="U67" s="11" t="s">
        <v>28</v>
      </c>
      <c r="V67" s="11" t="s">
        <v>272</v>
      </c>
      <c r="W67" s="11" t="s">
        <v>30</v>
      </c>
      <c r="X67" s="10" t="s">
        <v>31</v>
      </c>
      <c r="Y67" s="10" t="s">
        <v>32</v>
      </c>
      <c r="Z67" s="11" t="s">
        <v>33</v>
      </c>
      <c r="AA67" s="10" t="s">
        <v>34</v>
      </c>
      <c r="AB67" s="13" t="s">
        <v>35</v>
      </c>
      <c r="AC67" s="14"/>
      <c r="AD67" s="14"/>
      <c r="AE67" s="9" t="s">
        <v>36</v>
      </c>
      <c r="AF67" s="15" t="s">
        <v>37</v>
      </c>
      <c r="AG67" s="16" t="s">
        <v>38</v>
      </c>
      <c r="AH67" s="9" t="s">
        <v>39</v>
      </c>
      <c r="AI67" s="9" t="s">
        <v>40</v>
      </c>
      <c r="AJ67" s="15" t="s">
        <v>41</v>
      </c>
      <c r="AK67" s="15" t="s">
        <v>273</v>
      </c>
      <c r="AL67" s="9" t="s">
        <v>43</v>
      </c>
      <c r="AM67" s="9" t="s">
        <v>44</v>
      </c>
      <c r="AN67" s="14"/>
      <c r="AO67" s="9" t="s">
        <v>6</v>
      </c>
      <c r="AP67" s="9" t="s">
        <v>7</v>
      </c>
      <c r="AQ67" s="9" t="s">
        <v>8</v>
      </c>
      <c r="AR67" s="9" t="s">
        <v>9</v>
      </c>
      <c r="AS67" s="9" t="s">
        <v>10</v>
      </c>
      <c r="AT67" s="9" t="s">
        <v>11</v>
      </c>
    </row>
    <row r="68">
      <c r="A68" s="17">
        <v>1.0</v>
      </c>
      <c r="B68" s="18">
        <f t="shared" ref="B68:B74" si="24">if(C68=C67,B67+1,1)</f>
        <v>1</v>
      </c>
      <c r="C68" s="19" t="s">
        <v>45</v>
      </c>
      <c r="D68" s="19" t="s">
        <v>46</v>
      </c>
      <c r="E68" s="20">
        <v>2.0</v>
      </c>
      <c r="F68" s="20">
        <v>7.0</v>
      </c>
      <c r="G68" s="20">
        <v>5.0</v>
      </c>
      <c r="H68" s="20">
        <v>0.0</v>
      </c>
      <c r="I68" s="20">
        <v>5.0</v>
      </c>
      <c r="J68" s="20">
        <v>4.0</v>
      </c>
      <c r="K68" s="21">
        <f t="shared" ref="K68:K74" si="25">if(J68+I68+G68=0,"-",J68+I68+G68)</f>
        <v>14</v>
      </c>
      <c r="L68" s="22">
        <f t="shared" ref="L68:L74" si="26">if(iferror((G68-J68)/K68,0)=0,"-",round((G68-J68)/K68,2))</f>
        <v>0.07</v>
      </c>
      <c r="M68" s="20">
        <v>3.0</v>
      </c>
      <c r="N68" s="20">
        <v>0.0</v>
      </c>
      <c r="O68" s="20">
        <v>0.0</v>
      </c>
      <c r="P68" s="20">
        <v>30.0</v>
      </c>
      <c r="Q68" s="20">
        <v>1.0</v>
      </c>
      <c r="R68" s="20">
        <v>0.0</v>
      </c>
      <c r="S68" s="21">
        <f t="shared" ref="S68:S74" si="27">IF(R68+Q68+P68=0,"-",R68+Q68+P68)</f>
        <v>31</v>
      </c>
      <c r="T68" s="20">
        <v>0.0</v>
      </c>
      <c r="U68" s="21">
        <f t="shared" ref="U68:U74" si="28">if((M68+Q68+G68)=0, "-",M68+Q68+G68)</f>
        <v>9</v>
      </c>
      <c r="V68" s="23">
        <f t="shared" ref="V68:V74" si="29">G68+M68+Q68+(O68*0.75)</f>
        <v>9</v>
      </c>
      <c r="W68" s="21">
        <f t="shared" ref="W68:W74" si="30">IF(X68+Y68=0,"-",X68+Y68)</f>
        <v>2</v>
      </c>
      <c r="X68" s="20">
        <v>2.0</v>
      </c>
      <c r="Y68" s="20">
        <v>0.0</v>
      </c>
      <c r="Z68" s="24">
        <f t="shared" ref="Z68:Z74" si="31">iferror((X68/W68)*100,"-")</f>
        <v>100</v>
      </c>
      <c r="AA68" s="20">
        <v>3.0</v>
      </c>
      <c r="AB68" s="22" t="str">
        <f t="shared" ref="AB68:AB74" si="32">IFERROR(IF(MOD(AA68/F68, 1)=0, TEXT(AA68/F68, "0"), TEXT(AA68/F68, "0.00")), "-")</f>
        <v>0.43</v>
      </c>
      <c r="AC68" s="26"/>
      <c r="AD68" s="26"/>
      <c r="AE68" s="27">
        <f t="shared" ref="AE68:AE74" si="33">iferror(G68/$F68,"-")</f>
        <v>0.7142857143</v>
      </c>
      <c r="AF68" s="27">
        <f t="shared" ref="AF68:AF74" si="34">iferror(K68/$F68,"-")</f>
        <v>2</v>
      </c>
      <c r="AG68" s="28">
        <f t="shared" ref="AG68:AG74" si="35">iferror(G68/K68,"-")</f>
        <v>0.3571428571</v>
      </c>
      <c r="AH68" s="27">
        <f t="shared" ref="AH68:AH74" si="36">iferror(M68/$F68,"-")</f>
        <v>0.4285714286</v>
      </c>
      <c r="AI68" s="27">
        <f t="shared" ref="AI68:AI74" si="37">iferror(Q68/$F68,"-")</f>
        <v>0.1428571429</v>
      </c>
      <c r="AJ68" s="27">
        <f t="shared" ref="AJ68:AK68" si="23">iferror(U68/$F68,"-")</f>
        <v>1.285714286</v>
      </c>
      <c r="AK68" s="27">
        <f t="shared" si="23"/>
        <v>1.285714286</v>
      </c>
      <c r="AL68" s="29">
        <f t="shared" ref="AL68:AL74" si="39">iferror(Y68/F68,"-")</f>
        <v>0</v>
      </c>
      <c r="AM68" s="29" t="str">
        <f t="shared" ref="AM68:AM74" si="40">AB68</f>
        <v>0.43</v>
      </c>
      <c r="AN68" s="26"/>
      <c r="AO68" s="19">
        <v>3.0</v>
      </c>
      <c r="AP68" s="19" t="s">
        <v>47</v>
      </c>
      <c r="AQ68" s="19" t="s">
        <v>48</v>
      </c>
      <c r="AR68" s="19">
        <v>182.0</v>
      </c>
      <c r="AS68" s="19">
        <v>65.0</v>
      </c>
      <c r="AT68" s="20">
        <v>1.0</v>
      </c>
    </row>
    <row r="69">
      <c r="A69" s="17">
        <v>2.0</v>
      </c>
      <c r="B69" s="18">
        <f t="shared" si="24"/>
        <v>2</v>
      </c>
      <c r="C69" s="19" t="s">
        <v>45</v>
      </c>
      <c r="D69" s="19" t="s">
        <v>49</v>
      </c>
      <c r="E69" s="20">
        <v>2.0</v>
      </c>
      <c r="F69" s="20">
        <v>7.0</v>
      </c>
      <c r="G69" s="20">
        <v>0.0</v>
      </c>
      <c r="H69" s="20">
        <v>4.0</v>
      </c>
      <c r="I69" s="20">
        <v>0.0</v>
      </c>
      <c r="J69" s="20">
        <v>0.0</v>
      </c>
      <c r="K69" s="30" t="str">
        <f t="shared" si="25"/>
        <v>-</v>
      </c>
      <c r="L69" s="22" t="str">
        <f t="shared" si="26"/>
        <v>-</v>
      </c>
      <c r="M69" s="20">
        <v>0.0</v>
      </c>
      <c r="N69" s="20">
        <v>0.0</v>
      </c>
      <c r="O69" s="20">
        <v>0.0</v>
      </c>
      <c r="P69" s="20">
        <v>0.0</v>
      </c>
      <c r="Q69" s="20">
        <v>0.0</v>
      </c>
      <c r="R69" s="20">
        <v>0.0</v>
      </c>
      <c r="S69" s="30" t="str">
        <f t="shared" si="27"/>
        <v>-</v>
      </c>
      <c r="T69" s="20">
        <v>0.0</v>
      </c>
      <c r="U69" s="30" t="str">
        <f t="shared" si="28"/>
        <v>-</v>
      </c>
      <c r="V69" s="23">
        <f t="shared" si="29"/>
        <v>0</v>
      </c>
      <c r="W69" s="21">
        <f t="shared" si="30"/>
        <v>42</v>
      </c>
      <c r="X69" s="20">
        <v>39.0</v>
      </c>
      <c r="Y69" s="20">
        <v>3.0</v>
      </c>
      <c r="Z69" s="24">
        <f t="shared" si="31"/>
        <v>92.85714286</v>
      </c>
      <c r="AA69" s="20">
        <v>18.0</v>
      </c>
      <c r="AB69" s="22" t="str">
        <f t="shared" si="32"/>
        <v>2.57</v>
      </c>
      <c r="AC69" s="26"/>
      <c r="AD69" s="26"/>
      <c r="AE69" s="27">
        <f t="shared" si="33"/>
        <v>0</v>
      </c>
      <c r="AF69" s="27" t="str">
        <f t="shared" si="34"/>
        <v>-</v>
      </c>
      <c r="AG69" s="28" t="str">
        <f t="shared" si="35"/>
        <v>-</v>
      </c>
      <c r="AH69" s="27">
        <f t="shared" si="36"/>
        <v>0</v>
      </c>
      <c r="AI69" s="27">
        <f t="shared" si="37"/>
        <v>0</v>
      </c>
      <c r="AJ69" s="27" t="str">
        <f t="shared" ref="AJ69:AK69" si="38">iferror(U69/$F69,"-")</f>
        <v>-</v>
      </c>
      <c r="AK69" s="27">
        <f t="shared" si="38"/>
        <v>0</v>
      </c>
      <c r="AL69" s="29">
        <f t="shared" si="39"/>
        <v>0.4285714286</v>
      </c>
      <c r="AM69" s="29" t="str">
        <f t="shared" si="40"/>
        <v>2.57</v>
      </c>
      <c r="AN69" s="26"/>
      <c r="AO69" s="19">
        <v>3.0</v>
      </c>
      <c r="AP69" s="19" t="s">
        <v>50</v>
      </c>
      <c r="AQ69" s="19" t="s">
        <v>48</v>
      </c>
      <c r="AR69" s="19">
        <v>161.0</v>
      </c>
      <c r="AS69" s="19">
        <v>59.0</v>
      </c>
      <c r="AT69" s="20">
        <v>3.0</v>
      </c>
    </row>
    <row r="70">
      <c r="A70" s="17">
        <v>3.0</v>
      </c>
      <c r="B70" s="18">
        <f t="shared" si="24"/>
        <v>3</v>
      </c>
      <c r="C70" s="19" t="s">
        <v>45</v>
      </c>
      <c r="D70" s="19" t="s">
        <v>51</v>
      </c>
      <c r="E70" s="20">
        <v>1.0</v>
      </c>
      <c r="F70" s="20">
        <v>1.0</v>
      </c>
      <c r="G70" s="20">
        <v>0.0</v>
      </c>
      <c r="H70" s="20">
        <v>0.0</v>
      </c>
      <c r="I70" s="20">
        <v>0.0</v>
      </c>
      <c r="J70" s="20">
        <v>0.0</v>
      </c>
      <c r="K70" s="30" t="str">
        <f t="shared" si="25"/>
        <v>-</v>
      </c>
      <c r="L70" s="22" t="str">
        <f t="shared" si="26"/>
        <v>-</v>
      </c>
      <c r="M70" s="20">
        <v>0.0</v>
      </c>
      <c r="N70" s="20">
        <v>0.0</v>
      </c>
      <c r="O70" s="20">
        <v>0.0</v>
      </c>
      <c r="P70" s="20">
        <v>2.0</v>
      </c>
      <c r="Q70" s="20">
        <v>0.0</v>
      </c>
      <c r="R70" s="20">
        <v>0.0</v>
      </c>
      <c r="S70" s="21">
        <f t="shared" si="27"/>
        <v>2</v>
      </c>
      <c r="T70" s="20">
        <v>0.0</v>
      </c>
      <c r="U70" s="30" t="str">
        <f t="shared" si="28"/>
        <v>-</v>
      </c>
      <c r="V70" s="23">
        <f t="shared" si="29"/>
        <v>0</v>
      </c>
      <c r="W70" s="21">
        <f t="shared" si="30"/>
        <v>2</v>
      </c>
      <c r="X70" s="20">
        <v>2.0</v>
      </c>
      <c r="Y70" s="20">
        <v>0.0</v>
      </c>
      <c r="Z70" s="24">
        <f t="shared" si="31"/>
        <v>100</v>
      </c>
      <c r="AA70" s="20">
        <v>0.0</v>
      </c>
      <c r="AB70" s="22" t="str">
        <f t="shared" si="32"/>
        <v>0</v>
      </c>
      <c r="AC70" s="26"/>
      <c r="AD70" s="26"/>
      <c r="AE70" s="27">
        <f t="shared" si="33"/>
        <v>0</v>
      </c>
      <c r="AF70" s="27" t="str">
        <f t="shared" si="34"/>
        <v>-</v>
      </c>
      <c r="AG70" s="28" t="str">
        <f t="shared" si="35"/>
        <v>-</v>
      </c>
      <c r="AH70" s="27">
        <f t="shared" si="36"/>
        <v>0</v>
      </c>
      <c r="AI70" s="27">
        <f t="shared" si="37"/>
        <v>0</v>
      </c>
      <c r="AJ70" s="27" t="str">
        <f t="shared" ref="AJ70:AK70" si="41">iferror(U70/$F70,"-")</f>
        <v>-</v>
      </c>
      <c r="AK70" s="27">
        <f t="shared" si="41"/>
        <v>0</v>
      </c>
      <c r="AL70" s="29">
        <f t="shared" si="39"/>
        <v>0</v>
      </c>
      <c r="AM70" s="29" t="str">
        <f t="shared" si="40"/>
        <v>0</v>
      </c>
      <c r="AN70" s="26"/>
      <c r="AO70" s="19">
        <v>3.0</v>
      </c>
      <c r="AP70" s="19" t="s">
        <v>52</v>
      </c>
      <c r="AQ70" s="19" t="s">
        <v>48</v>
      </c>
      <c r="AR70" s="19">
        <v>183.0</v>
      </c>
      <c r="AS70" s="19">
        <v>66.0</v>
      </c>
      <c r="AT70" s="20">
        <v>5.0</v>
      </c>
    </row>
    <row r="71">
      <c r="A71" s="17">
        <v>4.0</v>
      </c>
      <c r="B71" s="18">
        <f t="shared" si="24"/>
        <v>4</v>
      </c>
      <c r="C71" s="19" t="s">
        <v>45</v>
      </c>
      <c r="D71" s="19" t="s">
        <v>53</v>
      </c>
      <c r="E71" s="20">
        <v>2.0</v>
      </c>
      <c r="F71" s="20">
        <v>7.0</v>
      </c>
      <c r="G71" s="20">
        <v>0.0</v>
      </c>
      <c r="H71" s="20">
        <v>1.0</v>
      </c>
      <c r="I71" s="20">
        <v>0.0</v>
      </c>
      <c r="J71" s="20">
        <v>0.0</v>
      </c>
      <c r="K71" s="30" t="str">
        <f t="shared" si="25"/>
        <v>-</v>
      </c>
      <c r="L71" s="22" t="str">
        <f t="shared" si="26"/>
        <v>-</v>
      </c>
      <c r="M71" s="20">
        <v>0.0</v>
      </c>
      <c r="N71" s="20">
        <v>0.0</v>
      </c>
      <c r="O71" s="20">
        <v>0.0</v>
      </c>
      <c r="P71" s="20">
        <v>4.0</v>
      </c>
      <c r="Q71" s="20">
        <v>2.0</v>
      </c>
      <c r="R71" s="20">
        <v>3.0</v>
      </c>
      <c r="S71" s="21">
        <f t="shared" si="27"/>
        <v>9</v>
      </c>
      <c r="T71" s="20">
        <v>0.0</v>
      </c>
      <c r="U71" s="21">
        <f t="shared" si="28"/>
        <v>2</v>
      </c>
      <c r="V71" s="23">
        <f t="shared" si="29"/>
        <v>2</v>
      </c>
      <c r="W71" s="21">
        <f t="shared" si="30"/>
        <v>1</v>
      </c>
      <c r="X71" s="20">
        <v>1.0</v>
      </c>
      <c r="Y71" s="20">
        <v>0.0</v>
      </c>
      <c r="Z71" s="24">
        <f t="shared" si="31"/>
        <v>100</v>
      </c>
      <c r="AA71" s="20">
        <v>0.0</v>
      </c>
      <c r="AB71" s="22" t="str">
        <f t="shared" si="32"/>
        <v>0</v>
      </c>
      <c r="AC71" s="26"/>
      <c r="AD71" s="26"/>
      <c r="AE71" s="27">
        <f t="shared" si="33"/>
        <v>0</v>
      </c>
      <c r="AF71" s="27" t="str">
        <f t="shared" si="34"/>
        <v>-</v>
      </c>
      <c r="AG71" s="28" t="str">
        <f t="shared" si="35"/>
        <v>-</v>
      </c>
      <c r="AH71" s="27">
        <f t="shared" si="36"/>
        <v>0</v>
      </c>
      <c r="AI71" s="27">
        <f t="shared" si="37"/>
        <v>0.2857142857</v>
      </c>
      <c r="AJ71" s="27">
        <f t="shared" ref="AJ71:AK71" si="42">iferror(U71/$F71,"-")</f>
        <v>0.2857142857</v>
      </c>
      <c r="AK71" s="27">
        <f t="shared" si="42"/>
        <v>0.2857142857</v>
      </c>
      <c r="AL71" s="29">
        <f t="shared" si="39"/>
        <v>0</v>
      </c>
      <c r="AM71" s="29" t="str">
        <f t="shared" si="40"/>
        <v>0</v>
      </c>
      <c r="AN71" s="26"/>
      <c r="AO71" s="19">
        <v>2.0</v>
      </c>
      <c r="AP71" s="19" t="s">
        <v>54</v>
      </c>
      <c r="AQ71" s="19" t="s">
        <v>48</v>
      </c>
      <c r="AR71" s="19">
        <v>167.0</v>
      </c>
      <c r="AS71" s="19">
        <v>60.0</v>
      </c>
      <c r="AT71" s="20">
        <v>7.0</v>
      </c>
    </row>
    <row r="72">
      <c r="A72" s="17">
        <v>5.0</v>
      </c>
      <c r="B72" s="18">
        <f t="shared" si="24"/>
        <v>5</v>
      </c>
      <c r="C72" s="19" t="s">
        <v>45</v>
      </c>
      <c r="D72" s="19" t="s">
        <v>55</v>
      </c>
      <c r="E72" s="20">
        <v>2.0</v>
      </c>
      <c r="F72" s="20">
        <v>6.0</v>
      </c>
      <c r="G72" s="20">
        <v>0.0</v>
      </c>
      <c r="H72" s="20">
        <v>0.0</v>
      </c>
      <c r="I72" s="20">
        <v>0.0</v>
      </c>
      <c r="J72" s="20">
        <v>0.0</v>
      </c>
      <c r="K72" s="30" t="str">
        <f t="shared" si="25"/>
        <v>-</v>
      </c>
      <c r="L72" s="22" t="str">
        <f t="shared" si="26"/>
        <v>-</v>
      </c>
      <c r="M72" s="20">
        <v>0.0</v>
      </c>
      <c r="N72" s="20">
        <v>0.0</v>
      </c>
      <c r="O72" s="20">
        <v>0.0</v>
      </c>
      <c r="P72" s="20">
        <v>12.0</v>
      </c>
      <c r="Q72" s="20">
        <v>1.0</v>
      </c>
      <c r="R72" s="20">
        <v>0.0</v>
      </c>
      <c r="S72" s="21">
        <f t="shared" si="27"/>
        <v>13</v>
      </c>
      <c r="T72" s="20">
        <v>0.0</v>
      </c>
      <c r="U72" s="21">
        <f t="shared" si="28"/>
        <v>1</v>
      </c>
      <c r="V72" s="23">
        <f t="shared" si="29"/>
        <v>1</v>
      </c>
      <c r="W72" s="21">
        <f t="shared" si="30"/>
        <v>9</v>
      </c>
      <c r="X72" s="20">
        <v>8.0</v>
      </c>
      <c r="Y72" s="20">
        <v>1.0</v>
      </c>
      <c r="Z72" s="24">
        <f t="shared" si="31"/>
        <v>88.88888889</v>
      </c>
      <c r="AA72" s="20">
        <v>5.0</v>
      </c>
      <c r="AB72" s="22" t="str">
        <f t="shared" si="32"/>
        <v>0.83</v>
      </c>
      <c r="AC72" s="26"/>
      <c r="AD72" s="26"/>
      <c r="AE72" s="27">
        <f t="shared" si="33"/>
        <v>0</v>
      </c>
      <c r="AF72" s="27" t="str">
        <f t="shared" si="34"/>
        <v>-</v>
      </c>
      <c r="AG72" s="28" t="str">
        <f t="shared" si="35"/>
        <v>-</v>
      </c>
      <c r="AH72" s="27">
        <f t="shared" si="36"/>
        <v>0</v>
      </c>
      <c r="AI72" s="27">
        <f t="shared" si="37"/>
        <v>0.1666666667</v>
      </c>
      <c r="AJ72" s="27">
        <f t="shared" ref="AJ72:AK72" si="43">iferror(U72/$F72,"-")</f>
        <v>0.1666666667</v>
      </c>
      <c r="AK72" s="27">
        <f t="shared" si="43"/>
        <v>0.1666666667</v>
      </c>
      <c r="AL72" s="29">
        <f t="shared" si="39"/>
        <v>0.1666666667</v>
      </c>
      <c r="AM72" s="29" t="str">
        <f t="shared" si="40"/>
        <v>0.83</v>
      </c>
      <c r="AN72" s="26"/>
      <c r="AO72" s="19">
        <v>2.0</v>
      </c>
      <c r="AP72" s="19" t="s">
        <v>52</v>
      </c>
      <c r="AQ72" s="19" t="s">
        <v>48</v>
      </c>
      <c r="AR72" s="19">
        <v>168.0</v>
      </c>
      <c r="AS72" s="19">
        <v>64.0</v>
      </c>
      <c r="AT72" s="20">
        <v>8.0</v>
      </c>
    </row>
    <row r="73">
      <c r="A73" s="17">
        <v>6.0</v>
      </c>
      <c r="B73" s="18">
        <f t="shared" si="24"/>
        <v>6</v>
      </c>
      <c r="C73" s="19" t="s">
        <v>45</v>
      </c>
      <c r="D73" s="19" t="s">
        <v>56</v>
      </c>
      <c r="E73" s="20">
        <v>2.0</v>
      </c>
      <c r="F73" s="20">
        <v>4.0</v>
      </c>
      <c r="G73" s="20">
        <v>0.0</v>
      </c>
      <c r="H73" s="20">
        <v>0.0</v>
      </c>
      <c r="I73" s="20">
        <v>0.0</v>
      </c>
      <c r="J73" s="20">
        <v>0.0</v>
      </c>
      <c r="K73" s="30" t="str">
        <f t="shared" si="25"/>
        <v>-</v>
      </c>
      <c r="L73" s="22" t="str">
        <f t="shared" si="26"/>
        <v>-</v>
      </c>
      <c r="M73" s="20">
        <v>0.0</v>
      </c>
      <c r="N73" s="20">
        <v>0.0</v>
      </c>
      <c r="O73" s="20">
        <v>0.0</v>
      </c>
      <c r="P73" s="20">
        <v>6.0</v>
      </c>
      <c r="Q73" s="20">
        <v>3.0</v>
      </c>
      <c r="R73" s="20">
        <v>1.0</v>
      </c>
      <c r="S73" s="21">
        <f t="shared" si="27"/>
        <v>10</v>
      </c>
      <c r="T73" s="20">
        <v>0.0</v>
      </c>
      <c r="U73" s="21">
        <f t="shared" si="28"/>
        <v>3</v>
      </c>
      <c r="V73" s="23">
        <f t="shared" si="29"/>
        <v>3</v>
      </c>
      <c r="W73" s="21">
        <f t="shared" si="30"/>
        <v>1</v>
      </c>
      <c r="X73" s="20">
        <v>1.0</v>
      </c>
      <c r="Y73" s="20">
        <v>0.0</v>
      </c>
      <c r="Z73" s="24">
        <f t="shared" si="31"/>
        <v>100</v>
      </c>
      <c r="AA73" s="20">
        <v>0.0</v>
      </c>
      <c r="AB73" s="22" t="str">
        <f t="shared" si="32"/>
        <v>0</v>
      </c>
      <c r="AC73" s="26"/>
      <c r="AD73" s="26"/>
      <c r="AE73" s="27">
        <f t="shared" si="33"/>
        <v>0</v>
      </c>
      <c r="AF73" s="27" t="str">
        <f t="shared" si="34"/>
        <v>-</v>
      </c>
      <c r="AG73" s="28" t="str">
        <f t="shared" si="35"/>
        <v>-</v>
      </c>
      <c r="AH73" s="27">
        <f t="shared" si="36"/>
        <v>0</v>
      </c>
      <c r="AI73" s="27">
        <f t="shared" si="37"/>
        <v>0.75</v>
      </c>
      <c r="AJ73" s="27">
        <f t="shared" ref="AJ73:AK73" si="44">iferror(U73/$F73,"-")</f>
        <v>0.75</v>
      </c>
      <c r="AK73" s="27">
        <f t="shared" si="44"/>
        <v>0.75</v>
      </c>
      <c r="AL73" s="29">
        <f t="shared" si="39"/>
        <v>0</v>
      </c>
      <c r="AM73" s="29" t="str">
        <f t="shared" si="40"/>
        <v>0</v>
      </c>
      <c r="AN73" s="26"/>
      <c r="AO73" s="19">
        <v>3.0</v>
      </c>
      <c r="AP73" s="19" t="s">
        <v>57</v>
      </c>
      <c r="AQ73" s="19" t="s">
        <v>48</v>
      </c>
      <c r="AR73" s="19">
        <v>181.0</v>
      </c>
      <c r="AS73" s="19">
        <v>67.0</v>
      </c>
      <c r="AT73" s="20">
        <v>9.0</v>
      </c>
    </row>
    <row r="74">
      <c r="A74" s="17">
        <v>7.0</v>
      </c>
      <c r="B74" s="18">
        <f t="shared" si="24"/>
        <v>7</v>
      </c>
      <c r="C74" s="19" t="s">
        <v>45</v>
      </c>
      <c r="D74" s="19" t="s">
        <v>58</v>
      </c>
      <c r="E74" s="20">
        <v>1.0</v>
      </c>
      <c r="F74" s="20">
        <v>3.0</v>
      </c>
      <c r="G74" s="20">
        <v>8.0</v>
      </c>
      <c r="H74" s="20">
        <v>0.0</v>
      </c>
      <c r="I74" s="20">
        <v>3.0</v>
      </c>
      <c r="J74" s="20">
        <v>1.0</v>
      </c>
      <c r="K74" s="21">
        <f t="shared" si="25"/>
        <v>12</v>
      </c>
      <c r="L74" s="22">
        <f t="shared" si="26"/>
        <v>0.58</v>
      </c>
      <c r="M74" s="20">
        <v>1.0</v>
      </c>
      <c r="N74" s="20">
        <v>0.0</v>
      </c>
      <c r="O74" s="20">
        <v>0.0</v>
      </c>
      <c r="P74" s="20">
        <v>2.0</v>
      </c>
      <c r="Q74" s="20">
        <v>0.0</v>
      </c>
      <c r="R74" s="20">
        <v>0.0</v>
      </c>
      <c r="S74" s="21">
        <f t="shared" si="27"/>
        <v>2</v>
      </c>
      <c r="T74" s="20">
        <v>0.0</v>
      </c>
      <c r="U74" s="21">
        <f t="shared" si="28"/>
        <v>9</v>
      </c>
      <c r="V74" s="23">
        <f t="shared" si="29"/>
        <v>9</v>
      </c>
      <c r="W74" s="30" t="str">
        <f t="shared" si="30"/>
        <v>-</v>
      </c>
      <c r="X74" s="20">
        <v>0.0</v>
      </c>
      <c r="Y74" s="20">
        <v>0.0</v>
      </c>
      <c r="Z74" s="24" t="str">
        <f t="shared" si="31"/>
        <v>-</v>
      </c>
      <c r="AA74" s="20">
        <v>1.0</v>
      </c>
      <c r="AB74" s="22" t="str">
        <f t="shared" si="32"/>
        <v>0.33</v>
      </c>
      <c r="AC74" s="26"/>
      <c r="AD74" s="26"/>
      <c r="AE74" s="27">
        <f t="shared" si="33"/>
        <v>2.666666667</v>
      </c>
      <c r="AF74" s="27">
        <f t="shared" si="34"/>
        <v>4</v>
      </c>
      <c r="AG74" s="28">
        <f t="shared" si="35"/>
        <v>0.6666666667</v>
      </c>
      <c r="AH74" s="27">
        <f t="shared" si="36"/>
        <v>0.3333333333</v>
      </c>
      <c r="AI74" s="27">
        <f t="shared" si="37"/>
        <v>0</v>
      </c>
      <c r="AJ74" s="27">
        <f t="shared" ref="AJ74:AK74" si="45">iferror(U74/$F74,"-")</f>
        <v>3</v>
      </c>
      <c r="AK74" s="27">
        <f t="shared" si="45"/>
        <v>3</v>
      </c>
      <c r="AL74" s="29">
        <f t="shared" si="39"/>
        <v>0</v>
      </c>
      <c r="AM74" s="29" t="str">
        <f t="shared" si="40"/>
        <v>0.33</v>
      </c>
      <c r="AN74" s="26"/>
      <c r="AO74" s="19">
        <v>2.0</v>
      </c>
      <c r="AP74" s="19" t="s">
        <v>47</v>
      </c>
      <c r="AQ74" s="19" t="s">
        <v>48</v>
      </c>
      <c r="AR74" s="19">
        <v>183.0</v>
      </c>
      <c r="AS74" s="19">
        <v>65.0</v>
      </c>
      <c r="AT74" s="20">
        <v>10.0</v>
      </c>
    </row>
    <row r="78">
      <c r="A78" s="77"/>
      <c r="B78" s="78" t="s">
        <v>245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175" t="s">
        <v>274</v>
      </c>
      <c r="W78" s="176"/>
      <c r="X78" s="176"/>
      <c r="Y78" s="176"/>
      <c r="Z78" s="176"/>
      <c r="AA78" s="176"/>
      <c r="AB78" s="177" t="s">
        <v>275</v>
      </c>
      <c r="AC78" s="178"/>
      <c r="AD78" s="179"/>
      <c r="AE78" s="179"/>
      <c r="AF78" s="179"/>
      <c r="AG78" s="179"/>
      <c r="AH78" s="180" t="s">
        <v>276</v>
      </c>
      <c r="AI78" s="181"/>
      <c r="AJ78" s="181"/>
      <c r="AK78" s="181"/>
      <c r="AT78" s="77"/>
      <c r="AU78" s="77"/>
      <c r="AV78" s="77"/>
      <c r="AW78" s="77"/>
      <c r="AX78" s="77"/>
      <c r="AY78" s="77"/>
      <c r="AZ78" s="77"/>
      <c r="BA78" s="77"/>
      <c r="BB78" s="77"/>
      <c r="BC78" s="77"/>
    </row>
    <row r="79">
      <c r="A79" s="77"/>
      <c r="B79" s="79" t="s">
        <v>3</v>
      </c>
      <c r="C79" s="79" t="s">
        <v>246</v>
      </c>
      <c r="D79" s="79" t="s">
        <v>4</v>
      </c>
      <c r="E79" s="122" t="s">
        <v>238</v>
      </c>
      <c r="F79" s="10" t="s">
        <v>13</v>
      </c>
      <c r="G79" s="10" t="s">
        <v>14</v>
      </c>
      <c r="H79" s="10" t="s">
        <v>15</v>
      </c>
      <c r="I79" s="10" t="s">
        <v>16</v>
      </c>
      <c r="J79" s="10" t="s">
        <v>17</v>
      </c>
      <c r="K79" s="10" t="s">
        <v>20</v>
      </c>
      <c r="L79" s="10" t="s">
        <v>21</v>
      </c>
      <c r="M79" s="10" t="s">
        <v>22</v>
      </c>
      <c r="N79" s="10" t="s">
        <v>23</v>
      </c>
      <c r="O79" s="10" t="s">
        <v>24</v>
      </c>
      <c r="P79" s="10" t="s">
        <v>25</v>
      </c>
      <c r="Q79" s="10" t="s">
        <v>27</v>
      </c>
      <c r="R79" s="10" t="s">
        <v>31</v>
      </c>
      <c r="S79" s="10" t="s">
        <v>32</v>
      </c>
      <c r="T79" s="10" t="s">
        <v>34</v>
      </c>
      <c r="V79" s="182" t="s">
        <v>18</v>
      </c>
      <c r="W79" s="183" t="s">
        <v>19</v>
      </c>
      <c r="X79" s="182" t="s">
        <v>26</v>
      </c>
      <c r="Y79" s="182" t="s">
        <v>28</v>
      </c>
      <c r="Z79" s="182" t="s">
        <v>277</v>
      </c>
      <c r="AA79" s="184" t="s">
        <v>38</v>
      </c>
      <c r="AB79" s="185" t="s">
        <v>36</v>
      </c>
      <c r="AC79" s="185" t="s">
        <v>37</v>
      </c>
      <c r="AD79" s="185" t="s">
        <v>40</v>
      </c>
      <c r="AE79" s="185" t="s">
        <v>39</v>
      </c>
      <c r="AF79" s="185" t="s">
        <v>41</v>
      </c>
      <c r="AG79" s="185" t="s">
        <v>278</v>
      </c>
      <c r="AH79" s="186" t="s">
        <v>30</v>
      </c>
      <c r="AI79" s="186" t="s">
        <v>33</v>
      </c>
      <c r="AJ79" s="187" t="s">
        <v>43</v>
      </c>
      <c r="AK79" s="188" t="s">
        <v>35</v>
      </c>
    </row>
    <row r="80">
      <c r="A80" s="77"/>
      <c r="B80" s="123">
        <v>1.0</v>
      </c>
      <c r="C80" s="124" t="s">
        <v>248</v>
      </c>
      <c r="D80" s="125" t="s">
        <v>162</v>
      </c>
      <c r="E80" s="126"/>
      <c r="F80" s="127">
        <v>3.0</v>
      </c>
      <c r="G80" s="127">
        <v>18.0</v>
      </c>
      <c r="H80" s="127">
        <v>15.0</v>
      </c>
      <c r="I80" s="127">
        <v>22.0</v>
      </c>
      <c r="J80" s="127">
        <v>24.0</v>
      </c>
      <c r="K80" s="127">
        <v>3.0</v>
      </c>
      <c r="L80" s="127">
        <v>1.0</v>
      </c>
      <c r="M80" s="127">
        <v>3.0</v>
      </c>
      <c r="N80" s="127">
        <v>25.0</v>
      </c>
      <c r="O80" s="127">
        <v>2.0</v>
      </c>
      <c r="P80" s="127">
        <v>5.0</v>
      </c>
      <c r="Q80" s="127">
        <v>0.0</v>
      </c>
      <c r="R80" s="127">
        <v>59.0</v>
      </c>
      <c r="S80" s="127">
        <v>9.0</v>
      </c>
      <c r="T80" s="127">
        <v>16.0</v>
      </c>
      <c r="V80" s="151">
        <f>if(J80+I80+G80=0,"-",J80+I80+G80)</f>
        <v>64</v>
      </c>
      <c r="W80" s="107">
        <f>if(iferror((G80-J80)/V80,0)=0,"-",round((G80-J80)/V80,2))</f>
        <v>-0.09</v>
      </c>
      <c r="X80" s="151">
        <f t="shared" ref="X80:X107" si="46">IF(P80+O80+N80=0,"-",P80+O80+N80)</f>
        <v>32</v>
      </c>
      <c r="Y80" s="150">
        <f>G80+K80+O80</f>
        <v>23</v>
      </c>
      <c r="Z80" s="152">
        <f t="shared" ref="Z80:Z107" si="47">Y80+M80*0.75</f>
        <v>25.25</v>
      </c>
      <c r="AA80" s="28">
        <f t="shared" ref="AA80:AA107" si="48">iferror(G80/V80,"-")</f>
        <v>0.28125</v>
      </c>
      <c r="AB80" s="27">
        <f t="shared" ref="AB80:AB107" si="49">iferror(G80/$F80,"-")</f>
        <v>6</v>
      </c>
      <c r="AC80" s="27">
        <f t="shared" ref="AC80:AC107" si="50">iferror(V80/$F80,"-")</f>
        <v>21.33333333</v>
      </c>
      <c r="AD80" s="27">
        <f t="shared" ref="AD80:AD107" si="51">iferror(O80/$F80,"-")</f>
        <v>0.6666666667</v>
      </c>
      <c r="AE80" s="27">
        <f t="shared" ref="AE80:AE107" si="52">iferror(L80/$F80,"-")</f>
        <v>0.3333333333</v>
      </c>
      <c r="AF80" s="27">
        <f t="shared" ref="AF80:AF107" si="53">iferror(Y80/$F80,"-")</f>
        <v>7.666666667</v>
      </c>
      <c r="AG80" s="27">
        <f t="shared" ref="AG80:AG107" si="54">iferror(V80/$F80,"-")</f>
        <v>21.33333333</v>
      </c>
      <c r="AH80" s="150">
        <f t="shared" ref="AH80:AH107" si="55">R80+S80</f>
        <v>68</v>
      </c>
      <c r="AI80" s="153">
        <f t="shared" ref="AI80:AI107" si="56">iferror((R80/AH80)*100,"-")</f>
        <v>86.76470588</v>
      </c>
      <c r="AJ80" s="29">
        <f t="shared" ref="AJ80:AJ107" si="57">iferror(S80/F80,"-")</f>
        <v>3</v>
      </c>
      <c r="AK80" s="107" t="str">
        <f t="shared" ref="AK80:AK107" si="58">IFERROR(IF(MOD(T80/F80, 1)=0, TEXT(T80/F80, "0.0"), TEXT(T80/F80, "0.0")), "-")</f>
        <v>5.3</v>
      </c>
    </row>
    <row r="81">
      <c r="A81" s="77"/>
      <c r="B81" s="55"/>
      <c r="C81" s="135" t="s">
        <v>248</v>
      </c>
      <c r="D81" s="136" t="s">
        <v>67</v>
      </c>
      <c r="E81" s="137"/>
      <c r="F81" s="138">
        <v>3.0</v>
      </c>
      <c r="G81" s="138">
        <v>38.0</v>
      </c>
      <c r="H81" s="138">
        <v>32.0</v>
      </c>
      <c r="I81" s="138">
        <v>18.0</v>
      </c>
      <c r="J81" s="138">
        <v>5.0</v>
      </c>
      <c r="K81" s="138">
        <v>11.0</v>
      </c>
      <c r="L81" s="138">
        <v>1.0</v>
      </c>
      <c r="M81" s="138">
        <v>9.0</v>
      </c>
      <c r="N81" s="138">
        <v>59.0</v>
      </c>
      <c r="O81" s="138">
        <v>9.0</v>
      </c>
      <c r="P81" s="138">
        <v>6.0</v>
      </c>
      <c r="Q81" s="138">
        <v>0.0</v>
      </c>
      <c r="R81" s="138">
        <v>25.0</v>
      </c>
      <c r="S81" s="138">
        <v>2.0</v>
      </c>
      <c r="T81" s="138">
        <v>16.0</v>
      </c>
      <c r="V81" s="150">
        <f>G81+I81+J81</f>
        <v>61</v>
      </c>
      <c r="W81" s="169">
        <f>(G81+J81)/V81</f>
        <v>0.7049180328</v>
      </c>
      <c r="X81" s="151">
        <f t="shared" si="46"/>
        <v>74</v>
      </c>
      <c r="Y81" s="150">
        <f>O81+K81+G81</f>
        <v>58</v>
      </c>
      <c r="Z81" s="152">
        <f t="shared" si="47"/>
        <v>64.75</v>
      </c>
      <c r="AA81" s="28">
        <f t="shared" si="48"/>
        <v>0.6229508197</v>
      </c>
      <c r="AB81" s="27">
        <f t="shared" si="49"/>
        <v>12.66666667</v>
      </c>
      <c r="AC81" s="27">
        <f t="shared" si="50"/>
        <v>20.33333333</v>
      </c>
      <c r="AD81" s="27">
        <f t="shared" si="51"/>
        <v>3</v>
      </c>
      <c r="AE81" s="27">
        <f t="shared" si="52"/>
        <v>0.3333333333</v>
      </c>
      <c r="AF81" s="27">
        <f t="shared" si="53"/>
        <v>19.33333333</v>
      </c>
      <c r="AG81" s="27">
        <f t="shared" si="54"/>
        <v>20.33333333</v>
      </c>
      <c r="AH81" s="150">
        <f t="shared" si="55"/>
        <v>27</v>
      </c>
      <c r="AI81" s="153">
        <f t="shared" si="56"/>
        <v>92.59259259</v>
      </c>
      <c r="AJ81" s="29">
        <f t="shared" si="57"/>
        <v>0.6666666667</v>
      </c>
      <c r="AK81" s="107" t="str">
        <f t="shared" si="58"/>
        <v>5.3</v>
      </c>
    </row>
    <row r="82">
      <c r="A82" s="77"/>
      <c r="B82" s="123">
        <v>2.0</v>
      </c>
      <c r="C82" s="124" t="s">
        <v>249</v>
      </c>
      <c r="D82" s="125" t="s">
        <v>114</v>
      </c>
      <c r="E82" s="126"/>
      <c r="F82" s="127">
        <v>4.0</v>
      </c>
      <c r="G82" s="127">
        <v>45.0</v>
      </c>
      <c r="H82" s="127">
        <v>42.0</v>
      </c>
      <c r="I82" s="127">
        <v>75.0</v>
      </c>
      <c r="J82" s="127">
        <v>23.0</v>
      </c>
      <c r="K82" s="127">
        <v>7.0</v>
      </c>
      <c r="L82" s="127">
        <v>3.0</v>
      </c>
      <c r="M82" s="127">
        <v>7.0</v>
      </c>
      <c r="N82" s="127">
        <v>71.0</v>
      </c>
      <c r="O82" s="127">
        <v>2.0</v>
      </c>
      <c r="P82" s="127">
        <v>12.0</v>
      </c>
      <c r="Q82" s="127">
        <v>7.0</v>
      </c>
      <c r="R82" s="127">
        <v>77.0</v>
      </c>
      <c r="S82" s="127">
        <v>16.0</v>
      </c>
      <c r="T82" s="127">
        <v>60.0</v>
      </c>
      <c r="V82" s="151">
        <f>if(J82+I82+G82=0,"-",J82+I82+G82)</f>
        <v>143</v>
      </c>
      <c r="W82" s="107">
        <f>if(iferror((G82-J82)/V82,0)=0,"-",round((G82-J82)/V82,2))</f>
        <v>0.15</v>
      </c>
      <c r="X82" s="151">
        <f t="shared" si="46"/>
        <v>85</v>
      </c>
      <c r="Y82" s="150">
        <f>G82+K82+O82</f>
        <v>54</v>
      </c>
      <c r="Z82" s="152">
        <f t="shared" si="47"/>
        <v>59.25</v>
      </c>
      <c r="AA82" s="28">
        <f t="shared" si="48"/>
        <v>0.3146853147</v>
      </c>
      <c r="AB82" s="27">
        <f t="shared" si="49"/>
        <v>11.25</v>
      </c>
      <c r="AC82" s="27">
        <f t="shared" si="50"/>
        <v>35.75</v>
      </c>
      <c r="AD82" s="27">
        <f t="shared" si="51"/>
        <v>0.5</v>
      </c>
      <c r="AE82" s="27">
        <f t="shared" si="52"/>
        <v>0.75</v>
      </c>
      <c r="AF82" s="27">
        <f t="shared" si="53"/>
        <v>13.5</v>
      </c>
      <c r="AG82" s="27">
        <f t="shared" si="54"/>
        <v>35.75</v>
      </c>
      <c r="AH82" s="150">
        <f t="shared" si="55"/>
        <v>93</v>
      </c>
      <c r="AI82" s="153">
        <f t="shared" si="56"/>
        <v>82.79569892</v>
      </c>
      <c r="AJ82" s="29">
        <f t="shared" si="57"/>
        <v>4</v>
      </c>
      <c r="AK82" s="107" t="str">
        <f t="shared" si="58"/>
        <v>15.0</v>
      </c>
    </row>
    <row r="83">
      <c r="A83" s="77"/>
      <c r="B83" s="55"/>
      <c r="C83" s="135" t="s">
        <v>249</v>
      </c>
      <c r="D83" s="136" t="s">
        <v>138</v>
      </c>
      <c r="E83" s="137"/>
      <c r="F83" s="138">
        <v>4.0</v>
      </c>
      <c r="G83" s="138">
        <v>47.0</v>
      </c>
      <c r="H83" s="138">
        <v>40.0</v>
      </c>
      <c r="I83" s="138">
        <v>70.0</v>
      </c>
      <c r="J83" s="138">
        <v>19.0</v>
      </c>
      <c r="K83" s="138">
        <v>7.0</v>
      </c>
      <c r="L83" s="138">
        <v>0.0</v>
      </c>
      <c r="M83" s="138">
        <v>6.0</v>
      </c>
      <c r="N83" s="138">
        <v>77.0</v>
      </c>
      <c r="O83" s="138">
        <v>9.0</v>
      </c>
      <c r="P83" s="138">
        <v>12.0</v>
      </c>
      <c r="Q83" s="138">
        <v>7.0</v>
      </c>
      <c r="R83" s="138">
        <v>71.0</v>
      </c>
      <c r="S83" s="138">
        <v>9.0</v>
      </c>
      <c r="T83" s="138">
        <v>59.0</v>
      </c>
      <c r="V83" s="150">
        <f>G83+I83+J83</f>
        <v>136</v>
      </c>
      <c r="W83" s="169">
        <f>(G83+J83)/V83</f>
        <v>0.4852941176</v>
      </c>
      <c r="X83" s="151">
        <f t="shared" si="46"/>
        <v>98</v>
      </c>
      <c r="Y83" s="150">
        <f>O83+K83+G83</f>
        <v>63</v>
      </c>
      <c r="Z83" s="152">
        <f t="shared" si="47"/>
        <v>67.5</v>
      </c>
      <c r="AA83" s="28">
        <f t="shared" si="48"/>
        <v>0.3455882353</v>
      </c>
      <c r="AB83" s="27">
        <f t="shared" si="49"/>
        <v>11.75</v>
      </c>
      <c r="AC83" s="27">
        <f t="shared" si="50"/>
        <v>34</v>
      </c>
      <c r="AD83" s="27">
        <f t="shared" si="51"/>
        <v>2.25</v>
      </c>
      <c r="AE83" s="27">
        <f t="shared" si="52"/>
        <v>0</v>
      </c>
      <c r="AF83" s="27">
        <f t="shared" si="53"/>
        <v>15.75</v>
      </c>
      <c r="AG83" s="27">
        <f t="shared" si="54"/>
        <v>34</v>
      </c>
      <c r="AH83" s="150">
        <f t="shared" si="55"/>
        <v>80</v>
      </c>
      <c r="AI83" s="153">
        <f t="shared" si="56"/>
        <v>88.75</v>
      </c>
      <c r="AJ83" s="29">
        <f t="shared" si="57"/>
        <v>2.25</v>
      </c>
      <c r="AK83" s="107" t="str">
        <f t="shared" si="58"/>
        <v>14.8</v>
      </c>
    </row>
    <row r="84">
      <c r="A84" s="77"/>
      <c r="B84" s="123">
        <v>3.0</v>
      </c>
      <c r="C84" s="124">
        <v>260303.0</v>
      </c>
      <c r="D84" s="125" t="s">
        <v>151</v>
      </c>
      <c r="E84" s="126"/>
      <c r="F84" s="127">
        <v>4.0</v>
      </c>
      <c r="G84" s="127">
        <v>51.0</v>
      </c>
      <c r="H84" s="127">
        <v>47.0</v>
      </c>
      <c r="I84" s="127">
        <v>108.0</v>
      </c>
      <c r="J84" s="127">
        <v>21.0</v>
      </c>
      <c r="K84" s="127">
        <v>6.0</v>
      </c>
      <c r="L84" s="127">
        <v>1.0</v>
      </c>
      <c r="M84" s="127">
        <v>5.0</v>
      </c>
      <c r="N84" s="127">
        <v>73.0</v>
      </c>
      <c r="O84" s="127">
        <v>4.0</v>
      </c>
      <c r="P84" s="127">
        <v>9.0</v>
      </c>
      <c r="Q84" s="127">
        <v>1.0</v>
      </c>
      <c r="R84" s="127">
        <v>79.0</v>
      </c>
      <c r="S84" s="127">
        <v>8.0</v>
      </c>
      <c r="T84" s="127">
        <v>94.0</v>
      </c>
      <c r="V84" s="151">
        <f>if(J84+I84+G84=0,"-",J84+I84+G84)</f>
        <v>180</v>
      </c>
      <c r="W84" s="107">
        <f>if(iferror((G84-J84)/V84,0)=0,"-",round((G84-J84)/V84,2))</f>
        <v>0.17</v>
      </c>
      <c r="X84" s="151">
        <f t="shared" si="46"/>
        <v>86</v>
      </c>
      <c r="Y84" s="150">
        <f>G84+K84+O84</f>
        <v>61</v>
      </c>
      <c r="Z84" s="152">
        <f t="shared" si="47"/>
        <v>64.75</v>
      </c>
      <c r="AA84" s="28">
        <f t="shared" si="48"/>
        <v>0.2833333333</v>
      </c>
      <c r="AB84" s="27">
        <f t="shared" si="49"/>
        <v>12.75</v>
      </c>
      <c r="AC84" s="27">
        <f t="shared" si="50"/>
        <v>45</v>
      </c>
      <c r="AD84" s="27">
        <f t="shared" si="51"/>
        <v>1</v>
      </c>
      <c r="AE84" s="27">
        <f t="shared" si="52"/>
        <v>0.25</v>
      </c>
      <c r="AF84" s="27">
        <f t="shared" si="53"/>
        <v>15.25</v>
      </c>
      <c r="AG84" s="27">
        <f t="shared" si="54"/>
        <v>45</v>
      </c>
      <c r="AH84" s="150">
        <f t="shared" si="55"/>
        <v>87</v>
      </c>
      <c r="AI84" s="153">
        <f t="shared" si="56"/>
        <v>90.8045977</v>
      </c>
      <c r="AJ84" s="29">
        <f t="shared" si="57"/>
        <v>2</v>
      </c>
      <c r="AK84" s="107" t="str">
        <f t="shared" si="58"/>
        <v>23.5</v>
      </c>
    </row>
    <row r="85">
      <c r="A85" s="77"/>
      <c r="B85" s="55"/>
      <c r="C85" s="135">
        <v>260303.0</v>
      </c>
      <c r="D85" s="136" t="s">
        <v>127</v>
      </c>
      <c r="E85" s="137"/>
      <c r="F85" s="138">
        <v>4.0</v>
      </c>
      <c r="G85" s="138">
        <v>58.0</v>
      </c>
      <c r="H85" s="138">
        <v>55.0</v>
      </c>
      <c r="I85" s="138">
        <v>106.0</v>
      </c>
      <c r="J85" s="138">
        <v>20.0</v>
      </c>
      <c r="K85" s="138">
        <v>3.0</v>
      </c>
      <c r="L85" s="138">
        <v>1.0</v>
      </c>
      <c r="M85" s="138">
        <v>3.0</v>
      </c>
      <c r="N85" s="138">
        <v>79.0</v>
      </c>
      <c r="O85" s="138">
        <v>7.0</v>
      </c>
      <c r="P85" s="138">
        <v>8.0</v>
      </c>
      <c r="Q85" s="138">
        <v>1.0</v>
      </c>
      <c r="R85" s="138">
        <v>73.0</v>
      </c>
      <c r="S85" s="138">
        <v>5.0</v>
      </c>
      <c r="T85" s="138">
        <v>96.0</v>
      </c>
      <c r="V85" s="150">
        <f>G85+I85+J85</f>
        <v>184</v>
      </c>
      <c r="W85" s="169">
        <f>(G85+J85)/V85</f>
        <v>0.4239130435</v>
      </c>
      <c r="X85" s="151">
        <f t="shared" si="46"/>
        <v>94</v>
      </c>
      <c r="Y85" s="150">
        <f>O85+K85+G85</f>
        <v>68</v>
      </c>
      <c r="Z85" s="152">
        <f t="shared" si="47"/>
        <v>70.25</v>
      </c>
      <c r="AA85" s="28">
        <f t="shared" si="48"/>
        <v>0.3152173913</v>
      </c>
      <c r="AB85" s="27">
        <f t="shared" si="49"/>
        <v>14.5</v>
      </c>
      <c r="AC85" s="27">
        <f t="shared" si="50"/>
        <v>46</v>
      </c>
      <c r="AD85" s="27">
        <f t="shared" si="51"/>
        <v>1.75</v>
      </c>
      <c r="AE85" s="27">
        <f t="shared" si="52"/>
        <v>0.25</v>
      </c>
      <c r="AF85" s="27">
        <f t="shared" si="53"/>
        <v>17</v>
      </c>
      <c r="AG85" s="27">
        <f t="shared" si="54"/>
        <v>46</v>
      </c>
      <c r="AH85" s="150">
        <f t="shared" si="55"/>
        <v>78</v>
      </c>
      <c r="AI85" s="153">
        <f t="shared" si="56"/>
        <v>93.58974359</v>
      </c>
      <c r="AJ85" s="29">
        <f t="shared" si="57"/>
        <v>1.25</v>
      </c>
      <c r="AK85" s="107" t="str">
        <f t="shared" si="58"/>
        <v>24.0</v>
      </c>
    </row>
    <row r="86">
      <c r="A86" s="77"/>
      <c r="B86" s="123">
        <v>4.0</v>
      </c>
      <c r="C86" s="124">
        <v>260304.0</v>
      </c>
      <c r="D86" s="125" t="s">
        <v>45</v>
      </c>
      <c r="E86" s="126"/>
      <c r="F86" s="127">
        <v>4.0</v>
      </c>
      <c r="G86" s="127">
        <v>49.0</v>
      </c>
      <c r="H86" s="127">
        <v>46.0</v>
      </c>
      <c r="I86" s="127">
        <v>67.0</v>
      </c>
      <c r="J86" s="127">
        <v>21.0</v>
      </c>
      <c r="K86" s="127">
        <v>2.0</v>
      </c>
      <c r="L86" s="127">
        <v>1.0</v>
      </c>
      <c r="M86" s="127">
        <v>0.0</v>
      </c>
      <c r="N86" s="127">
        <v>82.0</v>
      </c>
      <c r="O86" s="127">
        <v>4.0</v>
      </c>
      <c r="P86" s="127">
        <v>14.0</v>
      </c>
      <c r="Q86" s="127">
        <v>2.0</v>
      </c>
      <c r="R86" s="127">
        <v>85.0</v>
      </c>
      <c r="S86" s="127">
        <v>11.0</v>
      </c>
      <c r="T86" s="127">
        <v>46.0</v>
      </c>
      <c r="V86" s="151">
        <f>if(J86+I86+G86=0,"-",J86+I86+G86)</f>
        <v>137</v>
      </c>
      <c r="W86" s="107">
        <f>if(iferror((G86-J86)/V86,0)=0,"-",round((G86-J86)/V86,2))</f>
        <v>0.2</v>
      </c>
      <c r="X86" s="151">
        <f t="shared" si="46"/>
        <v>100</v>
      </c>
      <c r="Y86" s="150">
        <f>G86+K86+O86</f>
        <v>55</v>
      </c>
      <c r="Z86" s="152">
        <f t="shared" si="47"/>
        <v>55</v>
      </c>
      <c r="AA86" s="28">
        <f t="shared" si="48"/>
        <v>0.3576642336</v>
      </c>
      <c r="AB86" s="27">
        <f t="shared" si="49"/>
        <v>12.25</v>
      </c>
      <c r="AC86" s="27">
        <f t="shared" si="50"/>
        <v>34.25</v>
      </c>
      <c r="AD86" s="27">
        <f t="shared" si="51"/>
        <v>1</v>
      </c>
      <c r="AE86" s="27">
        <f t="shared" si="52"/>
        <v>0.25</v>
      </c>
      <c r="AF86" s="27">
        <f t="shared" si="53"/>
        <v>13.75</v>
      </c>
      <c r="AG86" s="27">
        <f t="shared" si="54"/>
        <v>34.25</v>
      </c>
      <c r="AH86" s="150">
        <f t="shared" si="55"/>
        <v>96</v>
      </c>
      <c r="AI86" s="153">
        <f t="shared" si="56"/>
        <v>88.54166667</v>
      </c>
      <c r="AJ86" s="29">
        <f t="shared" si="57"/>
        <v>2.75</v>
      </c>
      <c r="AK86" s="107" t="str">
        <f t="shared" si="58"/>
        <v>11.5</v>
      </c>
    </row>
    <row r="87">
      <c r="A87" s="77"/>
      <c r="B87" s="55"/>
      <c r="C87" s="135">
        <v>260304.0</v>
      </c>
      <c r="D87" s="136" t="s">
        <v>114</v>
      </c>
      <c r="E87" s="137"/>
      <c r="F87" s="138">
        <v>4.0</v>
      </c>
      <c r="G87" s="138">
        <v>62.0</v>
      </c>
      <c r="H87" s="138">
        <v>57.0</v>
      </c>
      <c r="I87" s="138">
        <v>60.0</v>
      </c>
      <c r="J87" s="138">
        <v>31.0</v>
      </c>
      <c r="K87" s="138">
        <v>1.0</v>
      </c>
      <c r="L87" s="138">
        <v>1.0</v>
      </c>
      <c r="M87" s="138">
        <v>0.0</v>
      </c>
      <c r="N87" s="138">
        <v>85.0</v>
      </c>
      <c r="O87" s="138">
        <v>9.0</v>
      </c>
      <c r="P87" s="138">
        <v>12.0</v>
      </c>
      <c r="Q87" s="138">
        <v>3.0</v>
      </c>
      <c r="R87" s="138">
        <v>82.0</v>
      </c>
      <c r="S87" s="138">
        <v>7.0</v>
      </c>
      <c r="T87" s="138">
        <v>60.0</v>
      </c>
      <c r="V87" s="150">
        <f>G87+I87+J87</f>
        <v>153</v>
      </c>
      <c r="W87" s="169">
        <f>(G87+J87)/V87</f>
        <v>0.6078431373</v>
      </c>
      <c r="X87" s="151">
        <f t="shared" si="46"/>
        <v>106</v>
      </c>
      <c r="Y87" s="150">
        <f>O87+K87+G87</f>
        <v>72</v>
      </c>
      <c r="Z87" s="152">
        <f t="shared" si="47"/>
        <v>72</v>
      </c>
      <c r="AA87" s="28">
        <f t="shared" si="48"/>
        <v>0.4052287582</v>
      </c>
      <c r="AB87" s="27">
        <f t="shared" si="49"/>
        <v>15.5</v>
      </c>
      <c r="AC87" s="27">
        <f t="shared" si="50"/>
        <v>38.25</v>
      </c>
      <c r="AD87" s="27">
        <f t="shared" si="51"/>
        <v>2.25</v>
      </c>
      <c r="AE87" s="27">
        <f t="shared" si="52"/>
        <v>0.25</v>
      </c>
      <c r="AF87" s="27">
        <f t="shared" si="53"/>
        <v>18</v>
      </c>
      <c r="AG87" s="27">
        <f t="shared" si="54"/>
        <v>38.25</v>
      </c>
      <c r="AH87" s="150">
        <f t="shared" si="55"/>
        <v>89</v>
      </c>
      <c r="AI87" s="153">
        <f t="shared" si="56"/>
        <v>92.13483146</v>
      </c>
      <c r="AJ87" s="29">
        <f t="shared" si="57"/>
        <v>1.75</v>
      </c>
      <c r="AK87" s="107" t="str">
        <f t="shared" si="58"/>
        <v>15.0</v>
      </c>
    </row>
    <row r="88">
      <c r="A88" s="77"/>
      <c r="B88" s="123">
        <v>5.0</v>
      </c>
      <c r="C88" s="124">
        <v>260305.0</v>
      </c>
      <c r="D88" s="125" t="s">
        <v>100</v>
      </c>
      <c r="E88" s="126"/>
      <c r="F88" s="127">
        <v>4.0</v>
      </c>
      <c r="G88" s="127">
        <v>52.0</v>
      </c>
      <c r="H88" s="127">
        <v>48.0</v>
      </c>
      <c r="I88" s="127">
        <v>53.0</v>
      </c>
      <c r="J88" s="127">
        <v>20.0</v>
      </c>
      <c r="K88" s="127">
        <v>13.0</v>
      </c>
      <c r="L88" s="127">
        <v>1.0</v>
      </c>
      <c r="M88" s="127">
        <v>12.0</v>
      </c>
      <c r="N88" s="127">
        <v>70.0</v>
      </c>
      <c r="O88" s="127">
        <v>12.0</v>
      </c>
      <c r="P88" s="127">
        <v>5.0</v>
      </c>
      <c r="Q88" s="127">
        <v>1.0</v>
      </c>
      <c r="R88" s="127">
        <v>67.0</v>
      </c>
      <c r="S88" s="127">
        <v>7.0</v>
      </c>
      <c r="T88" s="127">
        <v>47.0</v>
      </c>
      <c r="V88" s="151">
        <f>if(J88+I88+G88=0,"-",J88+I88+G88)</f>
        <v>125</v>
      </c>
      <c r="W88" s="107">
        <f>if(iferror((G88-J88)/V88,0)=0,"-",round((G88-J88)/V88,2))</f>
        <v>0.26</v>
      </c>
      <c r="X88" s="151">
        <f t="shared" si="46"/>
        <v>87</v>
      </c>
      <c r="Y88" s="150">
        <f>G88+K88+O88</f>
        <v>77</v>
      </c>
      <c r="Z88" s="152">
        <f t="shared" si="47"/>
        <v>86</v>
      </c>
      <c r="AA88" s="28">
        <f t="shared" si="48"/>
        <v>0.416</v>
      </c>
      <c r="AB88" s="27">
        <f t="shared" si="49"/>
        <v>13</v>
      </c>
      <c r="AC88" s="27">
        <f t="shared" si="50"/>
        <v>31.25</v>
      </c>
      <c r="AD88" s="27">
        <f t="shared" si="51"/>
        <v>3</v>
      </c>
      <c r="AE88" s="27">
        <f t="shared" si="52"/>
        <v>0.25</v>
      </c>
      <c r="AF88" s="27">
        <f t="shared" si="53"/>
        <v>19.25</v>
      </c>
      <c r="AG88" s="27">
        <f t="shared" si="54"/>
        <v>31.25</v>
      </c>
      <c r="AH88" s="150">
        <f t="shared" si="55"/>
        <v>74</v>
      </c>
      <c r="AI88" s="153">
        <f t="shared" si="56"/>
        <v>90.54054054</v>
      </c>
      <c r="AJ88" s="29">
        <f t="shared" si="57"/>
        <v>1.75</v>
      </c>
      <c r="AK88" s="107" t="str">
        <f t="shared" si="58"/>
        <v>11.8</v>
      </c>
    </row>
    <row r="89">
      <c r="A89" s="77"/>
      <c r="B89" s="55"/>
      <c r="C89" s="135">
        <v>260305.0</v>
      </c>
      <c r="D89" s="136" t="s">
        <v>127</v>
      </c>
      <c r="E89" s="137"/>
      <c r="F89" s="138">
        <v>4.0</v>
      </c>
      <c r="G89" s="138">
        <v>47.0</v>
      </c>
      <c r="H89" s="138">
        <v>43.0</v>
      </c>
      <c r="I89" s="138">
        <v>49.0</v>
      </c>
      <c r="J89" s="138">
        <v>16.0</v>
      </c>
      <c r="K89" s="138">
        <v>3.0</v>
      </c>
      <c r="L89" s="138">
        <v>0.0</v>
      </c>
      <c r="M89" s="138">
        <v>2.0</v>
      </c>
      <c r="N89" s="138">
        <v>67.0</v>
      </c>
      <c r="O89" s="138">
        <v>6.0</v>
      </c>
      <c r="P89" s="138">
        <v>7.0</v>
      </c>
      <c r="Q89" s="138">
        <v>1.0</v>
      </c>
      <c r="R89" s="138">
        <v>70.0</v>
      </c>
      <c r="S89" s="138">
        <v>12.0</v>
      </c>
      <c r="T89" s="138">
        <v>43.0</v>
      </c>
      <c r="V89" s="150">
        <f>G89+I89+J89</f>
        <v>112</v>
      </c>
      <c r="W89" s="169">
        <f>(G89+J89)/V89</f>
        <v>0.5625</v>
      </c>
      <c r="X89" s="151">
        <f t="shared" si="46"/>
        <v>80</v>
      </c>
      <c r="Y89" s="150">
        <f>O89+K89+G89</f>
        <v>56</v>
      </c>
      <c r="Z89" s="152">
        <f t="shared" si="47"/>
        <v>57.5</v>
      </c>
      <c r="AA89" s="28">
        <f t="shared" si="48"/>
        <v>0.4196428571</v>
      </c>
      <c r="AB89" s="27">
        <f t="shared" si="49"/>
        <v>11.75</v>
      </c>
      <c r="AC89" s="27">
        <f t="shared" si="50"/>
        <v>28</v>
      </c>
      <c r="AD89" s="27">
        <f t="shared" si="51"/>
        <v>1.5</v>
      </c>
      <c r="AE89" s="27">
        <f t="shared" si="52"/>
        <v>0</v>
      </c>
      <c r="AF89" s="27">
        <f t="shared" si="53"/>
        <v>14</v>
      </c>
      <c r="AG89" s="27">
        <f t="shared" si="54"/>
        <v>28</v>
      </c>
      <c r="AH89" s="150">
        <f t="shared" si="55"/>
        <v>82</v>
      </c>
      <c r="AI89" s="153">
        <f t="shared" si="56"/>
        <v>85.36585366</v>
      </c>
      <c r="AJ89" s="29">
        <f t="shared" si="57"/>
        <v>3</v>
      </c>
      <c r="AK89" s="107" t="str">
        <f t="shared" si="58"/>
        <v>10.8</v>
      </c>
    </row>
    <row r="90">
      <c r="A90" s="77"/>
      <c r="B90" s="123">
        <v>6.0</v>
      </c>
      <c r="C90" s="124">
        <v>260306.0</v>
      </c>
      <c r="D90" s="125" t="s">
        <v>83</v>
      </c>
      <c r="E90" s="126"/>
      <c r="F90" s="127">
        <v>3.0</v>
      </c>
      <c r="G90" s="127">
        <v>30.0</v>
      </c>
      <c r="H90" s="127">
        <v>28.0</v>
      </c>
      <c r="I90" s="127">
        <v>43.0</v>
      </c>
      <c r="J90" s="127">
        <v>16.0</v>
      </c>
      <c r="K90" s="127">
        <v>5.0</v>
      </c>
      <c r="L90" s="127">
        <v>2.0</v>
      </c>
      <c r="M90" s="127">
        <v>4.0</v>
      </c>
      <c r="N90" s="127">
        <v>45.0</v>
      </c>
      <c r="O90" s="127">
        <v>6.0</v>
      </c>
      <c r="P90" s="127">
        <v>12.0</v>
      </c>
      <c r="Q90" s="127">
        <v>2.0</v>
      </c>
      <c r="R90" s="127">
        <v>60.0</v>
      </c>
      <c r="S90" s="127">
        <v>9.0</v>
      </c>
      <c r="T90" s="127">
        <v>27.0</v>
      </c>
      <c r="V90" s="151">
        <f>if(J90+I90+G90=0,"-",J90+I90+G90)</f>
        <v>89</v>
      </c>
      <c r="W90" s="107">
        <f>if(iferror((G90-J90)/V90,0)=0,"-",round((G90-J90)/V90,2))</f>
        <v>0.16</v>
      </c>
      <c r="X90" s="151">
        <f t="shared" si="46"/>
        <v>63</v>
      </c>
      <c r="Y90" s="150">
        <f>G90+K90+O90</f>
        <v>41</v>
      </c>
      <c r="Z90" s="152">
        <f t="shared" si="47"/>
        <v>44</v>
      </c>
      <c r="AA90" s="28">
        <f t="shared" si="48"/>
        <v>0.3370786517</v>
      </c>
      <c r="AB90" s="27">
        <f t="shared" si="49"/>
        <v>10</v>
      </c>
      <c r="AC90" s="27">
        <f t="shared" si="50"/>
        <v>29.66666667</v>
      </c>
      <c r="AD90" s="27">
        <f t="shared" si="51"/>
        <v>2</v>
      </c>
      <c r="AE90" s="27">
        <f t="shared" si="52"/>
        <v>0.6666666667</v>
      </c>
      <c r="AF90" s="27">
        <f t="shared" si="53"/>
        <v>13.66666667</v>
      </c>
      <c r="AG90" s="27">
        <f t="shared" si="54"/>
        <v>29.66666667</v>
      </c>
      <c r="AH90" s="150">
        <f t="shared" si="55"/>
        <v>69</v>
      </c>
      <c r="AI90" s="153">
        <f t="shared" si="56"/>
        <v>86.95652174</v>
      </c>
      <c r="AJ90" s="29">
        <f t="shared" si="57"/>
        <v>3</v>
      </c>
      <c r="AK90" s="107" t="str">
        <f t="shared" si="58"/>
        <v>9.0</v>
      </c>
    </row>
    <row r="91">
      <c r="A91" s="77"/>
      <c r="B91" s="55"/>
      <c r="C91" s="135">
        <v>260306.0</v>
      </c>
      <c r="D91" s="136" t="s">
        <v>67</v>
      </c>
      <c r="E91" s="137"/>
      <c r="F91" s="138">
        <v>3.0</v>
      </c>
      <c r="G91" s="138">
        <v>40.0</v>
      </c>
      <c r="H91" s="138">
        <v>36.0</v>
      </c>
      <c r="I91" s="138">
        <v>30.0</v>
      </c>
      <c r="J91" s="138">
        <v>17.0</v>
      </c>
      <c r="K91" s="138">
        <v>8.0</v>
      </c>
      <c r="L91" s="138">
        <v>0.0</v>
      </c>
      <c r="M91" s="138">
        <v>8.0</v>
      </c>
      <c r="N91" s="138">
        <v>60.0</v>
      </c>
      <c r="O91" s="138">
        <v>7.0</v>
      </c>
      <c r="P91" s="138">
        <v>8.0</v>
      </c>
      <c r="Q91" s="138">
        <v>0.0</v>
      </c>
      <c r="R91" s="138">
        <v>45.0</v>
      </c>
      <c r="S91" s="138">
        <v>6.0</v>
      </c>
      <c r="T91" s="138">
        <v>34.0</v>
      </c>
      <c r="V91" s="150">
        <f>G91+I91+J91</f>
        <v>87</v>
      </c>
      <c r="W91" s="169">
        <f>(G91+J91)/V91</f>
        <v>0.6551724138</v>
      </c>
      <c r="X91" s="151">
        <f t="shared" si="46"/>
        <v>75</v>
      </c>
      <c r="Y91" s="150">
        <f>O91+K91+G91</f>
        <v>55</v>
      </c>
      <c r="Z91" s="152">
        <f t="shared" si="47"/>
        <v>61</v>
      </c>
      <c r="AA91" s="28">
        <f t="shared" si="48"/>
        <v>0.4597701149</v>
      </c>
      <c r="AB91" s="27">
        <f t="shared" si="49"/>
        <v>13.33333333</v>
      </c>
      <c r="AC91" s="27">
        <f t="shared" si="50"/>
        <v>29</v>
      </c>
      <c r="AD91" s="27">
        <f t="shared" si="51"/>
        <v>2.333333333</v>
      </c>
      <c r="AE91" s="27">
        <f t="shared" si="52"/>
        <v>0</v>
      </c>
      <c r="AF91" s="27">
        <f t="shared" si="53"/>
        <v>18.33333333</v>
      </c>
      <c r="AG91" s="27">
        <f t="shared" si="54"/>
        <v>29</v>
      </c>
      <c r="AH91" s="150">
        <f t="shared" si="55"/>
        <v>51</v>
      </c>
      <c r="AI91" s="153">
        <f t="shared" si="56"/>
        <v>88.23529412</v>
      </c>
      <c r="AJ91" s="29">
        <f t="shared" si="57"/>
        <v>2</v>
      </c>
      <c r="AK91" s="107" t="str">
        <f t="shared" si="58"/>
        <v>11.3</v>
      </c>
    </row>
    <row r="92">
      <c r="A92" s="77"/>
      <c r="B92" s="123">
        <v>7.0</v>
      </c>
      <c r="C92" s="124">
        <v>260307.0</v>
      </c>
      <c r="D92" s="125" t="s">
        <v>100</v>
      </c>
      <c r="E92" s="126"/>
      <c r="F92" s="127">
        <v>3.0</v>
      </c>
      <c r="G92" s="127">
        <v>38.0</v>
      </c>
      <c r="H92" s="127">
        <v>34.0</v>
      </c>
      <c r="I92" s="127">
        <v>49.0</v>
      </c>
      <c r="J92" s="127">
        <v>17.0</v>
      </c>
      <c r="K92" s="127">
        <v>9.0</v>
      </c>
      <c r="L92" s="127">
        <v>2.0</v>
      </c>
      <c r="M92" s="127">
        <v>8.0</v>
      </c>
      <c r="N92" s="127">
        <v>58.0</v>
      </c>
      <c r="O92" s="127">
        <v>10.0</v>
      </c>
      <c r="P92" s="127">
        <v>6.0</v>
      </c>
      <c r="Q92" s="127">
        <v>0.0</v>
      </c>
      <c r="R92" s="127">
        <v>48.0</v>
      </c>
      <c r="S92" s="127">
        <v>6.0</v>
      </c>
      <c r="T92" s="127">
        <v>40.0</v>
      </c>
      <c r="V92" s="151">
        <f>if(J92+I92+G92=0,"-",J92+I92+G92)</f>
        <v>104</v>
      </c>
      <c r="W92" s="107">
        <f>if(iferror((G92-J92)/V92,0)=0,"-",round((G92-J92)/V92,2))</f>
        <v>0.2</v>
      </c>
      <c r="X92" s="151">
        <f t="shared" si="46"/>
        <v>74</v>
      </c>
      <c r="Y92" s="150">
        <f>G92+K92+O92</f>
        <v>57</v>
      </c>
      <c r="Z92" s="152">
        <f t="shared" si="47"/>
        <v>63</v>
      </c>
      <c r="AA92" s="28">
        <f t="shared" si="48"/>
        <v>0.3653846154</v>
      </c>
      <c r="AB92" s="27">
        <f t="shared" si="49"/>
        <v>12.66666667</v>
      </c>
      <c r="AC92" s="27">
        <f t="shared" si="50"/>
        <v>34.66666667</v>
      </c>
      <c r="AD92" s="27">
        <f t="shared" si="51"/>
        <v>3.333333333</v>
      </c>
      <c r="AE92" s="27">
        <f t="shared" si="52"/>
        <v>0.6666666667</v>
      </c>
      <c r="AF92" s="27">
        <f t="shared" si="53"/>
        <v>19</v>
      </c>
      <c r="AG92" s="27">
        <f t="shared" si="54"/>
        <v>34.66666667</v>
      </c>
      <c r="AH92" s="150">
        <f t="shared" si="55"/>
        <v>54</v>
      </c>
      <c r="AI92" s="153">
        <f t="shared" si="56"/>
        <v>88.88888889</v>
      </c>
      <c r="AJ92" s="29">
        <f t="shared" si="57"/>
        <v>2</v>
      </c>
      <c r="AK92" s="107" t="str">
        <f t="shared" si="58"/>
        <v>13.3</v>
      </c>
    </row>
    <row r="93">
      <c r="A93" s="77"/>
      <c r="B93" s="55"/>
      <c r="C93" s="135">
        <v>260307.0</v>
      </c>
      <c r="D93" s="136" t="s">
        <v>151</v>
      </c>
      <c r="E93" s="137"/>
      <c r="F93" s="138">
        <v>3.0</v>
      </c>
      <c r="G93" s="138">
        <v>33.0</v>
      </c>
      <c r="H93" s="138">
        <v>33.0</v>
      </c>
      <c r="I93" s="138">
        <v>49.0</v>
      </c>
      <c r="J93" s="138">
        <v>18.0</v>
      </c>
      <c r="K93" s="138">
        <v>9.0</v>
      </c>
      <c r="L93" s="138">
        <v>0.0</v>
      </c>
      <c r="M93" s="138">
        <v>7.0</v>
      </c>
      <c r="N93" s="138">
        <v>48.0</v>
      </c>
      <c r="O93" s="138">
        <v>6.0</v>
      </c>
      <c r="P93" s="138">
        <v>9.0</v>
      </c>
      <c r="Q93" s="138">
        <v>0.0</v>
      </c>
      <c r="R93" s="138">
        <v>58.0</v>
      </c>
      <c r="S93" s="138">
        <v>10.0</v>
      </c>
      <c r="T93" s="138">
        <v>46.0</v>
      </c>
      <c r="V93" s="150">
        <f>G93+I93+J93</f>
        <v>100</v>
      </c>
      <c r="W93" s="169">
        <f>(G93+J93)/V93</f>
        <v>0.51</v>
      </c>
      <c r="X93" s="151">
        <f t="shared" si="46"/>
        <v>63</v>
      </c>
      <c r="Y93" s="150">
        <f>O93+K93+G93</f>
        <v>48</v>
      </c>
      <c r="Z93" s="152">
        <f t="shared" si="47"/>
        <v>53.25</v>
      </c>
      <c r="AA93" s="28">
        <f t="shared" si="48"/>
        <v>0.33</v>
      </c>
      <c r="AB93" s="27">
        <f t="shared" si="49"/>
        <v>11</v>
      </c>
      <c r="AC93" s="27">
        <f t="shared" si="50"/>
        <v>33.33333333</v>
      </c>
      <c r="AD93" s="27">
        <f t="shared" si="51"/>
        <v>2</v>
      </c>
      <c r="AE93" s="27">
        <f t="shared" si="52"/>
        <v>0</v>
      </c>
      <c r="AF93" s="27">
        <f t="shared" si="53"/>
        <v>16</v>
      </c>
      <c r="AG93" s="27">
        <f t="shared" si="54"/>
        <v>33.33333333</v>
      </c>
      <c r="AH93" s="150">
        <f t="shared" si="55"/>
        <v>68</v>
      </c>
      <c r="AI93" s="153">
        <f t="shared" si="56"/>
        <v>85.29411765</v>
      </c>
      <c r="AJ93" s="29">
        <f t="shared" si="57"/>
        <v>3.333333333</v>
      </c>
      <c r="AK93" s="107" t="str">
        <f t="shared" si="58"/>
        <v>15.3</v>
      </c>
    </row>
    <row r="94">
      <c r="A94" s="77"/>
      <c r="B94" s="123">
        <v>8.0</v>
      </c>
      <c r="C94" s="124">
        <v>260308.0</v>
      </c>
      <c r="D94" s="125" t="s">
        <v>83</v>
      </c>
      <c r="E94" s="126"/>
      <c r="F94" s="127">
        <v>3.0</v>
      </c>
      <c r="G94" s="127">
        <v>31.0</v>
      </c>
      <c r="H94" s="127">
        <v>31.0</v>
      </c>
      <c r="I94" s="127">
        <v>29.0</v>
      </c>
      <c r="J94" s="127">
        <v>15.0</v>
      </c>
      <c r="K94" s="127">
        <v>5.0</v>
      </c>
      <c r="L94" s="127">
        <v>0.0</v>
      </c>
      <c r="M94" s="127">
        <v>4.0</v>
      </c>
      <c r="N94" s="127">
        <v>55.0</v>
      </c>
      <c r="O94" s="127">
        <v>10.0</v>
      </c>
      <c r="P94" s="127">
        <v>8.0</v>
      </c>
      <c r="Q94" s="127">
        <v>3.0</v>
      </c>
      <c r="R94" s="127">
        <v>36.0</v>
      </c>
      <c r="S94" s="127">
        <v>8.0</v>
      </c>
      <c r="T94" s="127">
        <v>36.0</v>
      </c>
      <c r="V94" s="151">
        <f>if(J94+I94+G94=0,"-",J94+I94+G94)</f>
        <v>75</v>
      </c>
      <c r="W94" s="107">
        <f>if(iferror((G94-J94)/V94,0)=0,"-",round((G94-J94)/V94,2))</f>
        <v>0.21</v>
      </c>
      <c r="X94" s="151">
        <f t="shared" si="46"/>
        <v>73</v>
      </c>
      <c r="Y94" s="150">
        <f>G94+K94+O94</f>
        <v>46</v>
      </c>
      <c r="Z94" s="152">
        <f t="shared" si="47"/>
        <v>49</v>
      </c>
      <c r="AA94" s="28">
        <f t="shared" si="48"/>
        <v>0.4133333333</v>
      </c>
      <c r="AB94" s="27">
        <f t="shared" si="49"/>
        <v>10.33333333</v>
      </c>
      <c r="AC94" s="27">
        <f t="shared" si="50"/>
        <v>25</v>
      </c>
      <c r="AD94" s="27">
        <f t="shared" si="51"/>
        <v>3.333333333</v>
      </c>
      <c r="AE94" s="27">
        <f t="shared" si="52"/>
        <v>0</v>
      </c>
      <c r="AF94" s="27">
        <f t="shared" si="53"/>
        <v>15.33333333</v>
      </c>
      <c r="AG94" s="27">
        <f t="shared" si="54"/>
        <v>25</v>
      </c>
      <c r="AH94" s="150">
        <f t="shared" si="55"/>
        <v>44</v>
      </c>
      <c r="AI94" s="153">
        <f t="shared" si="56"/>
        <v>81.81818182</v>
      </c>
      <c r="AJ94" s="29">
        <f t="shared" si="57"/>
        <v>2.666666667</v>
      </c>
      <c r="AK94" s="107" t="str">
        <f t="shared" si="58"/>
        <v>12.0</v>
      </c>
    </row>
    <row r="95">
      <c r="A95" s="77"/>
      <c r="B95" s="55"/>
      <c r="C95" s="135">
        <v>260308.0</v>
      </c>
      <c r="D95" s="136" t="s">
        <v>162</v>
      </c>
      <c r="E95" s="137"/>
      <c r="F95" s="138">
        <v>3.0</v>
      </c>
      <c r="G95" s="138">
        <v>16.0</v>
      </c>
      <c r="H95" s="138">
        <v>16.0</v>
      </c>
      <c r="I95" s="138">
        <v>39.0</v>
      </c>
      <c r="J95" s="138">
        <v>23.0</v>
      </c>
      <c r="K95" s="138">
        <v>4.0</v>
      </c>
      <c r="L95" s="138">
        <v>0.0</v>
      </c>
      <c r="M95" s="138">
        <v>2.0</v>
      </c>
      <c r="N95" s="138">
        <v>36.0</v>
      </c>
      <c r="O95" s="138">
        <v>5.0</v>
      </c>
      <c r="P95" s="138">
        <v>8.0</v>
      </c>
      <c r="Q95" s="138">
        <v>3.0</v>
      </c>
      <c r="R95" s="138">
        <v>55.0</v>
      </c>
      <c r="S95" s="138">
        <v>13.0</v>
      </c>
      <c r="T95" s="138">
        <v>23.0</v>
      </c>
      <c r="V95" s="150">
        <f>G95+I95+J95</f>
        <v>78</v>
      </c>
      <c r="W95" s="169">
        <f>(G95+J95)/V95</f>
        <v>0.5</v>
      </c>
      <c r="X95" s="151">
        <f t="shared" si="46"/>
        <v>49</v>
      </c>
      <c r="Y95" s="150">
        <f>O95+K95+G95</f>
        <v>25</v>
      </c>
      <c r="Z95" s="152">
        <f t="shared" si="47"/>
        <v>26.5</v>
      </c>
      <c r="AA95" s="28">
        <f t="shared" si="48"/>
        <v>0.2051282051</v>
      </c>
      <c r="AB95" s="27">
        <f t="shared" si="49"/>
        <v>5.333333333</v>
      </c>
      <c r="AC95" s="27">
        <f t="shared" si="50"/>
        <v>26</v>
      </c>
      <c r="AD95" s="27">
        <f t="shared" si="51"/>
        <v>1.666666667</v>
      </c>
      <c r="AE95" s="27">
        <f t="shared" si="52"/>
        <v>0</v>
      </c>
      <c r="AF95" s="27">
        <f t="shared" si="53"/>
        <v>8.333333333</v>
      </c>
      <c r="AG95" s="27">
        <f t="shared" si="54"/>
        <v>26</v>
      </c>
      <c r="AH95" s="150">
        <f t="shared" si="55"/>
        <v>68</v>
      </c>
      <c r="AI95" s="153">
        <f t="shared" si="56"/>
        <v>80.88235294</v>
      </c>
      <c r="AJ95" s="29">
        <f t="shared" si="57"/>
        <v>4.333333333</v>
      </c>
      <c r="AK95" s="107" t="str">
        <f t="shared" si="58"/>
        <v>7.7</v>
      </c>
    </row>
    <row r="96">
      <c r="A96" s="77"/>
      <c r="B96" s="123">
        <v>9.0</v>
      </c>
      <c r="C96" s="124">
        <v>260309.0</v>
      </c>
      <c r="D96" s="125" t="s">
        <v>45</v>
      </c>
      <c r="E96" s="126"/>
      <c r="F96" s="127">
        <v>3.0</v>
      </c>
      <c r="G96" s="127">
        <v>40.0</v>
      </c>
      <c r="H96" s="127">
        <v>38.0</v>
      </c>
      <c r="I96" s="127">
        <v>32.0</v>
      </c>
      <c r="J96" s="127">
        <v>14.0</v>
      </c>
      <c r="K96" s="127">
        <v>12.0</v>
      </c>
      <c r="L96" s="127">
        <v>1.0</v>
      </c>
      <c r="M96" s="127">
        <v>0.0</v>
      </c>
      <c r="N96" s="127">
        <v>61.0</v>
      </c>
      <c r="O96" s="127">
        <v>6.0</v>
      </c>
      <c r="P96" s="127">
        <v>6.0</v>
      </c>
      <c r="Q96" s="127">
        <v>0.0</v>
      </c>
      <c r="R96" s="127">
        <v>49.0</v>
      </c>
      <c r="S96" s="127">
        <v>3.0</v>
      </c>
      <c r="T96" s="127">
        <v>31.0</v>
      </c>
      <c r="V96" s="151">
        <f>if(J96+I96+G96=0,"-",J96+I96+G96)</f>
        <v>86</v>
      </c>
      <c r="W96" s="107">
        <f>if(iferror((G96-J96)/V96,0)=0,"-",round((G96-J96)/V96,2))</f>
        <v>0.3</v>
      </c>
      <c r="X96" s="151">
        <f t="shared" si="46"/>
        <v>73</v>
      </c>
      <c r="Y96" s="150">
        <f>G96+K96+O96</f>
        <v>58</v>
      </c>
      <c r="Z96" s="152">
        <f t="shared" si="47"/>
        <v>58</v>
      </c>
      <c r="AA96" s="28">
        <f t="shared" si="48"/>
        <v>0.4651162791</v>
      </c>
      <c r="AB96" s="27">
        <f t="shared" si="49"/>
        <v>13.33333333</v>
      </c>
      <c r="AC96" s="27">
        <f t="shared" si="50"/>
        <v>28.66666667</v>
      </c>
      <c r="AD96" s="27">
        <f t="shared" si="51"/>
        <v>2</v>
      </c>
      <c r="AE96" s="27">
        <f t="shared" si="52"/>
        <v>0.3333333333</v>
      </c>
      <c r="AF96" s="27">
        <f t="shared" si="53"/>
        <v>19.33333333</v>
      </c>
      <c r="AG96" s="27">
        <f t="shared" si="54"/>
        <v>28.66666667</v>
      </c>
      <c r="AH96" s="150">
        <f t="shared" si="55"/>
        <v>52</v>
      </c>
      <c r="AI96" s="153">
        <f t="shared" si="56"/>
        <v>94.23076923</v>
      </c>
      <c r="AJ96" s="29">
        <f t="shared" si="57"/>
        <v>1</v>
      </c>
      <c r="AK96" s="107" t="str">
        <f t="shared" si="58"/>
        <v>10.3</v>
      </c>
    </row>
    <row r="97">
      <c r="A97" s="77"/>
      <c r="B97" s="55"/>
      <c r="C97" s="135">
        <v>260309.0</v>
      </c>
      <c r="D97" s="136" t="s">
        <v>138</v>
      </c>
      <c r="E97" s="137"/>
      <c r="F97" s="138">
        <v>3.0</v>
      </c>
      <c r="G97" s="138">
        <v>32.0</v>
      </c>
      <c r="H97" s="138">
        <v>30.0</v>
      </c>
      <c r="I97" s="138">
        <v>36.0</v>
      </c>
      <c r="J97" s="138">
        <v>22.0</v>
      </c>
      <c r="K97" s="138">
        <v>5.0</v>
      </c>
      <c r="L97" s="138">
        <v>0.0</v>
      </c>
      <c r="M97" s="138">
        <v>0.0</v>
      </c>
      <c r="N97" s="138">
        <v>49.0</v>
      </c>
      <c r="O97" s="138">
        <v>3.0</v>
      </c>
      <c r="P97" s="138">
        <v>6.0</v>
      </c>
      <c r="Q97" s="138">
        <v>1.0</v>
      </c>
      <c r="R97" s="138">
        <v>61.0</v>
      </c>
      <c r="S97" s="138">
        <v>7.0</v>
      </c>
      <c r="T97" s="138">
        <v>25.0</v>
      </c>
      <c r="V97" s="150">
        <f>G97+I97+J97</f>
        <v>90</v>
      </c>
      <c r="W97" s="169">
        <f>(G97+J97)/V97</f>
        <v>0.6</v>
      </c>
      <c r="X97" s="151">
        <f t="shared" si="46"/>
        <v>58</v>
      </c>
      <c r="Y97" s="150">
        <f>O97+K97+G97</f>
        <v>40</v>
      </c>
      <c r="Z97" s="152">
        <f t="shared" si="47"/>
        <v>40</v>
      </c>
      <c r="AA97" s="28">
        <f t="shared" si="48"/>
        <v>0.3555555556</v>
      </c>
      <c r="AB97" s="27">
        <f t="shared" si="49"/>
        <v>10.66666667</v>
      </c>
      <c r="AC97" s="27">
        <f t="shared" si="50"/>
        <v>30</v>
      </c>
      <c r="AD97" s="27">
        <f t="shared" si="51"/>
        <v>1</v>
      </c>
      <c r="AE97" s="27">
        <f t="shared" si="52"/>
        <v>0</v>
      </c>
      <c r="AF97" s="27">
        <f t="shared" si="53"/>
        <v>13.33333333</v>
      </c>
      <c r="AG97" s="27">
        <f t="shared" si="54"/>
        <v>30</v>
      </c>
      <c r="AH97" s="150">
        <f t="shared" si="55"/>
        <v>68</v>
      </c>
      <c r="AI97" s="153">
        <f t="shared" si="56"/>
        <v>89.70588235</v>
      </c>
      <c r="AJ97" s="29">
        <f t="shared" si="57"/>
        <v>2.333333333</v>
      </c>
      <c r="AK97" s="107" t="str">
        <f t="shared" si="58"/>
        <v>8.3</v>
      </c>
    </row>
    <row r="98">
      <c r="A98" s="77"/>
      <c r="B98" s="123">
        <v>10.0</v>
      </c>
      <c r="C98" s="124">
        <v>260310.0</v>
      </c>
      <c r="D98" s="125" t="s">
        <v>100</v>
      </c>
      <c r="E98" s="126"/>
      <c r="F98" s="127">
        <v>4.0</v>
      </c>
      <c r="G98" s="127">
        <v>47.0</v>
      </c>
      <c r="H98" s="127">
        <v>42.0</v>
      </c>
      <c r="I98" s="127">
        <v>37.0</v>
      </c>
      <c r="J98" s="127">
        <v>14.0</v>
      </c>
      <c r="K98" s="127">
        <v>10.0</v>
      </c>
      <c r="L98" s="127">
        <v>0.0</v>
      </c>
      <c r="M98" s="127">
        <v>9.0</v>
      </c>
      <c r="N98" s="127">
        <v>85.0</v>
      </c>
      <c r="O98" s="127">
        <v>1.0</v>
      </c>
      <c r="P98" s="127">
        <v>8.0</v>
      </c>
      <c r="Q98" s="127">
        <v>3.0</v>
      </c>
      <c r="R98" s="127">
        <v>59.0</v>
      </c>
      <c r="S98" s="127">
        <v>5.0</v>
      </c>
      <c r="T98" s="127">
        <v>44.0</v>
      </c>
      <c r="V98" s="151">
        <f>if(J98+I98+G98=0,"-",J98+I98+G98)</f>
        <v>98</v>
      </c>
      <c r="W98" s="107">
        <f>if(iferror((G98-J98)/V98,0)=0,"-",round((G98-J98)/V98,2))</f>
        <v>0.34</v>
      </c>
      <c r="X98" s="151">
        <f t="shared" si="46"/>
        <v>94</v>
      </c>
      <c r="Y98" s="150">
        <f>G98+K98+O98</f>
        <v>58</v>
      </c>
      <c r="Z98" s="152">
        <f t="shared" si="47"/>
        <v>64.75</v>
      </c>
      <c r="AA98" s="28">
        <f t="shared" si="48"/>
        <v>0.4795918367</v>
      </c>
      <c r="AB98" s="27">
        <f t="shared" si="49"/>
        <v>11.75</v>
      </c>
      <c r="AC98" s="27">
        <f t="shared" si="50"/>
        <v>24.5</v>
      </c>
      <c r="AD98" s="27">
        <f t="shared" si="51"/>
        <v>0.25</v>
      </c>
      <c r="AE98" s="27">
        <f t="shared" si="52"/>
        <v>0</v>
      </c>
      <c r="AF98" s="27">
        <f t="shared" si="53"/>
        <v>14.5</v>
      </c>
      <c r="AG98" s="27">
        <f t="shared" si="54"/>
        <v>24.5</v>
      </c>
      <c r="AH98" s="150">
        <f t="shared" si="55"/>
        <v>64</v>
      </c>
      <c r="AI98" s="153">
        <f t="shared" si="56"/>
        <v>92.1875</v>
      </c>
      <c r="AJ98" s="29">
        <f t="shared" si="57"/>
        <v>1.25</v>
      </c>
      <c r="AK98" s="107" t="str">
        <f t="shared" si="58"/>
        <v>11.0</v>
      </c>
    </row>
    <row r="99">
      <c r="A99" s="77"/>
      <c r="B99" s="55"/>
      <c r="C99" s="135">
        <v>260310.0</v>
      </c>
      <c r="D99" s="136" t="s">
        <v>114</v>
      </c>
      <c r="E99" s="137"/>
      <c r="F99" s="138">
        <v>4.0</v>
      </c>
      <c r="G99" s="138">
        <v>44.0</v>
      </c>
      <c r="H99" s="138">
        <v>41.0</v>
      </c>
      <c r="I99" s="138">
        <v>53.0</v>
      </c>
      <c r="J99" s="138">
        <v>30.0</v>
      </c>
      <c r="K99" s="138">
        <v>5.0</v>
      </c>
      <c r="L99" s="138">
        <v>2.0</v>
      </c>
      <c r="M99" s="138">
        <v>3.0</v>
      </c>
      <c r="N99" s="138">
        <v>59.0</v>
      </c>
      <c r="O99" s="138">
        <v>2.0</v>
      </c>
      <c r="P99" s="138">
        <v>12.0</v>
      </c>
      <c r="Q99" s="138">
        <v>6.0</v>
      </c>
      <c r="R99" s="138">
        <v>85.0</v>
      </c>
      <c r="S99" s="138">
        <v>7.0</v>
      </c>
      <c r="T99" s="138">
        <v>31.0</v>
      </c>
      <c r="V99" s="150">
        <f>G99+I99+J99</f>
        <v>127</v>
      </c>
      <c r="W99" s="169">
        <f>(G99+J99)/V99</f>
        <v>0.5826771654</v>
      </c>
      <c r="X99" s="151">
        <f t="shared" si="46"/>
        <v>73</v>
      </c>
      <c r="Y99" s="150">
        <f>O99+K99+G99</f>
        <v>51</v>
      </c>
      <c r="Z99" s="152">
        <f t="shared" si="47"/>
        <v>53.25</v>
      </c>
      <c r="AA99" s="28">
        <f t="shared" si="48"/>
        <v>0.3464566929</v>
      </c>
      <c r="AB99" s="27">
        <f t="shared" si="49"/>
        <v>11</v>
      </c>
      <c r="AC99" s="27">
        <f t="shared" si="50"/>
        <v>31.75</v>
      </c>
      <c r="AD99" s="27">
        <f t="shared" si="51"/>
        <v>0.5</v>
      </c>
      <c r="AE99" s="27">
        <f t="shared" si="52"/>
        <v>0.5</v>
      </c>
      <c r="AF99" s="27">
        <f t="shared" si="53"/>
        <v>12.75</v>
      </c>
      <c r="AG99" s="27">
        <f t="shared" si="54"/>
        <v>31.75</v>
      </c>
      <c r="AH99" s="150">
        <f t="shared" si="55"/>
        <v>92</v>
      </c>
      <c r="AI99" s="153">
        <f t="shared" si="56"/>
        <v>92.39130435</v>
      </c>
      <c r="AJ99" s="29">
        <f t="shared" si="57"/>
        <v>1.75</v>
      </c>
      <c r="AK99" s="107" t="str">
        <f t="shared" si="58"/>
        <v>7.8</v>
      </c>
    </row>
    <row r="100">
      <c r="A100" s="77"/>
      <c r="B100" s="123">
        <v>11.0</v>
      </c>
      <c r="C100" s="124">
        <v>260311.0</v>
      </c>
      <c r="D100" s="125" t="s">
        <v>127</v>
      </c>
      <c r="E100" s="126"/>
      <c r="F100" s="127">
        <v>5.0</v>
      </c>
      <c r="G100" s="127">
        <v>46.0</v>
      </c>
      <c r="H100" s="127">
        <v>42.0</v>
      </c>
      <c r="I100" s="127">
        <v>53.0</v>
      </c>
      <c r="J100" s="127">
        <v>23.0</v>
      </c>
      <c r="K100" s="127">
        <v>5.0</v>
      </c>
      <c r="L100" s="127">
        <v>0.0</v>
      </c>
      <c r="M100" s="127">
        <v>2.0</v>
      </c>
      <c r="N100" s="127">
        <v>71.0</v>
      </c>
      <c r="O100" s="127">
        <v>8.0</v>
      </c>
      <c r="P100" s="127">
        <v>12.0</v>
      </c>
      <c r="Q100" s="127">
        <v>4.0</v>
      </c>
      <c r="R100" s="127">
        <v>82.0</v>
      </c>
      <c r="S100" s="127">
        <v>16.0</v>
      </c>
      <c r="T100" s="127">
        <v>47.0</v>
      </c>
      <c r="V100" s="151">
        <f>if(J100+I100+G100=0,"-",J100+I100+G100)</f>
        <v>122</v>
      </c>
      <c r="W100" s="107">
        <f>if(iferror((G100-J100)/V100,0)=0,"-",round((G100-J100)/V100,2))</f>
        <v>0.19</v>
      </c>
      <c r="X100" s="151">
        <f t="shared" si="46"/>
        <v>91</v>
      </c>
      <c r="Y100" s="150">
        <f>G100+K100+O100</f>
        <v>59</v>
      </c>
      <c r="Z100" s="152">
        <f t="shared" si="47"/>
        <v>60.5</v>
      </c>
      <c r="AA100" s="28">
        <f t="shared" si="48"/>
        <v>0.3770491803</v>
      </c>
      <c r="AB100" s="27">
        <f t="shared" si="49"/>
        <v>9.2</v>
      </c>
      <c r="AC100" s="27">
        <f t="shared" si="50"/>
        <v>24.4</v>
      </c>
      <c r="AD100" s="27">
        <f t="shared" si="51"/>
        <v>1.6</v>
      </c>
      <c r="AE100" s="27">
        <f t="shared" si="52"/>
        <v>0</v>
      </c>
      <c r="AF100" s="27">
        <f t="shared" si="53"/>
        <v>11.8</v>
      </c>
      <c r="AG100" s="27">
        <f t="shared" si="54"/>
        <v>24.4</v>
      </c>
      <c r="AH100" s="150">
        <f t="shared" si="55"/>
        <v>98</v>
      </c>
      <c r="AI100" s="153">
        <f t="shared" si="56"/>
        <v>83.67346939</v>
      </c>
      <c r="AJ100" s="29">
        <f t="shared" si="57"/>
        <v>3.2</v>
      </c>
      <c r="AK100" s="107" t="str">
        <f t="shared" si="58"/>
        <v>9.4</v>
      </c>
    </row>
    <row r="101">
      <c r="A101" s="77"/>
      <c r="B101" s="55"/>
      <c r="C101" s="135">
        <v>260311.0</v>
      </c>
      <c r="D101" s="136" t="s">
        <v>83</v>
      </c>
      <c r="E101" s="137"/>
      <c r="F101" s="138">
        <v>5.0</v>
      </c>
      <c r="G101" s="138">
        <v>57.0</v>
      </c>
      <c r="H101" s="138">
        <v>52.0</v>
      </c>
      <c r="I101" s="138">
        <v>46.0</v>
      </c>
      <c r="J101" s="138">
        <v>21.0</v>
      </c>
      <c r="K101" s="138">
        <v>7.0</v>
      </c>
      <c r="L101" s="138">
        <v>0.0</v>
      </c>
      <c r="M101" s="138">
        <v>7.0</v>
      </c>
      <c r="N101" s="138">
        <v>82.0</v>
      </c>
      <c r="O101" s="138">
        <v>12.0</v>
      </c>
      <c r="P101" s="138">
        <v>14.0</v>
      </c>
      <c r="Q101" s="138">
        <v>2.0</v>
      </c>
      <c r="R101" s="138">
        <v>71.0</v>
      </c>
      <c r="S101" s="138">
        <v>10.0</v>
      </c>
      <c r="T101" s="138">
        <v>55.0</v>
      </c>
      <c r="V101" s="150">
        <f>G101+I101+J101</f>
        <v>124</v>
      </c>
      <c r="W101" s="169">
        <f>(G101+J101)/V101</f>
        <v>0.6290322581</v>
      </c>
      <c r="X101" s="151">
        <f t="shared" si="46"/>
        <v>108</v>
      </c>
      <c r="Y101" s="150">
        <f>O101+K101+G101</f>
        <v>76</v>
      </c>
      <c r="Z101" s="152">
        <f t="shared" si="47"/>
        <v>81.25</v>
      </c>
      <c r="AA101" s="28">
        <f t="shared" si="48"/>
        <v>0.4596774194</v>
      </c>
      <c r="AB101" s="27">
        <f t="shared" si="49"/>
        <v>11.4</v>
      </c>
      <c r="AC101" s="27">
        <f t="shared" si="50"/>
        <v>24.8</v>
      </c>
      <c r="AD101" s="27">
        <f t="shared" si="51"/>
        <v>2.4</v>
      </c>
      <c r="AE101" s="27">
        <f t="shared" si="52"/>
        <v>0</v>
      </c>
      <c r="AF101" s="27">
        <f t="shared" si="53"/>
        <v>15.2</v>
      </c>
      <c r="AG101" s="27">
        <f t="shared" si="54"/>
        <v>24.8</v>
      </c>
      <c r="AH101" s="150">
        <f t="shared" si="55"/>
        <v>81</v>
      </c>
      <c r="AI101" s="153">
        <f t="shared" si="56"/>
        <v>87.65432099</v>
      </c>
      <c r="AJ101" s="29">
        <f t="shared" si="57"/>
        <v>2</v>
      </c>
      <c r="AK101" s="107" t="str">
        <f t="shared" si="58"/>
        <v>11.0</v>
      </c>
    </row>
    <row r="102">
      <c r="A102" s="77"/>
      <c r="B102" s="123">
        <v>12.0</v>
      </c>
      <c r="C102" s="124">
        <v>260312.0</v>
      </c>
      <c r="D102" s="125" t="s">
        <v>100</v>
      </c>
      <c r="E102" s="126"/>
      <c r="F102" s="127">
        <v>5.0</v>
      </c>
      <c r="G102" s="127">
        <v>56.0</v>
      </c>
      <c r="H102" s="127">
        <v>51.0</v>
      </c>
      <c r="I102" s="127">
        <v>87.0</v>
      </c>
      <c r="J102" s="127">
        <v>24.0</v>
      </c>
      <c r="K102" s="127">
        <v>13.0</v>
      </c>
      <c r="L102" s="127">
        <v>0.0</v>
      </c>
      <c r="M102" s="127">
        <v>10.0</v>
      </c>
      <c r="N102" s="127">
        <v>85.0</v>
      </c>
      <c r="O102" s="127">
        <v>5.0</v>
      </c>
      <c r="P102" s="127">
        <v>6.0</v>
      </c>
      <c r="Q102" s="127">
        <v>1.0</v>
      </c>
      <c r="R102" s="127">
        <v>90.0</v>
      </c>
      <c r="S102" s="127">
        <v>8.0</v>
      </c>
      <c r="T102" s="127">
        <v>53.0</v>
      </c>
      <c r="V102" s="151">
        <f>if(J102+I102+G102=0,"-",J102+I102+G102)</f>
        <v>167</v>
      </c>
      <c r="W102" s="107">
        <f>if(iferror((G102-J102)/V102,0)=0,"-",round((G102-J102)/V102,2))</f>
        <v>0.19</v>
      </c>
      <c r="X102" s="151">
        <f t="shared" si="46"/>
        <v>96</v>
      </c>
      <c r="Y102" s="150">
        <f>G102+K102+O102</f>
        <v>74</v>
      </c>
      <c r="Z102" s="152">
        <f t="shared" si="47"/>
        <v>81.5</v>
      </c>
      <c r="AA102" s="28">
        <f t="shared" si="48"/>
        <v>0.3353293413</v>
      </c>
      <c r="AB102" s="27">
        <f t="shared" si="49"/>
        <v>11.2</v>
      </c>
      <c r="AC102" s="27">
        <f t="shared" si="50"/>
        <v>33.4</v>
      </c>
      <c r="AD102" s="27">
        <f t="shared" si="51"/>
        <v>1</v>
      </c>
      <c r="AE102" s="27">
        <f t="shared" si="52"/>
        <v>0</v>
      </c>
      <c r="AF102" s="27">
        <f t="shared" si="53"/>
        <v>14.8</v>
      </c>
      <c r="AG102" s="27">
        <f t="shared" si="54"/>
        <v>33.4</v>
      </c>
      <c r="AH102" s="150">
        <f t="shared" si="55"/>
        <v>98</v>
      </c>
      <c r="AI102" s="153">
        <f t="shared" si="56"/>
        <v>91.83673469</v>
      </c>
      <c r="AJ102" s="29">
        <f t="shared" si="57"/>
        <v>1.6</v>
      </c>
      <c r="AK102" s="107" t="str">
        <f t="shared" si="58"/>
        <v>10.6</v>
      </c>
    </row>
    <row r="103">
      <c r="A103" s="77"/>
      <c r="B103" s="55"/>
      <c r="C103" s="135">
        <v>260312.0</v>
      </c>
      <c r="D103" s="136" t="s">
        <v>67</v>
      </c>
      <c r="E103" s="137"/>
      <c r="F103" s="138">
        <v>5.0</v>
      </c>
      <c r="G103" s="138">
        <v>65.0</v>
      </c>
      <c r="H103" s="138">
        <v>59.0</v>
      </c>
      <c r="I103" s="138">
        <v>72.0</v>
      </c>
      <c r="J103" s="138">
        <v>24.0</v>
      </c>
      <c r="K103" s="138">
        <v>9.0</v>
      </c>
      <c r="L103" s="138">
        <v>1.0</v>
      </c>
      <c r="M103" s="138">
        <v>8.0</v>
      </c>
      <c r="N103" s="138">
        <v>90.0</v>
      </c>
      <c r="O103" s="138">
        <v>7.0</v>
      </c>
      <c r="P103" s="138">
        <v>5.0</v>
      </c>
      <c r="Q103" s="138">
        <v>5.0</v>
      </c>
      <c r="R103" s="138">
        <v>85.0</v>
      </c>
      <c r="S103" s="138">
        <v>10.0</v>
      </c>
      <c r="T103" s="138">
        <v>65.0</v>
      </c>
      <c r="V103" s="150">
        <f>G103+I103+J103</f>
        <v>161</v>
      </c>
      <c r="W103" s="169">
        <f>(G103+J103)/V103</f>
        <v>0.5527950311</v>
      </c>
      <c r="X103" s="151">
        <f t="shared" si="46"/>
        <v>102</v>
      </c>
      <c r="Y103" s="150">
        <f>O103+K103+G103</f>
        <v>81</v>
      </c>
      <c r="Z103" s="152">
        <f t="shared" si="47"/>
        <v>87</v>
      </c>
      <c r="AA103" s="28">
        <f t="shared" si="48"/>
        <v>0.4037267081</v>
      </c>
      <c r="AB103" s="27">
        <f t="shared" si="49"/>
        <v>13</v>
      </c>
      <c r="AC103" s="27">
        <f t="shared" si="50"/>
        <v>32.2</v>
      </c>
      <c r="AD103" s="27">
        <f t="shared" si="51"/>
        <v>1.4</v>
      </c>
      <c r="AE103" s="27">
        <f t="shared" si="52"/>
        <v>0.2</v>
      </c>
      <c r="AF103" s="27">
        <f t="shared" si="53"/>
        <v>16.2</v>
      </c>
      <c r="AG103" s="27">
        <f t="shared" si="54"/>
        <v>32.2</v>
      </c>
      <c r="AH103" s="150">
        <f t="shared" si="55"/>
        <v>95</v>
      </c>
      <c r="AI103" s="153">
        <f t="shared" si="56"/>
        <v>89.47368421</v>
      </c>
      <c r="AJ103" s="29">
        <f t="shared" si="57"/>
        <v>2</v>
      </c>
      <c r="AK103" s="107" t="str">
        <f t="shared" si="58"/>
        <v>13.0</v>
      </c>
    </row>
    <row r="104">
      <c r="A104" s="77"/>
      <c r="B104" s="123">
        <v>13.0</v>
      </c>
      <c r="C104" s="124">
        <v>260313.0</v>
      </c>
      <c r="D104" s="125" t="s">
        <v>45</v>
      </c>
      <c r="E104" s="126"/>
      <c r="F104" s="127">
        <v>3.0</v>
      </c>
      <c r="G104" s="127">
        <v>35.0</v>
      </c>
      <c r="H104" s="127">
        <v>31.0</v>
      </c>
      <c r="I104" s="127">
        <v>35.0</v>
      </c>
      <c r="J104" s="127">
        <v>14.0</v>
      </c>
      <c r="K104" s="127">
        <v>13.0</v>
      </c>
      <c r="L104" s="127">
        <v>1.0</v>
      </c>
      <c r="M104" s="127">
        <v>10.0</v>
      </c>
      <c r="N104" s="127">
        <v>49.0</v>
      </c>
      <c r="O104" s="127">
        <v>10.0</v>
      </c>
      <c r="P104" s="127">
        <v>14.0</v>
      </c>
      <c r="Q104" s="127">
        <v>2.0</v>
      </c>
      <c r="R104" s="127">
        <v>54.0</v>
      </c>
      <c r="S104" s="127">
        <v>7.0</v>
      </c>
      <c r="T104" s="127">
        <v>23.0</v>
      </c>
      <c r="V104" s="151">
        <f>if(J104+I104+G104=0,"-",J104+I104+G104)</f>
        <v>84</v>
      </c>
      <c r="W104" s="107">
        <f>if(iferror((G104-J104)/V104,0)=0,"-",round((G104-J104)/V104,2))</f>
        <v>0.25</v>
      </c>
      <c r="X104" s="151">
        <f t="shared" si="46"/>
        <v>73</v>
      </c>
      <c r="Y104" s="150">
        <f>G104+K104+O104</f>
        <v>58</v>
      </c>
      <c r="Z104" s="152">
        <f t="shared" si="47"/>
        <v>65.5</v>
      </c>
      <c r="AA104" s="28">
        <f t="shared" si="48"/>
        <v>0.4166666667</v>
      </c>
      <c r="AB104" s="27">
        <f t="shared" si="49"/>
        <v>11.66666667</v>
      </c>
      <c r="AC104" s="27">
        <f t="shared" si="50"/>
        <v>28</v>
      </c>
      <c r="AD104" s="27">
        <f t="shared" si="51"/>
        <v>3.333333333</v>
      </c>
      <c r="AE104" s="27">
        <f t="shared" si="52"/>
        <v>0.3333333333</v>
      </c>
      <c r="AF104" s="27">
        <f t="shared" si="53"/>
        <v>19.33333333</v>
      </c>
      <c r="AG104" s="27">
        <f t="shared" si="54"/>
        <v>28</v>
      </c>
      <c r="AH104" s="150">
        <f t="shared" si="55"/>
        <v>61</v>
      </c>
      <c r="AI104" s="153">
        <f t="shared" si="56"/>
        <v>88.52459016</v>
      </c>
      <c r="AJ104" s="29">
        <f t="shared" si="57"/>
        <v>2.333333333</v>
      </c>
      <c r="AK104" s="107" t="str">
        <f t="shared" si="58"/>
        <v>7.7</v>
      </c>
    </row>
    <row r="105">
      <c r="A105" s="77"/>
      <c r="B105" s="55"/>
      <c r="C105" s="135">
        <v>260313.0</v>
      </c>
      <c r="D105" s="136" t="s">
        <v>83</v>
      </c>
      <c r="E105" s="137"/>
      <c r="F105" s="138">
        <v>3.0</v>
      </c>
      <c r="G105" s="138">
        <v>27.0</v>
      </c>
      <c r="H105" s="138">
        <v>24.0</v>
      </c>
      <c r="I105" s="138">
        <v>29.0</v>
      </c>
      <c r="J105" s="138">
        <v>23.0</v>
      </c>
      <c r="K105" s="138">
        <v>5.0</v>
      </c>
      <c r="L105" s="138">
        <v>1.0</v>
      </c>
      <c r="M105" s="138">
        <v>5.0</v>
      </c>
      <c r="N105" s="138">
        <v>54.0</v>
      </c>
      <c r="O105" s="138">
        <v>5.0</v>
      </c>
      <c r="P105" s="138">
        <v>5.0</v>
      </c>
      <c r="Q105" s="138">
        <v>2.0</v>
      </c>
      <c r="R105" s="138">
        <v>49.0</v>
      </c>
      <c r="S105" s="138">
        <v>12.0</v>
      </c>
      <c r="T105" s="138">
        <v>31.0</v>
      </c>
      <c r="V105" s="150">
        <f>G105+I105+J105</f>
        <v>79</v>
      </c>
      <c r="W105" s="169">
        <f>(G105+J105)/V105</f>
        <v>0.6329113924</v>
      </c>
      <c r="X105" s="151">
        <f t="shared" si="46"/>
        <v>64</v>
      </c>
      <c r="Y105" s="150">
        <f>O105+K105+G105</f>
        <v>37</v>
      </c>
      <c r="Z105" s="152">
        <f t="shared" si="47"/>
        <v>40.75</v>
      </c>
      <c r="AA105" s="28">
        <f t="shared" si="48"/>
        <v>0.3417721519</v>
      </c>
      <c r="AB105" s="27">
        <f t="shared" si="49"/>
        <v>9</v>
      </c>
      <c r="AC105" s="27">
        <f t="shared" si="50"/>
        <v>26.33333333</v>
      </c>
      <c r="AD105" s="27">
        <f t="shared" si="51"/>
        <v>1.666666667</v>
      </c>
      <c r="AE105" s="27">
        <f t="shared" si="52"/>
        <v>0.3333333333</v>
      </c>
      <c r="AF105" s="27">
        <f t="shared" si="53"/>
        <v>12.33333333</v>
      </c>
      <c r="AG105" s="27">
        <f t="shared" si="54"/>
        <v>26.33333333</v>
      </c>
      <c r="AH105" s="150">
        <f t="shared" si="55"/>
        <v>61</v>
      </c>
      <c r="AI105" s="153">
        <f t="shared" si="56"/>
        <v>80.32786885</v>
      </c>
      <c r="AJ105" s="29">
        <f t="shared" si="57"/>
        <v>4</v>
      </c>
      <c r="AK105" s="107" t="str">
        <f t="shared" si="58"/>
        <v>10.3</v>
      </c>
    </row>
    <row r="106">
      <c r="A106" s="77"/>
      <c r="B106" s="123">
        <v>14.0</v>
      </c>
      <c r="C106" s="124">
        <v>260314.0</v>
      </c>
      <c r="D106" s="125" t="s">
        <v>45</v>
      </c>
      <c r="E106" s="126"/>
      <c r="F106" s="127">
        <v>4.0</v>
      </c>
      <c r="G106" s="127">
        <v>54.0</v>
      </c>
      <c r="H106" s="127">
        <v>50.0</v>
      </c>
      <c r="I106" s="127">
        <v>56.0</v>
      </c>
      <c r="J106" s="127">
        <v>16.0</v>
      </c>
      <c r="K106" s="127">
        <v>11.0</v>
      </c>
      <c r="L106" s="127">
        <v>0.0</v>
      </c>
      <c r="M106" s="127">
        <v>10.0</v>
      </c>
      <c r="N106" s="127">
        <v>79.0</v>
      </c>
      <c r="O106" s="127">
        <v>6.0</v>
      </c>
      <c r="P106" s="127">
        <v>9.0</v>
      </c>
      <c r="Q106" s="127">
        <v>2.0</v>
      </c>
      <c r="R106" s="127">
        <v>72.0</v>
      </c>
      <c r="S106" s="127">
        <v>8.0</v>
      </c>
      <c r="T106" s="127">
        <v>47.0</v>
      </c>
      <c r="V106" s="151">
        <f>if(J106+I106+G106=0,"-",J106+I106+G106)</f>
        <v>126</v>
      </c>
      <c r="W106" s="107">
        <f>if(iferror((G106-J106)/V106,0)=0,"-",round((G106-J106)/V106,2))</f>
        <v>0.3</v>
      </c>
      <c r="X106" s="151">
        <f t="shared" si="46"/>
        <v>94</v>
      </c>
      <c r="Y106" s="150">
        <f>G106+K106+O106</f>
        <v>71</v>
      </c>
      <c r="Z106" s="152">
        <f t="shared" si="47"/>
        <v>78.5</v>
      </c>
      <c r="AA106" s="28">
        <f t="shared" si="48"/>
        <v>0.4285714286</v>
      </c>
      <c r="AB106" s="27">
        <f t="shared" si="49"/>
        <v>13.5</v>
      </c>
      <c r="AC106" s="27">
        <f t="shared" si="50"/>
        <v>31.5</v>
      </c>
      <c r="AD106" s="27">
        <f t="shared" si="51"/>
        <v>1.5</v>
      </c>
      <c r="AE106" s="27">
        <f t="shared" si="52"/>
        <v>0</v>
      </c>
      <c r="AF106" s="27">
        <f t="shared" si="53"/>
        <v>17.75</v>
      </c>
      <c r="AG106" s="27">
        <f t="shared" si="54"/>
        <v>31.5</v>
      </c>
      <c r="AH106" s="150">
        <f t="shared" si="55"/>
        <v>80</v>
      </c>
      <c r="AI106" s="153">
        <f t="shared" si="56"/>
        <v>90</v>
      </c>
      <c r="AJ106" s="29">
        <f t="shared" si="57"/>
        <v>2</v>
      </c>
      <c r="AK106" s="107" t="str">
        <f t="shared" si="58"/>
        <v>11.8</v>
      </c>
    </row>
    <row r="107">
      <c r="A107" s="77"/>
      <c r="B107" s="55"/>
      <c r="C107" s="135">
        <v>260314.0</v>
      </c>
      <c r="D107" s="136" t="s">
        <v>67</v>
      </c>
      <c r="E107" s="137"/>
      <c r="F107" s="138">
        <v>4.0</v>
      </c>
      <c r="G107" s="138">
        <v>49.0</v>
      </c>
      <c r="H107" s="138">
        <v>45.0</v>
      </c>
      <c r="I107" s="138">
        <v>59.0</v>
      </c>
      <c r="J107" s="138">
        <v>22.0</v>
      </c>
      <c r="K107" s="138">
        <v>9.0</v>
      </c>
      <c r="L107" s="138">
        <v>1.0</v>
      </c>
      <c r="M107" s="138">
        <v>9.0</v>
      </c>
      <c r="N107" s="138">
        <v>72.0</v>
      </c>
      <c r="O107" s="138">
        <v>6.0</v>
      </c>
      <c r="P107" s="138">
        <v>6.0</v>
      </c>
      <c r="Q107" s="138">
        <v>7.0</v>
      </c>
      <c r="R107" s="138">
        <v>79.0</v>
      </c>
      <c r="S107" s="138">
        <v>13.0</v>
      </c>
      <c r="T107" s="138">
        <v>47.0</v>
      </c>
      <c r="V107" s="150">
        <f>G107+I107+J107</f>
        <v>130</v>
      </c>
      <c r="W107" s="169">
        <f>(G107+J107)/V107</f>
        <v>0.5461538462</v>
      </c>
      <c r="X107" s="151">
        <f t="shared" si="46"/>
        <v>84</v>
      </c>
      <c r="Y107" s="150">
        <f>O107+K107+G107</f>
        <v>64</v>
      </c>
      <c r="Z107" s="152">
        <f t="shared" si="47"/>
        <v>70.75</v>
      </c>
      <c r="AA107" s="28">
        <f t="shared" si="48"/>
        <v>0.3769230769</v>
      </c>
      <c r="AB107" s="27">
        <f t="shared" si="49"/>
        <v>12.25</v>
      </c>
      <c r="AC107" s="27">
        <f t="shared" si="50"/>
        <v>32.5</v>
      </c>
      <c r="AD107" s="27">
        <f t="shared" si="51"/>
        <v>1.5</v>
      </c>
      <c r="AE107" s="27">
        <f t="shared" si="52"/>
        <v>0.25</v>
      </c>
      <c r="AF107" s="27">
        <f t="shared" si="53"/>
        <v>16</v>
      </c>
      <c r="AG107" s="27">
        <f t="shared" si="54"/>
        <v>32.5</v>
      </c>
      <c r="AH107" s="150">
        <f t="shared" si="55"/>
        <v>92</v>
      </c>
      <c r="AI107" s="153">
        <f t="shared" si="56"/>
        <v>85.86956522</v>
      </c>
      <c r="AJ107" s="29">
        <f t="shared" si="57"/>
        <v>3.25</v>
      </c>
      <c r="AK107" s="107" t="str">
        <f t="shared" si="58"/>
        <v>11.8</v>
      </c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V108" s="77"/>
      <c r="AW108" s="77"/>
      <c r="AX108" s="77"/>
      <c r="AY108" s="77"/>
      <c r="AZ108" s="77"/>
      <c r="BA108" s="77"/>
      <c r="BB108" s="77"/>
      <c r="BC108" s="77"/>
    </row>
    <row r="111">
      <c r="B111" s="78" t="s">
        <v>250</v>
      </c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V111" s="175" t="s">
        <v>279</v>
      </c>
      <c r="W111" s="176"/>
      <c r="X111" s="176"/>
      <c r="Y111" s="176"/>
      <c r="Z111" s="176"/>
      <c r="AA111" s="176"/>
      <c r="AB111" s="177" t="s">
        <v>280</v>
      </c>
      <c r="AC111" s="178"/>
      <c r="AD111" s="179"/>
      <c r="AE111" s="179"/>
      <c r="AF111" s="179"/>
      <c r="AG111" s="179"/>
      <c r="AH111" s="180" t="s">
        <v>276</v>
      </c>
      <c r="AI111" s="181"/>
      <c r="AJ111" s="181"/>
      <c r="AK111" s="181"/>
    </row>
    <row r="112">
      <c r="B112" s="79" t="s">
        <v>3</v>
      </c>
      <c r="C112" s="80" t="s">
        <v>4</v>
      </c>
      <c r="D112" s="51"/>
      <c r="E112" s="146" t="s">
        <v>238</v>
      </c>
      <c r="F112" s="10" t="s">
        <v>13</v>
      </c>
      <c r="G112" s="10" t="s">
        <v>14</v>
      </c>
      <c r="H112" s="10" t="s">
        <v>15</v>
      </c>
      <c r="I112" s="10" t="s">
        <v>16</v>
      </c>
      <c r="J112" s="10" t="s">
        <v>17</v>
      </c>
      <c r="K112" s="10" t="s">
        <v>20</v>
      </c>
      <c r="L112" s="10" t="s">
        <v>21</v>
      </c>
      <c r="M112" s="10" t="s">
        <v>22</v>
      </c>
      <c r="N112" s="10" t="s">
        <v>23</v>
      </c>
      <c r="O112" s="10" t="s">
        <v>24</v>
      </c>
      <c r="P112" s="10" t="s">
        <v>25</v>
      </c>
      <c r="Q112" s="10" t="s">
        <v>27</v>
      </c>
      <c r="R112" s="10" t="s">
        <v>31</v>
      </c>
      <c r="S112" s="10" t="s">
        <v>32</v>
      </c>
      <c r="T112" s="10" t="s">
        <v>34</v>
      </c>
      <c r="V112" s="182" t="s">
        <v>18</v>
      </c>
      <c r="W112" s="183" t="s">
        <v>19</v>
      </c>
      <c r="X112" s="182" t="s">
        <v>26</v>
      </c>
      <c r="Y112" s="182" t="s">
        <v>28</v>
      </c>
      <c r="Z112" s="182" t="s">
        <v>281</v>
      </c>
      <c r="AA112" s="184" t="s">
        <v>38</v>
      </c>
      <c r="AB112" s="185" t="s">
        <v>36</v>
      </c>
      <c r="AC112" s="185" t="s">
        <v>37</v>
      </c>
      <c r="AD112" s="185" t="s">
        <v>40</v>
      </c>
      <c r="AE112" s="185" t="s">
        <v>39</v>
      </c>
      <c r="AF112" s="185" t="s">
        <v>41</v>
      </c>
      <c r="AG112" s="185" t="s">
        <v>282</v>
      </c>
      <c r="AH112" s="186" t="s">
        <v>30</v>
      </c>
      <c r="AI112" s="186" t="s">
        <v>33</v>
      </c>
      <c r="AJ112" s="187" t="s">
        <v>43</v>
      </c>
      <c r="AK112" s="188" t="s">
        <v>35</v>
      </c>
    </row>
    <row r="113">
      <c r="B113" s="83">
        <v>1.0</v>
      </c>
      <c r="C113" s="84" t="str">
        <f t="shared" ref="C113:C122" si="59">C6</f>
        <v>선명여고</v>
      </c>
      <c r="D113" s="7"/>
      <c r="E113" s="189">
        <f t="shared" ref="E113:E122" si="60">E6</f>
        <v>4</v>
      </c>
      <c r="F113" s="189">
        <f t="shared" ref="F113:F121" si="61">H6+I6</f>
        <v>14</v>
      </c>
      <c r="G113" s="189">
        <v>178.0</v>
      </c>
      <c r="H113" s="189">
        <v>165.0</v>
      </c>
      <c r="I113" s="189">
        <v>190.0</v>
      </c>
      <c r="J113" s="189">
        <v>65.0</v>
      </c>
      <c r="K113" s="189">
        <v>38.0</v>
      </c>
      <c r="L113" s="189">
        <v>3.0</v>
      </c>
      <c r="M113" s="189">
        <v>20.0</v>
      </c>
      <c r="N113" s="189">
        <v>271.0</v>
      </c>
      <c r="O113" s="189">
        <v>26.0</v>
      </c>
      <c r="P113" s="189">
        <v>43.0</v>
      </c>
      <c r="Q113" s="189">
        <v>6.0</v>
      </c>
      <c r="R113" s="189">
        <v>260.0</v>
      </c>
      <c r="S113" s="189">
        <v>29.0</v>
      </c>
      <c r="T113" s="189">
        <v>147.0</v>
      </c>
      <c r="V113" s="151">
        <f>if(J113+I113+G113=0,"-",J113+I113+G113)</f>
        <v>433</v>
      </c>
      <c r="W113" s="107">
        <f t="shared" ref="W113:W122" si="62">if(iferror((G113-J113)/V113,0)=0,"-",round((G113-J113)/V113,2))</f>
        <v>0.26</v>
      </c>
      <c r="X113" s="151">
        <f t="shared" ref="X113:X122" si="63">IF(P113+O113+N113=0,"-",P113+O113+N113)</f>
        <v>340</v>
      </c>
      <c r="Y113" s="150">
        <f t="shared" ref="Y113:Y122" si="64">G113+K113+O113</f>
        <v>242</v>
      </c>
      <c r="Z113" s="152">
        <f t="shared" ref="Z113:Z122" si="65">Y113+M113*0.75</f>
        <v>257</v>
      </c>
      <c r="AA113" s="28">
        <f t="shared" ref="AA113:AA122" si="66">iferror(G113/V113,"-")</f>
        <v>0.4110854503</v>
      </c>
      <c r="AB113" s="27">
        <f t="shared" ref="AB113:AB122" si="67">iferror(G113/$F113,"-")</f>
        <v>12.71428571</v>
      </c>
      <c r="AC113" s="27">
        <f t="shared" ref="AC113:AC122" si="68">iferror(V113/$F113,"-")</f>
        <v>30.92857143</v>
      </c>
      <c r="AD113" s="27">
        <f t="shared" ref="AD113:AD122" si="69">iferror(O113/$F113,"-")</f>
        <v>1.857142857</v>
      </c>
      <c r="AE113" s="27">
        <f t="shared" ref="AE113:AE122" si="70">iferror(L113/$F113,"-")</f>
        <v>0.2142857143</v>
      </c>
      <c r="AF113" s="27">
        <f t="shared" ref="AF113:AF122" si="71">iferror(Y113/$F113,"-")</f>
        <v>17.28571429</v>
      </c>
      <c r="AG113" s="27">
        <f t="shared" ref="AG113:AG122" si="72">iferror(V113/$F113,"-")</f>
        <v>30.92857143</v>
      </c>
      <c r="AH113" s="190" t="s">
        <v>283</v>
      </c>
      <c r="AI113" s="153" t="str">
        <f t="shared" ref="AI113:AI122" si="73">iferror((R113/AH113)*100,"-")</f>
        <v>-</v>
      </c>
      <c r="AJ113" s="29">
        <f t="shared" ref="AJ113:AJ122" si="74">iferror(S113/F113,"-")</f>
        <v>2.071428571</v>
      </c>
      <c r="AK113" s="107" t="str">
        <f t="shared" ref="AK113:AK122" si="75">IFERROR(IF(MOD(T113/F113, 1)=0, TEXT(T113/F113, "0.0"), TEXT(T113/F113, "0.0")), "-")</f>
        <v>10.5</v>
      </c>
    </row>
    <row r="114">
      <c r="B114" s="83">
        <v>2.0</v>
      </c>
      <c r="C114" s="84" t="str">
        <f t="shared" si="59"/>
        <v>중앙여고</v>
      </c>
      <c r="D114" s="7"/>
      <c r="E114" s="189">
        <f t="shared" si="60"/>
        <v>4</v>
      </c>
      <c r="F114" s="189">
        <f t="shared" si="61"/>
        <v>15</v>
      </c>
      <c r="G114" s="189">
        <v>192.0</v>
      </c>
      <c r="H114" s="189">
        <v>172.0</v>
      </c>
      <c r="I114" s="189">
        <v>179.0</v>
      </c>
      <c r="J114" s="189">
        <v>68.0</v>
      </c>
      <c r="K114" s="189">
        <v>37.0</v>
      </c>
      <c r="L114" s="189">
        <v>3.0</v>
      </c>
      <c r="M114" s="189">
        <v>34.0</v>
      </c>
      <c r="N114" s="189">
        <v>281.0</v>
      </c>
      <c r="O114" s="189">
        <v>29.0</v>
      </c>
      <c r="P114" s="189">
        <v>25.0</v>
      </c>
      <c r="Q114" s="189">
        <v>12.0</v>
      </c>
      <c r="R114" s="189">
        <v>234.0</v>
      </c>
      <c r="S114" s="189">
        <v>31.0</v>
      </c>
      <c r="T114" s="189">
        <v>162.0</v>
      </c>
      <c r="V114" s="150">
        <f>G114+I114+J114</f>
        <v>439</v>
      </c>
      <c r="W114" s="107">
        <f t="shared" si="62"/>
        <v>0.28</v>
      </c>
      <c r="X114" s="151">
        <f t="shared" si="63"/>
        <v>335</v>
      </c>
      <c r="Y114" s="150">
        <f t="shared" si="64"/>
        <v>258</v>
      </c>
      <c r="Z114" s="152">
        <f t="shared" si="65"/>
        <v>283.5</v>
      </c>
      <c r="AA114" s="28">
        <f t="shared" si="66"/>
        <v>0.437357631</v>
      </c>
      <c r="AB114" s="27">
        <f t="shared" si="67"/>
        <v>12.8</v>
      </c>
      <c r="AC114" s="27">
        <f t="shared" si="68"/>
        <v>29.26666667</v>
      </c>
      <c r="AD114" s="27">
        <f t="shared" si="69"/>
        <v>1.933333333</v>
      </c>
      <c r="AE114" s="27">
        <f t="shared" si="70"/>
        <v>0.2</v>
      </c>
      <c r="AF114" s="27">
        <f t="shared" si="71"/>
        <v>17.2</v>
      </c>
      <c r="AG114" s="27">
        <f t="shared" si="72"/>
        <v>29.26666667</v>
      </c>
      <c r="AH114" s="150">
        <f t="shared" ref="AH114:AH122" si="76">R114+S114</f>
        <v>265</v>
      </c>
      <c r="AI114" s="153">
        <f t="shared" si="73"/>
        <v>88.30188679</v>
      </c>
      <c r="AJ114" s="29">
        <f t="shared" si="74"/>
        <v>2.066666667</v>
      </c>
      <c r="AK114" s="107" t="str">
        <f t="shared" si="75"/>
        <v>10.8</v>
      </c>
    </row>
    <row r="115">
      <c r="B115" s="83">
        <v>3.0</v>
      </c>
      <c r="C115" s="84" t="str">
        <f t="shared" si="59"/>
        <v>광주체고</v>
      </c>
      <c r="D115" s="7"/>
      <c r="E115" s="189">
        <f t="shared" si="60"/>
        <v>4</v>
      </c>
      <c r="F115" s="189">
        <f t="shared" si="61"/>
        <v>14</v>
      </c>
      <c r="G115" s="189">
        <v>145.0</v>
      </c>
      <c r="H115" s="189">
        <v>135.0</v>
      </c>
      <c r="I115" s="189">
        <v>147.0</v>
      </c>
      <c r="J115" s="189">
        <v>75.0</v>
      </c>
      <c r="K115" s="189">
        <v>22.0</v>
      </c>
      <c r="L115" s="189">
        <v>3.0</v>
      </c>
      <c r="M115" s="189">
        <v>20.0</v>
      </c>
      <c r="N115" s="189">
        <v>236.0</v>
      </c>
      <c r="O115" s="189">
        <v>33.0</v>
      </c>
      <c r="P115" s="189">
        <v>39.0</v>
      </c>
      <c r="Q115" s="189">
        <v>9.0</v>
      </c>
      <c r="R115" s="189">
        <v>216.0</v>
      </c>
      <c r="S115" s="189">
        <v>39.0</v>
      </c>
      <c r="T115" s="189">
        <v>149.0</v>
      </c>
      <c r="V115" s="151">
        <f>if(J115+I115+G115=0,"-",J115+I115+G115)</f>
        <v>367</v>
      </c>
      <c r="W115" s="107">
        <f t="shared" si="62"/>
        <v>0.19</v>
      </c>
      <c r="X115" s="151">
        <f t="shared" si="63"/>
        <v>308</v>
      </c>
      <c r="Y115" s="150">
        <f t="shared" si="64"/>
        <v>200</v>
      </c>
      <c r="Z115" s="152">
        <f t="shared" si="65"/>
        <v>215</v>
      </c>
      <c r="AA115" s="28">
        <f t="shared" si="66"/>
        <v>0.3950953678</v>
      </c>
      <c r="AB115" s="27">
        <f t="shared" si="67"/>
        <v>10.35714286</v>
      </c>
      <c r="AC115" s="27">
        <f t="shared" si="68"/>
        <v>26.21428571</v>
      </c>
      <c r="AD115" s="27">
        <f t="shared" si="69"/>
        <v>2.357142857</v>
      </c>
      <c r="AE115" s="27">
        <f t="shared" si="70"/>
        <v>0.2142857143</v>
      </c>
      <c r="AF115" s="27">
        <f t="shared" si="71"/>
        <v>14.28571429</v>
      </c>
      <c r="AG115" s="27">
        <f t="shared" si="72"/>
        <v>26.21428571</v>
      </c>
      <c r="AH115" s="150">
        <f t="shared" si="76"/>
        <v>255</v>
      </c>
      <c r="AI115" s="153">
        <f t="shared" si="73"/>
        <v>84.70588235</v>
      </c>
      <c r="AJ115" s="29">
        <f t="shared" si="74"/>
        <v>2.785714286</v>
      </c>
      <c r="AK115" s="107" t="str">
        <f t="shared" si="75"/>
        <v>10.6</v>
      </c>
    </row>
    <row r="116">
      <c r="B116" s="83">
        <v>4.0</v>
      </c>
      <c r="C116" s="84" t="str">
        <f t="shared" si="59"/>
        <v>천안청수</v>
      </c>
      <c r="D116" s="7"/>
      <c r="E116" s="189">
        <f t="shared" si="60"/>
        <v>4</v>
      </c>
      <c r="F116" s="189">
        <f t="shared" si="61"/>
        <v>16</v>
      </c>
      <c r="G116" s="189">
        <v>193.0</v>
      </c>
      <c r="H116" s="189">
        <v>175.0</v>
      </c>
      <c r="I116" s="189">
        <v>226.0</v>
      </c>
      <c r="J116" s="189">
        <v>75.0</v>
      </c>
      <c r="K116" s="189">
        <v>45.0</v>
      </c>
      <c r="L116" s="189">
        <v>3.0</v>
      </c>
      <c r="M116" s="189">
        <v>39.0</v>
      </c>
      <c r="N116" s="189">
        <v>298.0</v>
      </c>
      <c r="O116" s="189">
        <v>28.0</v>
      </c>
      <c r="P116" s="189">
        <v>25.0</v>
      </c>
      <c r="Q116" s="189">
        <v>5.0</v>
      </c>
      <c r="R116" s="189">
        <v>264.0</v>
      </c>
      <c r="S116" s="189">
        <v>26.0</v>
      </c>
      <c r="T116" s="189">
        <v>184.0</v>
      </c>
      <c r="V116" s="150">
        <f>G116+I116+J116</f>
        <v>494</v>
      </c>
      <c r="W116" s="107">
        <f t="shared" si="62"/>
        <v>0.24</v>
      </c>
      <c r="X116" s="151">
        <f t="shared" si="63"/>
        <v>351</v>
      </c>
      <c r="Y116" s="150">
        <f t="shared" si="64"/>
        <v>266</v>
      </c>
      <c r="Z116" s="152">
        <f t="shared" si="65"/>
        <v>295.25</v>
      </c>
      <c r="AA116" s="28">
        <f t="shared" si="66"/>
        <v>0.3906882591</v>
      </c>
      <c r="AB116" s="27">
        <f t="shared" si="67"/>
        <v>12.0625</v>
      </c>
      <c r="AC116" s="27">
        <f t="shared" si="68"/>
        <v>30.875</v>
      </c>
      <c r="AD116" s="27">
        <f t="shared" si="69"/>
        <v>1.75</v>
      </c>
      <c r="AE116" s="27">
        <f t="shared" si="70"/>
        <v>0.1875</v>
      </c>
      <c r="AF116" s="27">
        <f t="shared" si="71"/>
        <v>16.625</v>
      </c>
      <c r="AG116" s="27">
        <f t="shared" si="72"/>
        <v>30.875</v>
      </c>
      <c r="AH116" s="150">
        <f t="shared" si="76"/>
        <v>290</v>
      </c>
      <c r="AI116" s="153">
        <f t="shared" si="73"/>
        <v>91.03448276</v>
      </c>
      <c r="AJ116" s="29">
        <f t="shared" si="74"/>
        <v>1.625</v>
      </c>
      <c r="AK116" s="107" t="str">
        <f t="shared" si="75"/>
        <v>11.5</v>
      </c>
    </row>
    <row r="117">
      <c r="B117" s="83">
        <v>5.0</v>
      </c>
      <c r="C117" s="84" t="str">
        <f t="shared" si="59"/>
        <v>일신여상</v>
      </c>
      <c r="D117" s="7"/>
      <c r="E117" s="189">
        <f t="shared" si="60"/>
        <v>3</v>
      </c>
      <c r="F117" s="189">
        <f t="shared" si="61"/>
        <v>12</v>
      </c>
      <c r="G117" s="189">
        <v>151.0</v>
      </c>
      <c r="H117" s="189">
        <v>140.0</v>
      </c>
      <c r="I117" s="189">
        <v>188.0</v>
      </c>
      <c r="J117" s="189">
        <v>84.0</v>
      </c>
      <c r="K117" s="189">
        <v>13.0</v>
      </c>
      <c r="L117" s="189">
        <v>6.0</v>
      </c>
      <c r="M117" s="189">
        <v>10.0</v>
      </c>
      <c r="N117" s="189">
        <v>215.0</v>
      </c>
      <c r="O117" s="189">
        <v>13.0</v>
      </c>
      <c r="P117" s="189">
        <v>36.0</v>
      </c>
      <c r="Q117" s="189">
        <v>16.0</v>
      </c>
      <c r="R117" s="189">
        <v>244.0</v>
      </c>
      <c r="S117" s="189">
        <v>30.0</v>
      </c>
      <c r="T117" s="189">
        <v>151.0</v>
      </c>
      <c r="V117" s="151">
        <f t="shared" ref="V117:V122" si="77">if(J117+I117+G117=0,"-",J117+I117+G117)</f>
        <v>423</v>
      </c>
      <c r="W117" s="107">
        <f t="shared" si="62"/>
        <v>0.16</v>
      </c>
      <c r="X117" s="151">
        <f t="shared" si="63"/>
        <v>264</v>
      </c>
      <c r="Y117" s="150">
        <f t="shared" si="64"/>
        <v>177</v>
      </c>
      <c r="Z117" s="152">
        <f t="shared" si="65"/>
        <v>184.5</v>
      </c>
      <c r="AA117" s="28">
        <f t="shared" si="66"/>
        <v>0.3569739953</v>
      </c>
      <c r="AB117" s="27">
        <f t="shared" si="67"/>
        <v>12.58333333</v>
      </c>
      <c r="AC117" s="27">
        <f t="shared" si="68"/>
        <v>35.25</v>
      </c>
      <c r="AD117" s="27">
        <f t="shared" si="69"/>
        <v>1.083333333</v>
      </c>
      <c r="AE117" s="27">
        <f t="shared" si="70"/>
        <v>0.5</v>
      </c>
      <c r="AF117" s="27">
        <f t="shared" si="71"/>
        <v>14.75</v>
      </c>
      <c r="AG117" s="27">
        <f t="shared" si="72"/>
        <v>35.25</v>
      </c>
      <c r="AH117" s="150">
        <f t="shared" si="76"/>
        <v>274</v>
      </c>
      <c r="AI117" s="153">
        <f t="shared" si="73"/>
        <v>89.05109489</v>
      </c>
      <c r="AJ117" s="29">
        <f t="shared" si="74"/>
        <v>2.5</v>
      </c>
      <c r="AK117" s="107" t="str">
        <f t="shared" si="75"/>
        <v>12.6</v>
      </c>
    </row>
    <row r="118">
      <c r="B118" s="83">
        <v>6.0</v>
      </c>
      <c r="C118" s="84" t="str">
        <f t="shared" si="59"/>
        <v>강릉여고</v>
      </c>
      <c r="D118" s="7"/>
      <c r="E118" s="189">
        <f t="shared" si="60"/>
        <v>3</v>
      </c>
      <c r="F118" s="189">
        <f t="shared" si="61"/>
        <v>13</v>
      </c>
      <c r="G118" s="189">
        <v>151.0</v>
      </c>
      <c r="H118" s="189">
        <v>140.0</v>
      </c>
      <c r="I118" s="189">
        <v>208.0</v>
      </c>
      <c r="J118" s="189">
        <v>59.0</v>
      </c>
      <c r="K118" s="189">
        <v>11.0</v>
      </c>
      <c r="L118" s="189">
        <v>1.0</v>
      </c>
      <c r="M118" s="189">
        <v>7.0</v>
      </c>
      <c r="N118" s="189">
        <v>217.0</v>
      </c>
      <c r="O118" s="189">
        <v>21.0</v>
      </c>
      <c r="P118" s="189">
        <v>27.0</v>
      </c>
      <c r="Q118" s="189">
        <v>6.0</v>
      </c>
      <c r="R118" s="189">
        <v>225.0</v>
      </c>
      <c r="S118" s="189">
        <v>33.0</v>
      </c>
      <c r="T118" s="189">
        <v>186.0</v>
      </c>
      <c r="V118" s="151">
        <f t="shared" si="77"/>
        <v>418</v>
      </c>
      <c r="W118" s="107">
        <f t="shared" si="62"/>
        <v>0.22</v>
      </c>
      <c r="X118" s="151">
        <f t="shared" si="63"/>
        <v>265</v>
      </c>
      <c r="Y118" s="150">
        <f t="shared" si="64"/>
        <v>183</v>
      </c>
      <c r="Z118" s="152">
        <f t="shared" si="65"/>
        <v>188.25</v>
      </c>
      <c r="AA118" s="28">
        <f t="shared" si="66"/>
        <v>0.3612440191</v>
      </c>
      <c r="AB118" s="27">
        <f t="shared" si="67"/>
        <v>11.61538462</v>
      </c>
      <c r="AC118" s="27">
        <f t="shared" si="68"/>
        <v>32.15384615</v>
      </c>
      <c r="AD118" s="27">
        <f t="shared" si="69"/>
        <v>1.615384615</v>
      </c>
      <c r="AE118" s="27">
        <f t="shared" si="70"/>
        <v>0.07692307692</v>
      </c>
      <c r="AF118" s="27">
        <f t="shared" si="71"/>
        <v>14.07692308</v>
      </c>
      <c r="AG118" s="27">
        <f t="shared" si="72"/>
        <v>32.15384615</v>
      </c>
      <c r="AH118" s="150">
        <f t="shared" si="76"/>
        <v>258</v>
      </c>
      <c r="AI118" s="153">
        <f t="shared" si="73"/>
        <v>87.20930233</v>
      </c>
      <c r="AJ118" s="29">
        <f t="shared" si="74"/>
        <v>2.538461538</v>
      </c>
      <c r="AK118" s="107" t="str">
        <f t="shared" si="75"/>
        <v>14.3</v>
      </c>
    </row>
    <row r="119">
      <c r="B119" s="83">
        <v>7.0</v>
      </c>
      <c r="C119" s="84" t="str">
        <f t="shared" si="59"/>
        <v>전주근영</v>
      </c>
      <c r="D119" s="7"/>
      <c r="E119" s="189">
        <f t="shared" si="60"/>
        <v>2</v>
      </c>
      <c r="F119" s="189">
        <f t="shared" si="61"/>
        <v>7</v>
      </c>
      <c r="G119" s="189">
        <v>79.0</v>
      </c>
      <c r="H119" s="189">
        <v>70.0</v>
      </c>
      <c r="I119" s="189">
        <v>106.0</v>
      </c>
      <c r="J119" s="189">
        <v>41.0</v>
      </c>
      <c r="K119" s="189">
        <v>12.0</v>
      </c>
      <c r="L119" s="189">
        <v>0.0</v>
      </c>
      <c r="M119" s="189">
        <v>6.0</v>
      </c>
      <c r="N119" s="189">
        <v>126.0</v>
      </c>
      <c r="O119" s="189">
        <v>12.0</v>
      </c>
      <c r="P119" s="189">
        <v>18.0</v>
      </c>
      <c r="Q119" s="189">
        <v>8.0</v>
      </c>
      <c r="R119" s="189">
        <v>132.0</v>
      </c>
      <c r="S119" s="189">
        <v>16.0</v>
      </c>
      <c r="T119" s="189">
        <v>84.0</v>
      </c>
      <c r="V119" s="151">
        <f t="shared" si="77"/>
        <v>226</v>
      </c>
      <c r="W119" s="107">
        <f t="shared" si="62"/>
        <v>0.17</v>
      </c>
      <c r="X119" s="151">
        <f t="shared" si="63"/>
        <v>156</v>
      </c>
      <c r="Y119" s="150">
        <f t="shared" si="64"/>
        <v>103</v>
      </c>
      <c r="Z119" s="152">
        <f t="shared" si="65"/>
        <v>107.5</v>
      </c>
      <c r="AA119" s="28">
        <f t="shared" si="66"/>
        <v>0.3495575221</v>
      </c>
      <c r="AB119" s="27">
        <f t="shared" si="67"/>
        <v>11.28571429</v>
      </c>
      <c r="AC119" s="27">
        <f t="shared" si="68"/>
        <v>32.28571429</v>
      </c>
      <c r="AD119" s="27">
        <f t="shared" si="69"/>
        <v>1.714285714</v>
      </c>
      <c r="AE119" s="27">
        <f t="shared" si="70"/>
        <v>0</v>
      </c>
      <c r="AF119" s="27">
        <f t="shared" si="71"/>
        <v>14.71428571</v>
      </c>
      <c r="AG119" s="27">
        <f t="shared" si="72"/>
        <v>32.28571429</v>
      </c>
      <c r="AH119" s="150">
        <f t="shared" si="76"/>
        <v>148</v>
      </c>
      <c r="AI119" s="153">
        <f t="shared" si="73"/>
        <v>89.18918919</v>
      </c>
      <c r="AJ119" s="29">
        <f t="shared" si="74"/>
        <v>2.285714286</v>
      </c>
      <c r="AK119" s="107" t="str">
        <f t="shared" si="75"/>
        <v>12.0</v>
      </c>
    </row>
    <row r="120">
      <c r="B120" s="83">
        <v>8.0</v>
      </c>
      <c r="C120" s="84" t="str">
        <f t="shared" si="59"/>
        <v>세화여고</v>
      </c>
      <c r="D120" s="7"/>
      <c r="E120" s="189">
        <f t="shared" si="60"/>
        <v>2</v>
      </c>
      <c r="F120" s="189">
        <f t="shared" si="61"/>
        <v>7</v>
      </c>
      <c r="G120" s="189">
        <v>84.0</v>
      </c>
      <c r="H120" s="189">
        <v>80.0</v>
      </c>
      <c r="I120" s="189">
        <v>157.0</v>
      </c>
      <c r="J120" s="189">
        <v>39.0</v>
      </c>
      <c r="K120" s="189">
        <v>15.0</v>
      </c>
      <c r="L120" s="189">
        <v>1.0</v>
      </c>
      <c r="M120" s="189">
        <v>12.0</v>
      </c>
      <c r="N120" s="189">
        <v>121.0</v>
      </c>
      <c r="O120" s="189">
        <v>10.0</v>
      </c>
      <c r="P120" s="189">
        <v>18.0</v>
      </c>
      <c r="Q120" s="189">
        <v>1.0</v>
      </c>
      <c r="R120" s="189">
        <v>137.0</v>
      </c>
      <c r="S120" s="189">
        <v>18.0</v>
      </c>
      <c r="T120" s="189">
        <v>140.0</v>
      </c>
      <c r="V120" s="151">
        <f t="shared" si="77"/>
        <v>280</v>
      </c>
      <c r="W120" s="107">
        <f t="shared" si="62"/>
        <v>0.16</v>
      </c>
      <c r="X120" s="151">
        <f t="shared" si="63"/>
        <v>149</v>
      </c>
      <c r="Y120" s="150">
        <f t="shared" si="64"/>
        <v>109</v>
      </c>
      <c r="Z120" s="152">
        <f t="shared" si="65"/>
        <v>118</v>
      </c>
      <c r="AA120" s="28">
        <f t="shared" si="66"/>
        <v>0.3</v>
      </c>
      <c r="AB120" s="27">
        <f t="shared" si="67"/>
        <v>12</v>
      </c>
      <c r="AC120" s="27">
        <f t="shared" si="68"/>
        <v>40</v>
      </c>
      <c r="AD120" s="27">
        <f t="shared" si="69"/>
        <v>1.428571429</v>
      </c>
      <c r="AE120" s="27">
        <f t="shared" si="70"/>
        <v>0.1428571429</v>
      </c>
      <c r="AF120" s="27">
        <f t="shared" si="71"/>
        <v>15.57142857</v>
      </c>
      <c r="AG120" s="27">
        <f t="shared" si="72"/>
        <v>40</v>
      </c>
      <c r="AH120" s="150">
        <f t="shared" si="76"/>
        <v>155</v>
      </c>
      <c r="AI120" s="153">
        <f t="shared" si="73"/>
        <v>88.38709677</v>
      </c>
      <c r="AJ120" s="29">
        <f t="shared" si="74"/>
        <v>2.571428571</v>
      </c>
      <c r="AK120" s="107" t="str">
        <f t="shared" si="75"/>
        <v>20.0</v>
      </c>
    </row>
    <row r="121">
      <c r="B121" s="83">
        <v>9.0</v>
      </c>
      <c r="C121" s="84" t="str">
        <f t="shared" si="59"/>
        <v>제천여고</v>
      </c>
      <c r="D121" s="7"/>
      <c r="E121" s="189">
        <f t="shared" si="60"/>
        <v>2</v>
      </c>
      <c r="F121" s="189">
        <f t="shared" si="61"/>
        <v>6</v>
      </c>
      <c r="G121" s="189">
        <v>34.0</v>
      </c>
      <c r="H121" s="189">
        <v>31.0</v>
      </c>
      <c r="I121" s="189">
        <v>61.0</v>
      </c>
      <c r="J121" s="189">
        <v>47.0</v>
      </c>
      <c r="K121" s="189">
        <v>7.0</v>
      </c>
      <c r="L121" s="189">
        <v>1.0</v>
      </c>
      <c r="M121" s="189">
        <v>5.0</v>
      </c>
      <c r="N121" s="189">
        <v>61.0</v>
      </c>
      <c r="O121" s="189">
        <v>7.0</v>
      </c>
      <c r="P121" s="189">
        <v>13.0</v>
      </c>
      <c r="Q121" s="189">
        <v>3.0</v>
      </c>
      <c r="R121" s="189">
        <v>114.0</v>
      </c>
      <c r="S121" s="189">
        <v>22.0</v>
      </c>
      <c r="T121" s="189">
        <v>39.0</v>
      </c>
      <c r="V121" s="151">
        <f t="shared" si="77"/>
        <v>142</v>
      </c>
      <c r="W121" s="107">
        <f t="shared" si="62"/>
        <v>-0.09</v>
      </c>
      <c r="X121" s="151">
        <f t="shared" si="63"/>
        <v>81</v>
      </c>
      <c r="Y121" s="150">
        <f t="shared" si="64"/>
        <v>48</v>
      </c>
      <c r="Z121" s="152">
        <f t="shared" si="65"/>
        <v>51.75</v>
      </c>
      <c r="AA121" s="28">
        <f t="shared" si="66"/>
        <v>0.2394366197</v>
      </c>
      <c r="AB121" s="27">
        <f t="shared" si="67"/>
        <v>5.666666667</v>
      </c>
      <c r="AC121" s="27">
        <f t="shared" si="68"/>
        <v>23.66666667</v>
      </c>
      <c r="AD121" s="27">
        <f t="shared" si="69"/>
        <v>1.166666667</v>
      </c>
      <c r="AE121" s="27">
        <f t="shared" si="70"/>
        <v>0.1666666667</v>
      </c>
      <c r="AF121" s="27">
        <f t="shared" si="71"/>
        <v>8</v>
      </c>
      <c r="AG121" s="27">
        <f t="shared" si="72"/>
        <v>23.66666667</v>
      </c>
      <c r="AH121" s="150">
        <f t="shared" si="76"/>
        <v>136</v>
      </c>
      <c r="AI121" s="153">
        <f t="shared" si="73"/>
        <v>83.82352941</v>
      </c>
      <c r="AJ121" s="29">
        <f t="shared" si="74"/>
        <v>3.666666667</v>
      </c>
      <c r="AK121" s="107" t="str">
        <f t="shared" si="75"/>
        <v>6.5</v>
      </c>
    </row>
    <row r="122">
      <c r="B122" s="96">
        <v>10.0</v>
      </c>
      <c r="C122" s="97" t="str">
        <f t="shared" si="59"/>
        <v/>
      </c>
      <c r="D122" s="7"/>
      <c r="E122" s="105" t="str">
        <f t="shared" si="60"/>
        <v/>
      </c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V122" s="191" t="str">
        <f t="shared" si="77"/>
        <v>-</v>
      </c>
      <c r="W122" s="107" t="str">
        <f t="shared" si="62"/>
        <v>-</v>
      </c>
      <c r="X122" s="191" t="str">
        <f t="shared" si="63"/>
        <v>-</v>
      </c>
      <c r="Y122" s="150">
        <f t="shared" si="64"/>
        <v>0</v>
      </c>
      <c r="Z122" s="152">
        <f t="shared" si="65"/>
        <v>0</v>
      </c>
      <c r="AA122" s="28" t="str">
        <f t="shared" si="66"/>
        <v>-</v>
      </c>
      <c r="AB122" s="27" t="str">
        <f t="shared" si="67"/>
        <v>-</v>
      </c>
      <c r="AC122" s="27" t="str">
        <f t="shared" si="68"/>
        <v>-</v>
      </c>
      <c r="AD122" s="27" t="str">
        <f t="shared" si="69"/>
        <v>-</v>
      </c>
      <c r="AE122" s="27" t="str">
        <f t="shared" si="70"/>
        <v>-</v>
      </c>
      <c r="AF122" s="27" t="str">
        <f t="shared" si="71"/>
        <v>-</v>
      </c>
      <c r="AG122" s="27" t="str">
        <f t="shared" si="72"/>
        <v>-</v>
      </c>
      <c r="AH122" s="150">
        <f t="shared" si="76"/>
        <v>0</v>
      </c>
      <c r="AI122" s="153" t="str">
        <f t="shared" si="73"/>
        <v>-</v>
      </c>
      <c r="AJ122" s="29" t="str">
        <f t="shared" si="74"/>
        <v>-</v>
      </c>
      <c r="AK122" s="107" t="str">
        <f t="shared" si="75"/>
        <v>-</v>
      </c>
    </row>
  </sheetData>
  <mergeCells count="78">
    <mergeCell ref="B51:C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A67:B67"/>
    <mergeCell ref="B78:C78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11:C111"/>
    <mergeCell ref="C112:D112"/>
    <mergeCell ref="C120:D120"/>
    <mergeCell ref="C121:D121"/>
    <mergeCell ref="C122:D122"/>
    <mergeCell ref="C113:D113"/>
    <mergeCell ref="C114:D114"/>
    <mergeCell ref="C115:D115"/>
    <mergeCell ref="C116:D116"/>
    <mergeCell ref="C117:D117"/>
    <mergeCell ref="C118:D118"/>
    <mergeCell ref="C119:D119"/>
    <mergeCell ref="L4:M4"/>
    <mergeCell ref="N4:O4"/>
    <mergeCell ref="A1:AB1"/>
    <mergeCell ref="B3:C3"/>
    <mergeCell ref="R3:S3"/>
    <mergeCell ref="B4:B5"/>
    <mergeCell ref="C4:D5"/>
    <mergeCell ref="E4:E5"/>
    <mergeCell ref="F4:G4"/>
    <mergeCell ref="P4:S5"/>
    <mergeCell ref="H4:I4"/>
    <mergeCell ref="J4:K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9:C19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80:B81"/>
    <mergeCell ref="B82:B83"/>
  </mergeCells>
  <conditionalFormatting sqref="C68:D74 AO68:AO74">
    <cfRule type="cellIs" dxfId="4" priority="1" operator="equal">
      <formula>"광주체고"</formula>
    </cfRule>
  </conditionalFormatting>
  <conditionalFormatting sqref="C68:D74 AO68:AO74">
    <cfRule type="cellIs" dxfId="5" priority="2" operator="equal">
      <formula>"경일고"</formula>
    </cfRule>
  </conditionalFormatting>
  <conditionalFormatting sqref="C68:D74 AO68:AO74">
    <cfRule type="cellIs" dxfId="6" priority="3" operator="equal">
      <formula>"천안청수"</formula>
    </cfRule>
  </conditionalFormatting>
  <conditionalFormatting sqref="C68:D74 AO68:AO74">
    <cfRule type="containsText" dxfId="7" priority="4" operator="containsText" text="강릉여고">
      <formula>NOT(ISERROR(SEARCH(("강릉여고"),(C68))))</formula>
    </cfRule>
  </conditionalFormatting>
  <conditionalFormatting sqref="C68:D74 AO68:AO74">
    <cfRule type="containsText" dxfId="8" priority="5" operator="containsText" text="경남여고">
      <formula>NOT(ISERROR(SEARCH(("경남여고"),(C68))))</formula>
    </cfRule>
  </conditionalFormatting>
  <conditionalFormatting sqref="C68:D74 AO68:AO74">
    <cfRule type="cellIs" dxfId="9" priority="6" operator="equal">
      <formula>"제천여고"</formula>
    </cfRule>
  </conditionalFormatting>
  <conditionalFormatting sqref="L21 L23 L25 L27 L29 L31 L33 L35 L37 L39 L41 L43 L45 L47 L53:L62 L68:L74 W80 W82 W84 W86 W88 W90 W92 W94 W96 W98 W100 W102 W104 W106 W113:W122">
    <cfRule type="cellIs" dxfId="3" priority="7" operator="lessThan">
      <formula>0</formula>
    </cfRule>
  </conditionalFormatting>
  <drawing r:id="rId1"/>
</worksheet>
</file>